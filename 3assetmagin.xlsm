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eet1" sheetId="1" r:id="rId1"/>
  </sheets>
  <functionGroups builtInGroupCount="18"/>
  <calcPr calcId="152511" calcMode="manual"/>
</workbook>
</file>

<file path=xl/calcChain.xml><?xml version="1.0" encoding="utf-8"?>
<calcChain xmlns="http://schemas.openxmlformats.org/spreadsheetml/2006/main">
  <c r="B10" i="1" l="1"/>
  <c r="C10" i="1"/>
  <c r="D10" i="1"/>
  <c r="B11" i="1"/>
  <c r="C11" i="1"/>
  <c r="D11" i="1"/>
  <c r="B12" i="1"/>
  <c r="C12" i="1"/>
  <c r="D12" i="1"/>
  <c r="B13" i="1"/>
  <c r="C13" i="1"/>
  <c r="D13" i="1"/>
  <c r="B14" i="1"/>
  <c r="C14" i="1"/>
  <c r="D14" i="1"/>
  <c r="B15" i="1"/>
  <c r="C15" i="1"/>
  <c r="D15" i="1"/>
  <c r="B16" i="1"/>
  <c r="C16" i="1"/>
  <c r="D16" i="1"/>
  <c r="B17" i="1"/>
  <c r="C17" i="1"/>
  <c r="D17" i="1"/>
  <c r="B18" i="1"/>
  <c r="C18" i="1"/>
  <c r="D18" i="1"/>
  <c r="B19" i="1"/>
  <c r="C19" i="1"/>
  <c r="D19" i="1"/>
  <c r="B20" i="1"/>
  <c r="C20" i="1"/>
  <c r="D20" i="1"/>
  <c r="B21" i="1"/>
  <c r="C21" i="1"/>
  <c r="D21" i="1"/>
  <c r="B22" i="1"/>
  <c r="C22" i="1"/>
  <c r="D22" i="1"/>
  <c r="B23" i="1"/>
  <c r="C23" i="1"/>
  <c r="D23" i="1"/>
  <c r="B24" i="1"/>
  <c r="C24" i="1"/>
  <c r="D24" i="1"/>
  <c r="B25" i="1"/>
  <c r="C25" i="1"/>
  <c r="D25" i="1"/>
  <c r="B26" i="1"/>
  <c r="C26" i="1"/>
  <c r="D26" i="1"/>
  <c r="B27" i="1"/>
  <c r="C27" i="1"/>
  <c r="D27" i="1"/>
  <c r="B28" i="1"/>
  <c r="C28" i="1"/>
  <c r="D28" i="1"/>
  <c r="B29" i="1"/>
  <c r="C29" i="1"/>
  <c r="D29" i="1"/>
  <c r="B30" i="1"/>
  <c r="C30" i="1"/>
  <c r="D30" i="1"/>
  <c r="B31" i="1"/>
  <c r="C31" i="1"/>
  <c r="D31" i="1"/>
  <c r="B32" i="1"/>
  <c r="C32" i="1"/>
  <c r="D32" i="1"/>
  <c r="B33" i="1"/>
  <c r="C33" i="1"/>
  <c r="D33" i="1"/>
  <c r="B34" i="1"/>
  <c r="C34" i="1"/>
  <c r="D34" i="1"/>
  <c r="B35" i="1"/>
  <c r="C35" i="1"/>
  <c r="D35" i="1"/>
  <c r="B36" i="1"/>
  <c r="C36" i="1"/>
  <c r="D36" i="1"/>
  <c r="B37" i="1"/>
  <c r="C37" i="1"/>
  <c r="D37" i="1"/>
  <c r="B38" i="1"/>
  <c r="C38" i="1"/>
  <c r="D38" i="1"/>
  <c r="B39" i="1"/>
  <c r="C39" i="1"/>
  <c r="D39" i="1"/>
  <c r="B40" i="1"/>
  <c r="C40" i="1"/>
  <c r="D40" i="1"/>
  <c r="B41" i="1"/>
  <c r="C41" i="1"/>
  <c r="D41" i="1"/>
  <c r="B42" i="1"/>
  <c r="C42" i="1"/>
  <c r="D42" i="1"/>
  <c r="B43" i="1"/>
  <c r="C43" i="1"/>
  <c r="D43" i="1"/>
  <c r="B44" i="1"/>
  <c r="C44" i="1"/>
  <c r="D44" i="1"/>
  <c r="B45" i="1"/>
  <c r="C45" i="1"/>
  <c r="D45" i="1"/>
  <c r="B46" i="1"/>
  <c r="C46" i="1"/>
  <c r="D46" i="1"/>
  <c r="B47" i="1"/>
  <c r="C47" i="1"/>
  <c r="D47" i="1"/>
  <c r="B48" i="1"/>
  <c r="C48" i="1"/>
  <c r="D48" i="1"/>
  <c r="B49" i="1"/>
  <c r="C49" i="1"/>
  <c r="D49" i="1"/>
  <c r="B50" i="1"/>
  <c r="C50" i="1"/>
  <c r="D50" i="1"/>
  <c r="B51" i="1"/>
  <c r="C51" i="1"/>
  <c r="D51" i="1"/>
  <c r="B52" i="1"/>
  <c r="C52" i="1"/>
  <c r="D52" i="1"/>
  <c r="B53" i="1"/>
  <c r="C53" i="1"/>
  <c r="D53" i="1"/>
  <c r="B54" i="1"/>
  <c r="C54" i="1"/>
  <c r="D54" i="1"/>
  <c r="B55" i="1"/>
  <c r="C55" i="1"/>
  <c r="D55" i="1"/>
  <c r="B56" i="1"/>
  <c r="C56" i="1"/>
  <c r="D56" i="1"/>
  <c r="B57" i="1"/>
  <c r="C57" i="1"/>
  <c r="D57" i="1"/>
  <c r="B58" i="1"/>
  <c r="C58" i="1"/>
  <c r="D58" i="1"/>
  <c r="B59" i="1"/>
  <c r="C59" i="1"/>
  <c r="D59" i="1"/>
  <c r="B60" i="1"/>
  <c r="C60" i="1"/>
  <c r="D60" i="1"/>
  <c r="B61" i="1"/>
  <c r="C61" i="1"/>
  <c r="D61" i="1"/>
  <c r="B62" i="1"/>
  <c r="C62" i="1"/>
  <c r="D62" i="1"/>
  <c r="B63" i="1"/>
  <c r="C63" i="1"/>
  <c r="D63" i="1"/>
  <c r="B64" i="1"/>
  <c r="C64" i="1"/>
  <c r="D64" i="1"/>
  <c r="B65" i="1"/>
  <c r="C65" i="1"/>
  <c r="D65" i="1"/>
  <c r="B66" i="1"/>
  <c r="C66" i="1"/>
  <c r="D66" i="1"/>
  <c r="B67" i="1"/>
  <c r="C67" i="1"/>
  <c r="D67" i="1"/>
  <c r="B68" i="1"/>
  <c r="C68" i="1"/>
  <c r="D68" i="1"/>
  <c r="B69" i="1"/>
  <c r="C69" i="1"/>
  <c r="D69" i="1"/>
  <c r="B70" i="1"/>
  <c r="C70" i="1"/>
  <c r="D70" i="1"/>
  <c r="B71" i="1"/>
  <c r="C71" i="1"/>
  <c r="D71" i="1"/>
  <c r="B72" i="1"/>
  <c r="C72" i="1"/>
  <c r="D72" i="1"/>
  <c r="B73" i="1"/>
  <c r="C73" i="1"/>
  <c r="D73" i="1"/>
  <c r="B74" i="1"/>
  <c r="C74" i="1"/>
  <c r="D74" i="1"/>
  <c r="B75" i="1"/>
  <c r="C75" i="1"/>
  <c r="D75" i="1"/>
  <c r="B76" i="1"/>
  <c r="C76" i="1"/>
  <c r="D76" i="1"/>
  <c r="B77" i="1"/>
  <c r="C77" i="1"/>
  <c r="D77" i="1"/>
  <c r="B78" i="1"/>
  <c r="C78" i="1"/>
  <c r="D78" i="1"/>
  <c r="B79" i="1"/>
  <c r="C79" i="1"/>
  <c r="D79" i="1"/>
  <c r="B80" i="1"/>
  <c r="C80" i="1"/>
  <c r="D80" i="1"/>
  <c r="B81" i="1"/>
  <c r="C81" i="1"/>
  <c r="D81" i="1"/>
  <c r="B82" i="1"/>
  <c r="C82" i="1"/>
  <c r="D82" i="1"/>
  <c r="B83" i="1"/>
  <c r="C83" i="1"/>
  <c r="D83" i="1"/>
  <c r="B84" i="1"/>
  <c r="C84" i="1"/>
  <c r="D84" i="1"/>
  <c r="B85" i="1"/>
  <c r="C85" i="1"/>
  <c r="D85" i="1"/>
  <c r="B86" i="1"/>
  <c r="C86" i="1"/>
  <c r="D86" i="1"/>
  <c r="B87" i="1"/>
  <c r="C87" i="1"/>
  <c r="D87" i="1"/>
  <c r="B88" i="1"/>
  <c r="C88" i="1"/>
  <c r="D88" i="1"/>
  <c r="B89" i="1"/>
  <c r="C89" i="1"/>
  <c r="D89" i="1"/>
  <c r="B90" i="1"/>
  <c r="C90" i="1"/>
  <c r="D90" i="1"/>
  <c r="B91" i="1"/>
  <c r="C91" i="1"/>
  <c r="D91" i="1"/>
  <c r="B92" i="1"/>
  <c r="C92" i="1"/>
  <c r="D92" i="1"/>
  <c r="B93" i="1"/>
  <c r="C93" i="1"/>
  <c r="D93" i="1"/>
  <c r="B94" i="1"/>
  <c r="C94" i="1"/>
  <c r="D94" i="1"/>
  <c r="B95" i="1"/>
  <c r="C95" i="1"/>
  <c r="D95" i="1"/>
  <c r="B96" i="1"/>
  <c r="C96" i="1"/>
  <c r="D96" i="1"/>
  <c r="B97" i="1"/>
  <c r="C97" i="1"/>
  <c r="D97" i="1"/>
  <c r="B98" i="1"/>
  <c r="C98" i="1"/>
  <c r="D98" i="1"/>
  <c r="B99" i="1"/>
  <c r="C99" i="1"/>
  <c r="D99" i="1"/>
  <c r="B100" i="1"/>
  <c r="C100" i="1"/>
  <c r="D100" i="1"/>
  <c r="B101" i="1"/>
  <c r="C101" i="1"/>
  <c r="D101" i="1"/>
  <c r="B102" i="1"/>
  <c r="C102" i="1"/>
  <c r="D102" i="1"/>
  <c r="B103" i="1"/>
  <c r="C103" i="1"/>
  <c r="D103" i="1"/>
  <c r="B104" i="1"/>
  <c r="C104" i="1"/>
  <c r="D104" i="1"/>
  <c r="B105" i="1"/>
  <c r="C105" i="1"/>
  <c r="D105" i="1"/>
  <c r="B106" i="1"/>
  <c r="C106" i="1"/>
  <c r="D106" i="1"/>
  <c r="B107" i="1"/>
  <c r="C107" i="1"/>
  <c r="D107" i="1"/>
  <c r="B108" i="1"/>
  <c r="C108" i="1"/>
  <c r="D108" i="1"/>
  <c r="B109" i="1"/>
  <c r="C109" i="1"/>
  <c r="D109" i="1"/>
  <c r="B110" i="1"/>
  <c r="C110" i="1"/>
  <c r="D110" i="1"/>
  <c r="B111" i="1"/>
  <c r="C111" i="1"/>
  <c r="D111" i="1"/>
  <c r="B112" i="1"/>
  <c r="C112" i="1"/>
  <c r="D112" i="1"/>
  <c r="B113" i="1"/>
  <c r="C113" i="1"/>
  <c r="D113" i="1"/>
  <c r="B114" i="1"/>
  <c r="C114" i="1"/>
  <c r="D114" i="1"/>
  <c r="B115" i="1"/>
  <c r="C115" i="1"/>
  <c r="D115" i="1"/>
  <c r="B116" i="1"/>
  <c r="C116" i="1"/>
  <c r="D116" i="1"/>
  <c r="B117" i="1"/>
  <c r="C117" i="1"/>
  <c r="D117" i="1"/>
  <c r="B118" i="1"/>
  <c r="C118" i="1"/>
  <c r="D118" i="1"/>
  <c r="B119" i="1"/>
  <c r="C119" i="1"/>
  <c r="D119" i="1"/>
  <c r="B120" i="1"/>
  <c r="C120" i="1"/>
  <c r="D120" i="1"/>
  <c r="B121" i="1"/>
  <c r="C121" i="1"/>
  <c r="D121" i="1"/>
  <c r="B122" i="1"/>
  <c r="C122" i="1"/>
  <c r="D122" i="1"/>
  <c r="B123" i="1"/>
  <c r="C123" i="1"/>
  <c r="D123" i="1"/>
  <c r="B124" i="1"/>
  <c r="C124" i="1"/>
  <c r="D124" i="1"/>
  <c r="B125" i="1"/>
  <c r="C125" i="1"/>
  <c r="D125" i="1"/>
  <c r="B126" i="1"/>
  <c r="C126" i="1"/>
  <c r="D126" i="1"/>
  <c r="B127" i="1"/>
  <c r="C127" i="1"/>
  <c r="D127" i="1"/>
  <c r="B128" i="1"/>
  <c r="C128" i="1"/>
  <c r="D128" i="1"/>
  <c r="B129" i="1"/>
  <c r="C129" i="1"/>
  <c r="D129" i="1"/>
  <c r="B130" i="1"/>
  <c r="C130" i="1"/>
  <c r="D130" i="1"/>
  <c r="B131" i="1"/>
  <c r="C131" i="1"/>
  <c r="D131" i="1"/>
  <c r="B132" i="1"/>
  <c r="C132" i="1"/>
  <c r="D132" i="1"/>
  <c r="B133" i="1"/>
  <c r="C133" i="1"/>
  <c r="D133" i="1"/>
  <c r="B134" i="1"/>
  <c r="C134" i="1"/>
  <c r="D134" i="1"/>
  <c r="B135" i="1"/>
  <c r="C135" i="1"/>
  <c r="D135" i="1"/>
  <c r="B136" i="1"/>
  <c r="C136" i="1"/>
  <c r="D136" i="1"/>
  <c r="B137" i="1"/>
  <c r="C137" i="1"/>
  <c r="D137" i="1"/>
  <c r="B138" i="1"/>
  <c r="C138" i="1"/>
  <c r="D138" i="1"/>
  <c r="B139" i="1"/>
  <c r="C139" i="1"/>
  <c r="D139" i="1"/>
  <c r="B140" i="1"/>
  <c r="C140" i="1"/>
  <c r="D140" i="1"/>
  <c r="B141" i="1"/>
  <c r="C141" i="1"/>
  <c r="D141" i="1"/>
  <c r="B142" i="1"/>
  <c r="C142" i="1"/>
  <c r="D142" i="1"/>
  <c r="B143" i="1"/>
  <c r="C143" i="1"/>
  <c r="D143" i="1"/>
  <c r="B144" i="1"/>
  <c r="C144" i="1"/>
  <c r="D144" i="1"/>
  <c r="B145" i="1"/>
  <c r="C145" i="1"/>
  <c r="D145" i="1"/>
  <c r="B146" i="1"/>
  <c r="C146" i="1"/>
  <c r="D146" i="1"/>
  <c r="B147" i="1"/>
  <c r="C147" i="1"/>
  <c r="D147" i="1"/>
  <c r="B148" i="1"/>
  <c r="C148" i="1"/>
  <c r="D148" i="1"/>
  <c r="B149" i="1"/>
  <c r="C149" i="1"/>
  <c r="D149" i="1"/>
  <c r="B150" i="1"/>
  <c r="C150" i="1"/>
  <c r="D150" i="1"/>
  <c r="B151" i="1"/>
  <c r="C151" i="1"/>
  <c r="D151" i="1"/>
  <c r="B152" i="1"/>
  <c r="C152" i="1"/>
  <c r="D152" i="1"/>
  <c r="B153" i="1"/>
  <c r="C153" i="1"/>
  <c r="D153" i="1"/>
  <c r="B154" i="1"/>
  <c r="C154" i="1"/>
  <c r="D154" i="1"/>
  <c r="B155" i="1"/>
  <c r="C155" i="1"/>
  <c r="D155" i="1"/>
  <c r="B156" i="1"/>
  <c r="C156" i="1"/>
  <c r="D156" i="1"/>
  <c r="B157" i="1"/>
  <c r="C157" i="1"/>
  <c r="D157" i="1"/>
  <c r="B158" i="1"/>
  <c r="C158" i="1"/>
  <c r="D158" i="1"/>
  <c r="B159" i="1"/>
  <c r="C159" i="1"/>
  <c r="D159" i="1"/>
  <c r="B160" i="1"/>
  <c r="C160" i="1"/>
  <c r="D160" i="1"/>
  <c r="B161" i="1"/>
  <c r="C161" i="1"/>
  <c r="D161" i="1"/>
  <c r="B162" i="1"/>
  <c r="C162" i="1"/>
  <c r="D162" i="1"/>
  <c r="B163" i="1"/>
  <c r="C163" i="1"/>
  <c r="D163" i="1"/>
  <c r="B164" i="1"/>
  <c r="C164" i="1"/>
  <c r="D164" i="1"/>
  <c r="B165" i="1"/>
  <c r="C165" i="1"/>
  <c r="D165" i="1"/>
  <c r="B166" i="1"/>
  <c r="C166" i="1"/>
  <c r="D166" i="1"/>
  <c r="B167" i="1"/>
  <c r="C167" i="1"/>
  <c r="D167" i="1"/>
  <c r="B168" i="1"/>
  <c r="C168" i="1"/>
  <c r="D168" i="1"/>
  <c r="B169" i="1"/>
  <c r="C169" i="1"/>
  <c r="D169" i="1"/>
  <c r="B170" i="1"/>
  <c r="C170" i="1"/>
  <c r="D170" i="1"/>
  <c r="B171" i="1"/>
  <c r="C171" i="1"/>
  <c r="D171" i="1"/>
  <c r="B172" i="1"/>
  <c r="C172" i="1"/>
  <c r="D172" i="1"/>
  <c r="B173" i="1"/>
  <c r="C173" i="1"/>
  <c r="D173" i="1"/>
  <c r="B174" i="1"/>
  <c r="C174" i="1"/>
  <c r="D174" i="1"/>
  <c r="B175" i="1"/>
  <c r="C175" i="1"/>
  <c r="D175" i="1"/>
  <c r="B176" i="1"/>
  <c r="C176" i="1"/>
  <c r="D176" i="1"/>
  <c r="B177" i="1"/>
  <c r="C177" i="1"/>
  <c r="D177" i="1"/>
  <c r="B178" i="1"/>
  <c r="C178" i="1"/>
  <c r="D178" i="1"/>
  <c r="B179" i="1"/>
  <c r="C179" i="1"/>
  <c r="D179" i="1"/>
  <c r="B180" i="1"/>
  <c r="C180" i="1"/>
  <c r="D180" i="1"/>
  <c r="B181" i="1"/>
  <c r="C181" i="1"/>
  <c r="D181" i="1"/>
  <c r="B182" i="1"/>
  <c r="C182" i="1"/>
  <c r="D182" i="1"/>
  <c r="B183" i="1"/>
  <c r="C183" i="1"/>
  <c r="D183" i="1"/>
  <c r="B184" i="1"/>
  <c r="C184" i="1"/>
  <c r="D184" i="1"/>
  <c r="B185" i="1"/>
  <c r="C185" i="1"/>
  <c r="D185" i="1"/>
  <c r="B186" i="1"/>
  <c r="C186" i="1"/>
  <c r="D186" i="1"/>
  <c r="B187" i="1"/>
  <c r="C187" i="1"/>
  <c r="D187" i="1"/>
  <c r="B188" i="1"/>
  <c r="C188" i="1"/>
  <c r="D188" i="1"/>
  <c r="B189" i="1"/>
  <c r="C189" i="1"/>
  <c r="D189" i="1"/>
  <c r="B190" i="1"/>
  <c r="C190" i="1"/>
  <c r="D190" i="1"/>
  <c r="B191" i="1"/>
  <c r="C191" i="1"/>
  <c r="D191" i="1"/>
  <c r="B192" i="1"/>
  <c r="C192" i="1"/>
  <c r="D192" i="1"/>
  <c r="B193" i="1"/>
  <c r="C193" i="1"/>
  <c r="D193" i="1"/>
  <c r="B194" i="1"/>
  <c r="C194" i="1"/>
  <c r="D194" i="1"/>
  <c r="B195" i="1"/>
  <c r="C195" i="1"/>
  <c r="D195" i="1"/>
  <c r="B196" i="1"/>
  <c r="C196" i="1"/>
  <c r="D196" i="1"/>
  <c r="B197" i="1"/>
  <c r="C197" i="1"/>
  <c r="D197" i="1"/>
  <c r="B198" i="1"/>
  <c r="C198" i="1"/>
  <c r="D198" i="1"/>
  <c r="B199" i="1"/>
  <c r="C199" i="1"/>
  <c r="D199" i="1"/>
  <c r="B200" i="1"/>
  <c r="C200" i="1"/>
  <c r="D200" i="1"/>
  <c r="B201" i="1"/>
  <c r="C201" i="1"/>
  <c r="D201" i="1"/>
  <c r="B202" i="1"/>
  <c r="C202" i="1"/>
  <c r="D202" i="1"/>
  <c r="B203" i="1"/>
  <c r="C203" i="1"/>
  <c r="D203" i="1"/>
  <c r="B204" i="1"/>
  <c r="C204" i="1"/>
  <c r="D204" i="1"/>
  <c r="B205" i="1"/>
  <c r="C205" i="1"/>
  <c r="D205" i="1"/>
  <c r="B206" i="1"/>
  <c r="C206" i="1"/>
  <c r="D206" i="1"/>
  <c r="B207" i="1"/>
  <c r="C207" i="1"/>
  <c r="D207" i="1"/>
  <c r="B208" i="1"/>
  <c r="C208" i="1"/>
  <c r="D208" i="1"/>
  <c r="B209" i="1"/>
  <c r="C209" i="1"/>
  <c r="D209" i="1"/>
  <c r="B210" i="1"/>
  <c r="C210" i="1"/>
  <c r="D210" i="1"/>
  <c r="G210" i="1" s="1"/>
  <c r="B211" i="1"/>
  <c r="C211" i="1"/>
  <c r="D211" i="1"/>
  <c r="B212" i="1"/>
  <c r="C212" i="1"/>
  <c r="D212" i="1"/>
  <c r="B213" i="1"/>
  <c r="C213" i="1"/>
  <c r="D213" i="1"/>
  <c r="B214" i="1"/>
  <c r="C214" i="1"/>
  <c r="D214" i="1"/>
  <c r="B215" i="1"/>
  <c r="C215" i="1"/>
  <c r="D215" i="1"/>
  <c r="B216" i="1"/>
  <c r="C216" i="1"/>
  <c r="D216" i="1"/>
  <c r="B217" i="1"/>
  <c r="C217" i="1"/>
  <c r="D217" i="1"/>
  <c r="B218" i="1"/>
  <c r="C218" i="1"/>
  <c r="D218" i="1"/>
  <c r="B219" i="1"/>
  <c r="C219" i="1"/>
  <c r="D219" i="1"/>
  <c r="B220" i="1"/>
  <c r="C220" i="1"/>
  <c r="D220" i="1"/>
  <c r="B221" i="1"/>
  <c r="C221" i="1"/>
  <c r="D221" i="1"/>
  <c r="B222" i="1"/>
  <c r="C222" i="1"/>
  <c r="D222" i="1"/>
  <c r="B223" i="1"/>
  <c r="C223" i="1"/>
  <c r="D223" i="1"/>
  <c r="B224" i="1"/>
  <c r="C224" i="1"/>
  <c r="D224" i="1"/>
  <c r="B225" i="1"/>
  <c r="C225" i="1"/>
  <c r="D225" i="1"/>
  <c r="B226" i="1"/>
  <c r="C226" i="1"/>
  <c r="D226" i="1"/>
  <c r="B227" i="1"/>
  <c r="C227" i="1"/>
  <c r="D227" i="1"/>
  <c r="B228" i="1"/>
  <c r="C228" i="1"/>
  <c r="D228" i="1"/>
  <c r="B229" i="1"/>
  <c r="C229" i="1"/>
  <c r="D229" i="1"/>
  <c r="B230" i="1"/>
  <c r="C230" i="1"/>
  <c r="D230" i="1"/>
  <c r="B231" i="1"/>
  <c r="C231" i="1"/>
  <c r="D231" i="1"/>
  <c r="B232" i="1"/>
  <c r="C232" i="1"/>
  <c r="D232" i="1"/>
  <c r="B233" i="1"/>
  <c r="C233" i="1"/>
  <c r="D233" i="1"/>
  <c r="B234" i="1"/>
  <c r="C234" i="1"/>
  <c r="D234" i="1"/>
  <c r="B235" i="1"/>
  <c r="C235" i="1"/>
  <c r="D235" i="1"/>
  <c r="B236" i="1"/>
  <c r="C236" i="1"/>
  <c r="D236" i="1"/>
  <c r="B237" i="1"/>
  <c r="C237" i="1"/>
  <c r="D237" i="1"/>
  <c r="B238" i="1"/>
  <c r="C238" i="1"/>
  <c r="D238" i="1"/>
  <c r="B239" i="1"/>
  <c r="C239" i="1"/>
  <c r="D239" i="1"/>
  <c r="B240" i="1"/>
  <c r="C240" i="1"/>
  <c r="D240" i="1"/>
  <c r="B241" i="1"/>
  <c r="C241" i="1"/>
  <c r="D241" i="1"/>
  <c r="B242" i="1"/>
  <c r="C242" i="1"/>
  <c r="D242" i="1"/>
  <c r="B243" i="1"/>
  <c r="C243" i="1"/>
  <c r="D243" i="1"/>
  <c r="B244" i="1"/>
  <c r="C244" i="1"/>
  <c r="D244" i="1"/>
  <c r="B245" i="1"/>
  <c r="C245" i="1"/>
  <c r="D245" i="1"/>
  <c r="B246" i="1"/>
  <c r="C246" i="1"/>
  <c r="D246" i="1"/>
  <c r="B247" i="1"/>
  <c r="C247" i="1"/>
  <c r="D247" i="1"/>
  <c r="B248" i="1"/>
  <c r="C248" i="1"/>
  <c r="D248" i="1"/>
  <c r="B249" i="1"/>
  <c r="C249" i="1"/>
  <c r="D249" i="1"/>
  <c r="B250" i="1"/>
  <c r="C250" i="1"/>
  <c r="D250" i="1"/>
  <c r="B251" i="1"/>
  <c r="C251" i="1"/>
  <c r="D251" i="1"/>
  <c r="B252" i="1"/>
  <c r="C252" i="1"/>
  <c r="D252" i="1"/>
  <c r="B253" i="1"/>
  <c r="C253" i="1"/>
  <c r="D253" i="1"/>
  <c r="B254" i="1"/>
  <c r="C254" i="1"/>
  <c r="D254" i="1"/>
  <c r="B255" i="1"/>
  <c r="C255" i="1"/>
  <c r="D255" i="1"/>
  <c r="B256" i="1"/>
  <c r="C256" i="1"/>
  <c r="D256" i="1"/>
  <c r="B257" i="1"/>
  <c r="C257" i="1"/>
  <c r="D257" i="1"/>
  <c r="B258" i="1"/>
  <c r="C258" i="1"/>
  <c r="D258" i="1"/>
  <c r="B259" i="1"/>
  <c r="C259" i="1"/>
  <c r="D259" i="1"/>
  <c r="C9" i="1"/>
  <c r="D9" i="1"/>
  <c r="B9" i="1"/>
  <c r="T3" i="1"/>
  <c r="U3" i="1"/>
  <c r="S3" i="1"/>
  <c r="R3" i="1"/>
  <c r="I3" i="1"/>
  <c r="G259" i="1" l="1"/>
  <c r="G251" i="1"/>
  <c r="G243" i="1"/>
  <c r="G235" i="1"/>
  <c r="J235" i="1" s="1"/>
  <c r="G227" i="1"/>
  <c r="G219" i="1"/>
  <c r="G211" i="1"/>
  <c r="J211" i="1" s="1"/>
  <c r="G226" i="1"/>
  <c r="J226" i="1" s="1"/>
  <c r="G203" i="1"/>
  <c r="G195" i="1"/>
  <c r="G187" i="1"/>
  <c r="G179" i="1"/>
  <c r="J179" i="1" s="1"/>
  <c r="G258" i="1"/>
  <c r="J258" i="1" s="1"/>
  <c r="G250" i="1"/>
  <c r="J250" i="1" s="1"/>
  <c r="G242" i="1"/>
  <c r="J242" i="1" s="1"/>
  <c r="G234" i="1"/>
  <c r="J234" i="1" s="1"/>
  <c r="G218" i="1"/>
  <c r="G202" i="1"/>
  <c r="J202" i="1" s="1"/>
  <c r="G257" i="1"/>
  <c r="G249" i="1"/>
  <c r="J249" i="1" s="1"/>
  <c r="G241" i="1"/>
  <c r="G233" i="1"/>
  <c r="J233" i="1" s="1"/>
  <c r="G225" i="1"/>
  <c r="J225" i="1" s="1"/>
  <c r="G217" i="1"/>
  <c r="J217" i="1" s="1"/>
  <c r="G209" i="1"/>
  <c r="G201" i="1"/>
  <c r="J201" i="1" s="1"/>
  <c r="G193" i="1"/>
  <c r="J193" i="1" s="1"/>
  <c r="G185" i="1"/>
  <c r="J185" i="1" s="1"/>
  <c r="G177" i="1"/>
  <c r="G169" i="1"/>
  <c r="G161" i="1"/>
  <c r="J161" i="1" s="1"/>
  <c r="G153" i="1"/>
  <c r="J153" i="1" s="1"/>
  <c r="G145" i="1"/>
  <c r="G137" i="1"/>
  <c r="J137" i="1" s="1"/>
  <c r="G129" i="1"/>
  <c r="G121" i="1"/>
  <c r="G113" i="1"/>
  <c r="J113" i="1" s="1"/>
  <c r="G105" i="1"/>
  <c r="J105" i="1" s="1"/>
  <c r="G97" i="1"/>
  <c r="J97" i="1" s="1"/>
  <c r="G89" i="1"/>
  <c r="J89" i="1" s="1"/>
  <c r="G81" i="1"/>
  <c r="G73" i="1"/>
  <c r="J73" i="1" s="1"/>
  <c r="G65" i="1"/>
  <c r="G57" i="1"/>
  <c r="J57" i="1" s="1"/>
  <c r="G49" i="1"/>
  <c r="G41" i="1"/>
  <c r="G33" i="1"/>
  <c r="J33" i="1" s="1"/>
  <c r="G25" i="1"/>
  <c r="G17" i="1"/>
  <c r="G254" i="1"/>
  <c r="J254" i="1" s="1"/>
  <c r="G246" i="1"/>
  <c r="G238" i="1"/>
  <c r="J238" i="1" s="1"/>
  <c r="G230" i="1"/>
  <c r="J230" i="1" s="1"/>
  <c r="G222" i="1"/>
  <c r="G214" i="1"/>
  <c r="J214" i="1" s="1"/>
  <c r="G206" i="1"/>
  <c r="J206" i="1" s="1"/>
  <c r="G198" i="1"/>
  <c r="G190" i="1"/>
  <c r="G182" i="1"/>
  <c r="J182" i="1" s="1"/>
  <c r="G174" i="1"/>
  <c r="G166" i="1"/>
  <c r="J166" i="1" s="1"/>
  <c r="G158" i="1"/>
  <c r="G150" i="1"/>
  <c r="J150" i="1" s="1"/>
  <c r="G142" i="1"/>
  <c r="J142" i="1" s="1"/>
  <c r="G134" i="1"/>
  <c r="G126" i="1"/>
  <c r="J126" i="1" s="1"/>
  <c r="G118" i="1"/>
  <c r="J118" i="1" s="1"/>
  <c r="G110" i="1"/>
  <c r="G102" i="1"/>
  <c r="J102" i="1" s="1"/>
  <c r="G94" i="1"/>
  <c r="G86" i="1"/>
  <c r="J86" i="1" s="1"/>
  <c r="G78" i="1"/>
  <c r="G70" i="1"/>
  <c r="G62" i="1"/>
  <c r="J62" i="1" s="1"/>
  <c r="G54" i="1"/>
  <c r="J54" i="1" s="1"/>
  <c r="G46" i="1"/>
  <c r="J46" i="1" s="1"/>
  <c r="G38" i="1"/>
  <c r="G30" i="1"/>
  <c r="J30" i="1" s="1"/>
  <c r="G22" i="1"/>
  <c r="J22" i="1" s="1"/>
  <c r="G14" i="1"/>
  <c r="J14" i="1" s="1"/>
  <c r="G171" i="1"/>
  <c r="G163" i="1"/>
  <c r="G155" i="1"/>
  <c r="G147" i="1"/>
  <c r="G139" i="1"/>
  <c r="G131" i="1"/>
  <c r="J131" i="1" s="1"/>
  <c r="G123" i="1"/>
  <c r="J123" i="1" s="1"/>
  <c r="G115" i="1"/>
  <c r="J115" i="1" s="1"/>
  <c r="G107" i="1"/>
  <c r="G99" i="1"/>
  <c r="G91" i="1"/>
  <c r="J91" i="1" s="1"/>
  <c r="G83" i="1"/>
  <c r="J83" i="1" s="1"/>
  <c r="G75" i="1"/>
  <c r="J75" i="1" s="1"/>
  <c r="G67" i="1"/>
  <c r="J67" i="1" s="1"/>
  <c r="G59" i="1"/>
  <c r="G51" i="1"/>
  <c r="J51" i="1" s="1"/>
  <c r="G43" i="1"/>
  <c r="G35" i="1"/>
  <c r="J35" i="1" s="1"/>
  <c r="G27" i="1"/>
  <c r="J27" i="1" s="1"/>
  <c r="G19" i="1"/>
  <c r="G11" i="1"/>
  <c r="J11" i="1" s="1"/>
  <c r="G256" i="1"/>
  <c r="J256" i="1" s="1"/>
  <c r="G248" i="1"/>
  <c r="J248" i="1" s="1"/>
  <c r="G240" i="1"/>
  <c r="J240" i="1" s="1"/>
  <c r="G232" i="1"/>
  <c r="G224" i="1"/>
  <c r="G216" i="1"/>
  <c r="J216" i="1" s="1"/>
  <c r="G208" i="1"/>
  <c r="J208" i="1" s="1"/>
  <c r="G200" i="1"/>
  <c r="G192" i="1"/>
  <c r="G184" i="1"/>
  <c r="J184" i="1" s="1"/>
  <c r="G176" i="1"/>
  <c r="G168" i="1"/>
  <c r="G160" i="1"/>
  <c r="G152" i="1"/>
  <c r="G144" i="1"/>
  <c r="J144" i="1" s="1"/>
  <c r="G136" i="1"/>
  <c r="J136" i="1" s="1"/>
  <c r="G128" i="1"/>
  <c r="J128" i="1" s="1"/>
  <c r="G120" i="1"/>
  <c r="G112" i="1"/>
  <c r="J112" i="1" s="1"/>
  <c r="G104" i="1"/>
  <c r="G96" i="1"/>
  <c r="G88" i="1"/>
  <c r="G80" i="1"/>
  <c r="J80" i="1" s="1"/>
  <c r="G72" i="1"/>
  <c r="G64" i="1"/>
  <c r="G56" i="1"/>
  <c r="J56" i="1" s="1"/>
  <c r="G48" i="1"/>
  <c r="J48" i="1" s="1"/>
  <c r="G40" i="1"/>
  <c r="G32" i="1"/>
  <c r="G24" i="1"/>
  <c r="J24" i="1" s="1"/>
  <c r="G16" i="1"/>
  <c r="J16" i="1" s="1"/>
  <c r="G253" i="1"/>
  <c r="J253" i="1" s="1"/>
  <c r="G245" i="1"/>
  <c r="G237" i="1"/>
  <c r="J237" i="1" s="1"/>
  <c r="G229" i="1"/>
  <c r="J229" i="1" s="1"/>
  <c r="G221" i="1"/>
  <c r="G213" i="1"/>
  <c r="J213" i="1" s="1"/>
  <c r="G205" i="1"/>
  <c r="G197" i="1"/>
  <c r="J197" i="1" s="1"/>
  <c r="G189" i="1"/>
  <c r="J189" i="1" s="1"/>
  <c r="G181" i="1"/>
  <c r="G173" i="1"/>
  <c r="G165" i="1"/>
  <c r="J165" i="1" s="1"/>
  <c r="G157" i="1"/>
  <c r="G149" i="1"/>
  <c r="J149" i="1" s="1"/>
  <c r="G141" i="1"/>
  <c r="J141" i="1" s="1"/>
  <c r="G133" i="1"/>
  <c r="J133" i="1" s="1"/>
  <c r="G125" i="1"/>
  <c r="J125" i="1" s="1"/>
  <c r="G117" i="1"/>
  <c r="G109" i="1"/>
  <c r="J109" i="1" s="1"/>
  <c r="G101" i="1"/>
  <c r="J101" i="1" s="1"/>
  <c r="G93" i="1"/>
  <c r="G85" i="1"/>
  <c r="J85" i="1" s="1"/>
  <c r="G77" i="1"/>
  <c r="G69" i="1"/>
  <c r="G61" i="1"/>
  <c r="J61" i="1" s="1"/>
  <c r="G53" i="1"/>
  <c r="G45" i="1"/>
  <c r="J45" i="1" s="1"/>
  <c r="G37" i="1"/>
  <c r="J37" i="1" s="1"/>
  <c r="G29" i="1"/>
  <c r="G21" i="1"/>
  <c r="J21" i="1" s="1"/>
  <c r="G13" i="1"/>
  <c r="G194" i="1"/>
  <c r="J194" i="1" s="1"/>
  <c r="G186" i="1"/>
  <c r="J186" i="1" s="1"/>
  <c r="G178" i="1"/>
  <c r="G170" i="1"/>
  <c r="J170" i="1" s="1"/>
  <c r="G162" i="1"/>
  <c r="J162" i="1" s="1"/>
  <c r="G154" i="1"/>
  <c r="G146" i="1"/>
  <c r="J146" i="1" s="1"/>
  <c r="G138" i="1"/>
  <c r="J138" i="1" s="1"/>
  <c r="G130" i="1"/>
  <c r="J130" i="1" s="1"/>
  <c r="G122" i="1"/>
  <c r="G114" i="1"/>
  <c r="G106" i="1"/>
  <c r="J106" i="1" s="1"/>
  <c r="G98" i="1"/>
  <c r="G90" i="1"/>
  <c r="G82" i="1"/>
  <c r="J82" i="1" s="1"/>
  <c r="G74" i="1"/>
  <c r="J74" i="1" s="1"/>
  <c r="G66" i="1"/>
  <c r="J66" i="1" s="1"/>
  <c r="G58" i="1"/>
  <c r="J58" i="1" s="1"/>
  <c r="G50" i="1"/>
  <c r="G42" i="1"/>
  <c r="J42" i="1" s="1"/>
  <c r="G34" i="1"/>
  <c r="J34" i="1" s="1"/>
  <c r="G26" i="1"/>
  <c r="G18" i="1"/>
  <c r="J18" i="1" s="1"/>
  <c r="G255" i="1"/>
  <c r="G247" i="1"/>
  <c r="J247" i="1" s="1"/>
  <c r="G239" i="1"/>
  <c r="G231" i="1"/>
  <c r="G223" i="1"/>
  <c r="J223" i="1" s="1"/>
  <c r="G215" i="1"/>
  <c r="J215" i="1" s="1"/>
  <c r="G207" i="1"/>
  <c r="G199" i="1"/>
  <c r="J199" i="1" s="1"/>
  <c r="G191" i="1"/>
  <c r="J191" i="1" s="1"/>
  <c r="G183" i="1"/>
  <c r="J183" i="1" s="1"/>
  <c r="G175" i="1"/>
  <c r="J175" i="1" s="1"/>
  <c r="G167" i="1"/>
  <c r="G159" i="1"/>
  <c r="G151" i="1"/>
  <c r="J151" i="1" s="1"/>
  <c r="G143" i="1"/>
  <c r="G135" i="1"/>
  <c r="J135" i="1" s="1"/>
  <c r="G127" i="1"/>
  <c r="G119" i="1"/>
  <c r="J119" i="1" s="1"/>
  <c r="G111" i="1"/>
  <c r="J111" i="1" s="1"/>
  <c r="G103" i="1"/>
  <c r="J103" i="1" s="1"/>
  <c r="G95" i="1"/>
  <c r="J95" i="1" s="1"/>
  <c r="G87" i="1"/>
  <c r="G79" i="1"/>
  <c r="G71" i="1"/>
  <c r="J71" i="1" s="1"/>
  <c r="G63" i="1"/>
  <c r="G55" i="1"/>
  <c r="J55" i="1" s="1"/>
  <c r="G47" i="1"/>
  <c r="J47" i="1" s="1"/>
  <c r="G39" i="1"/>
  <c r="G31" i="1"/>
  <c r="J31" i="1" s="1"/>
  <c r="G23" i="1"/>
  <c r="J23" i="1" s="1"/>
  <c r="G15" i="1"/>
  <c r="G252" i="1"/>
  <c r="G244" i="1"/>
  <c r="G236" i="1"/>
  <c r="G228" i="1"/>
  <c r="J228" i="1" s="1"/>
  <c r="G220" i="1"/>
  <c r="G212" i="1"/>
  <c r="J212" i="1" s="1"/>
  <c r="G204" i="1"/>
  <c r="J204" i="1" s="1"/>
  <c r="G196" i="1"/>
  <c r="G188" i="1"/>
  <c r="G180" i="1"/>
  <c r="J180" i="1" s="1"/>
  <c r="G172" i="1"/>
  <c r="G164" i="1"/>
  <c r="J164" i="1" s="1"/>
  <c r="G156" i="1"/>
  <c r="G148" i="1"/>
  <c r="J148" i="1" s="1"/>
  <c r="G140" i="1"/>
  <c r="J140" i="1" s="1"/>
  <c r="G132" i="1"/>
  <c r="G124" i="1"/>
  <c r="J124" i="1" s="1"/>
  <c r="G116" i="1"/>
  <c r="G108" i="1"/>
  <c r="J108" i="1" s="1"/>
  <c r="G100" i="1"/>
  <c r="J100" i="1" s="1"/>
  <c r="G92" i="1"/>
  <c r="J92" i="1" s="1"/>
  <c r="G84" i="1"/>
  <c r="J84" i="1" s="1"/>
  <c r="G76" i="1"/>
  <c r="J76" i="1" s="1"/>
  <c r="G68" i="1"/>
  <c r="G60" i="1"/>
  <c r="J60" i="1" s="1"/>
  <c r="G52" i="1"/>
  <c r="J52" i="1" s="1"/>
  <c r="G44" i="1"/>
  <c r="J44" i="1" s="1"/>
  <c r="G36" i="1"/>
  <c r="J36" i="1" s="1"/>
  <c r="G28" i="1"/>
  <c r="G20" i="1"/>
  <c r="J20" i="1" s="1"/>
  <c r="G12" i="1"/>
  <c r="J12" i="1" s="1"/>
  <c r="E194" i="1"/>
  <c r="H194" i="1" s="1"/>
  <c r="E223" i="1"/>
  <c r="H223" i="1" s="1"/>
  <c r="E231" i="1"/>
  <c r="H231" i="1" s="1"/>
  <c r="E207" i="1"/>
  <c r="H207" i="1" s="1"/>
  <c r="E191" i="1"/>
  <c r="H191" i="1" s="1"/>
  <c r="E175" i="1"/>
  <c r="H175" i="1" s="1"/>
  <c r="E167" i="1"/>
  <c r="H167" i="1" s="1"/>
  <c r="E159" i="1"/>
  <c r="H159" i="1" s="1"/>
  <c r="E256" i="1"/>
  <c r="H256" i="1" s="1"/>
  <c r="E240" i="1"/>
  <c r="H240" i="1" s="1"/>
  <c r="E208" i="1"/>
  <c r="H208" i="1" s="1"/>
  <c r="E192" i="1"/>
  <c r="H192" i="1" s="1"/>
  <c r="E176" i="1"/>
  <c r="H176" i="1" s="1"/>
  <c r="E160" i="1"/>
  <c r="H160" i="1" s="1"/>
  <c r="E152" i="1"/>
  <c r="H152" i="1" s="1"/>
  <c r="E136" i="1"/>
  <c r="H136" i="1" s="1"/>
  <c r="E104" i="1"/>
  <c r="H104" i="1" s="1"/>
  <c r="E72" i="1"/>
  <c r="H72" i="1" s="1"/>
  <c r="E40" i="1"/>
  <c r="H40" i="1" s="1"/>
  <c r="E248" i="1"/>
  <c r="H248" i="1" s="1"/>
  <c r="E224" i="1"/>
  <c r="H224" i="1" s="1"/>
  <c r="E216" i="1"/>
  <c r="H216" i="1" s="1"/>
  <c r="E252" i="1"/>
  <c r="H252" i="1" s="1"/>
  <c r="E244" i="1"/>
  <c r="H244" i="1" s="1"/>
  <c r="E236" i="1"/>
  <c r="H236" i="1" s="1"/>
  <c r="E228" i="1"/>
  <c r="H228" i="1" s="1"/>
  <c r="E220" i="1"/>
  <c r="H220" i="1" s="1"/>
  <c r="E204" i="1"/>
  <c r="H204" i="1" s="1"/>
  <c r="E188" i="1"/>
  <c r="H188" i="1" s="1"/>
  <c r="E172" i="1"/>
  <c r="H172" i="1" s="1"/>
  <c r="E164" i="1"/>
  <c r="H164" i="1" s="1"/>
  <c r="E156" i="1"/>
  <c r="H156" i="1" s="1"/>
  <c r="E132" i="1"/>
  <c r="H132" i="1" s="1"/>
  <c r="E100" i="1"/>
  <c r="H100" i="1" s="1"/>
  <c r="E68" i="1"/>
  <c r="H68" i="1" s="1"/>
  <c r="E36" i="1"/>
  <c r="H36" i="1" s="1"/>
  <c r="E257" i="1"/>
  <c r="H257" i="1" s="1"/>
  <c r="E233" i="1"/>
  <c r="H233" i="1" s="1"/>
  <c r="E225" i="1"/>
  <c r="H225" i="1" s="1"/>
  <c r="E201" i="1"/>
  <c r="H201" i="1" s="1"/>
  <c r="E185" i="1"/>
  <c r="H185" i="1" s="1"/>
  <c r="E169" i="1"/>
  <c r="H169" i="1" s="1"/>
  <c r="E161" i="1"/>
  <c r="H161" i="1" s="1"/>
  <c r="E254" i="1"/>
  <c r="H254" i="1" s="1"/>
  <c r="E246" i="1"/>
  <c r="H246" i="1" s="1"/>
  <c r="E238" i="1"/>
  <c r="H238" i="1" s="1"/>
  <c r="E230" i="1"/>
  <c r="H230" i="1" s="1"/>
  <c r="E222" i="1"/>
  <c r="H222" i="1" s="1"/>
  <c r="E198" i="1"/>
  <c r="H198" i="1" s="1"/>
  <c r="E182" i="1"/>
  <c r="H182" i="1" s="1"/>
  <c r="E166" i="1"/>
  <c r="H166" i="1" s="1"/>
  <c r="E158" i="1"/>
  <c r="H158" i="1" s="1"/>
  <c r="E118" i="1"/>
  <c r="H118" i="1" s="1"/>
  <c r="E86" i="1"/>
  <c r="H86" i="1" s="1"/>
  <c r="E227" i="1"/>
  <c r="H227" i="1" s="1"/>
  <c r="E219" i="1"/>
  <c r="H219" i="1" s="1"/>
  <c r="E211" i="1"/>
  <c r="H211" i="1" s="1"/>
  <c r="E195" i="1"/>
  <c r="H195" i="1" s="1"/>
  <c r="E179" i="1"/>
  <c r="H179" i="1" s="1"/>
  <c r="E163" i="1"/>
  <c r="H163" i="1" s="1"/>
  <c r="E155" i="1"/>
  <c r="H155" i="1" s="1"/>
  <c r="E253" i="1"/>
  <c r="H253" i="1" s="1"/>
  <c r="E245" i="1"/>
  <c r="H245" i="1" s="1"/>
  <c r="E237" i="1"/>
  <c r="H237" i="1" s="1"/>
  <c r="E9" i="1"/>
  <c r="H9" i="1" s="1"/>
  <c r="E258" i="1"/>
  <c r="H258" i="1" s="1"/>
  <c r="E250" i="1"/>
  <c r="H250" i="1" s="1"/>
  <c r="E242" i="1"/>
  <c r="H242" i="1" s="1"/>
  <c r="E234" i="1"/>
  <c r="H234" i="1" s="1"/>
  <c r="E226" i="1"/>
  <c r="H226" i="1" s="1"/>
  <c r="E210" i="1"/>
  <c r="H210" i="1" s="1"/>
  <c r="E178" i="1"/>
  <c r="H178" i="1" s="1"/>
  <c r="E170" i="1"/>
  <c r="H170" i="1" s="1"/>
  <c r="E162" i="1"/>
  <c r="H162" i="1" s="1"/>
  <c r="F252" i="1"/>
  <c r="I252" i="1" s="1"/>
  <c r="F244" i="1"/>
  <c r="I244" i="1" s="1"/>
  <c r="F236" i="1"/>
  <c r="I236" i="1" s="1"/>
  <c r="F228" i="1"/>
  <c r="I228" i="1" s="1"/>
  <c r="F220" i="1"/>
  <c r="I220" i="1" s="1"/>
  <c r="F212" i="1"/>
  <c r="I212" i="1" s="1"/>
  <c r="F204" i="1"/>
  <c r="I204" i="1" s="1"/>
  <c r="F145" i="1"/>
  <c r="I145" i="1" s="1"/>
  <c r="F81" i="1"/>
  <c r="I81" i="1" s="1"/>
  <c r="F41" i="1"/>
  <c r="I41" i="1" s="1"/>
  <c r="F259" i="1"/>
  <c r="I259" i="1" s="1"/>
  <c r="F251" i="1"/>
  <c r="I251" i="1" s="1"/>
  <c r="F243" i="1"/>
  <c r="I243" i="1" s="1"/>
  <c r="F235" i="1"/>
  <c r="I235" i="1" s="1"/>
  <c r="F227" i="1"/>
  <c r="I227" i="1" s="1"/>
  <c r="F219" i="1"/>
  <c r="I219" i="1" s="1"/>
  <c r="F203" i="1"/>
  <c r="I203" i="1" s="1"/>
  <c r="F187" i="1"/>
  <c r="I187" i="1" s="1"/>
  <c r="F179" i="1"/>
  <c r="I179" i="1" s="1"/>
  <c r="F171" i="1"/>
  <c r="I171" i="1" s="1"/>
  <c r="F155" i="1"/>
  <c r="I155" i="1" s="1"/>
  <c r="F147" i="1"/>
  <c r="I147" i="1" s="1"/>
  <c r="F139" i="1"/>
  <c r="I139" i="1" s="1"/>
  <c r="F131" i="1"/>
  <c r="I131" i="1" s="1"/>
  <c r="F123" i="1"/>
  <c r="I123" i="1" s="1"/>
  <c r="F115" i="1"/>
  <c r="I115" i="1" s="1"/>
  <c r="F107" i="1"/>
  <c r="I107" i="1" s="1"/>
  <c r="F99" i="1"/>
  <c r="I99" i="1" s="1"/>
  <c r="F91" i="1"/>
  <c r="I91" i="1" s="1"/>
  <c r="F83" i="1"/>
  <c r="I83" i="1" s="1"/>
  <c r="F75" i="1"/>
  <c r="I75" i="1" s="1"/>
  <c r="F67" i="1"/>
  <c r="I67" i="1" s="1"/>
  <c r="F59" i="1"/>
  <c r="I59" i="1" s="1"/>
  <c r="F51" i="1"/>
  <c r="I51" i="1" s="1"/>
  <c r="F43" i="1"/>
  <c r="I43" i="1" s="1"/>
  <c r="F35" i="1"/>
  <c r="I35" i="1" s="1"/>
  <c r="F27" i="1"/>
  <c r="I27" i="1" s="1"/>
  <c r="F19" i="1"/>
  <c r="I19" i="1" s="1"/>
  <c r="F11" i="1"/>
  <c r="I11" i="1" s="1"/>
  <c r="F213" i="1"/>
  <c r="I213" i="1" s="1"/>
  <c r="F197" i="1"/>
  <c r="I197" i="1" s="1"/>
  <c r="F85" i="1"/>
  <c r="I85" i="1" s="1"/>
  <c r="F53" i="1"/>
  <c r="I53" i="1" s="1"/>
  <c r="F215" i="1"/>
  <c r="I215" i="1" s="1"/>
  <c r="F199" i="1"/>
  <c r="I199" i="1" s="1"/>
  <c r="F183" i="1"/>
  <c r="I183" i="1" s="1"/>
  <c r="F151" i="1"/>
  <c r="I151" i="1" s="1"/>
  <c r="F143" i="1"/>
  <c r="I143" i="1" s="1"/>
  <c r="F135" i="1"/>
  <c r="I135" i="1" s="1"/>
  <c r="F127" i="1"/>
  <c r="I127" i="1" s="1"/>
  <c r="F119" i="1"/>
  <c r="I119" i="1" s="1"/>
  <c r="F111" i="1"/>
  <c r="I111" i="1" s="1"/>
  <c r="F103" i="1"/>
  <c r="I103" i="1" s="1"/>
  <c r="F95" i="1"/>
  <c r="I95" i="1" s="1"/>
  <c r="F87" i="1"/>
  <c r="I87" i="1" s="1"/>
  <c r="F79" i="1"/>
  <c r="I79" i="1" s="1"/>
  <c r="F71" i="1"/>
  <c r="I71" i="1" s="1"/>
  <c r="F63" i="1"/>
  <c r="I63" i="1" s="1"/>
  <c r="F55" i="1"/>
  <c r="I55" i="1" s="1"/>
  <c r="F47" i="1"/>
  <c r="I47" i="1" s="1"/>
  <c r="F39" i="1"/>
  <c r="I39" i="1" s="1"/>
  <c r="F31" i="1"/>
  <c r="I31" i="1" s="1"/>
  <c r="F23" i="1"/>
  <c r="I23" i="1" s="1"/>
  <c r="F15" i="1"/>
  <c r="I15" i="1" s="1"/>
  <c r="F9" i="1"/>
  <c r="I9" i="1" s="1"/>
  <c r="F173" i="1"/>
  <c r="I173" i="1" s="1"/>
  <c r="F141" i="1"/>
  <c r="I141" i="1" s="1"/>
  <c r="F18" i="1"/>
  <c r="I18" i="1" s="1"/>
  <c r="F196" i="1"/>
  <c r="I196" i="1" s="1"/>
  <c r="F201" i="1"/>
  <c r="I201" i="1" s="1"/>
  <c r="F229" i="1"/>
  <c r="I229" i="1" s="1"/>
  <c r="F205" i="1"/>
  <c r="I205" i="1" s="1"/>
  <c r="F189" i="1"/>
  <c r="I189" i="1" s="1"/>
  <c r="F157" i="1"/>
  <c r="I157" i="1" s="1"/>
  <c r="F125" i="1"/>
  <c r="I125" i="1" s="1"/>
  <c r="F109" i="1"/>
  <c r="I109" i="1" s="1"/>
  <c r="F21" i="1"/>
  <c r="I21" i="1" s="1"/>
  <c r="F239" i="1"/>
  <c r="I239" i="1" s="1"/>
  <c r="F249" i="1"/>
  <c r="I249" i="1" s="1"/>
  <c r="F241" i="1"/>
  <c r="I241" i="1" s="1"/>
  <c r="F217" i="1"/>
  <c r="I217" i="1" s="1"/>
  <c r="F209" i="1"/>
  <c r="I209" i="1" s="1"/>
  <c r="F193" i="1"/>
  <c r="I193" i="1" s="1"/>
  <c r="F177" i="1"/>
  <c r="I177" i="1" s="1"/>
  <c r="F169" i="1"/>
  <c r="I169" i="1" s="1"/>
  <c r="F153" i="1"/>
  <c r="I153" i="1" s="1"/>
  <c r="F137" i="1"/>
  <c r="I137" i="1" s="1"/>
  <c r="F129" i="1"/>
  <c r="I129" i="1" s="1"/>
  <c r="F121" i="1"/>
  <c r="I121" i="1" s="1"/>
  <c r="F113" i="1"/>
  <c r="I113" i="1" s="1"/>
  <c r="F105" i="1"/>
  <c r="I105" i="1" s="1"/>
  <c r="F97" i="1"/>
  <c r="I97" i="1" s="1"/>
  <c r="F89" i="1"/>
  <c r="I89" i="1" s="1"/>
  <c r="F73" i="1"/>
  <c r="I73" i="1" s="1"/>
  <c r="F65" i="1"/>
  <c r="I65" i="1" s="1"/>
  <c r="F57" i="1"/>
  <c r="I57" i="1" s="1"/>
  <c r="F49" i="1"/>
  <c r="I49" i="1" s="1"/>
  <c r="F33" i="1"/>
  <c r="I33" i="1" s="1"/>
  <c r="F25" i="1"/>
  <c r="I25" i="1" s="1"/>
  <c r="F17" i="1"/>
  <c r="I17" i="1" s="1"/>
  <c r="F165" i="1"/>
  <c r="I165" i="1" s="1"/>
  <c r="F149" i="1"/>
  <c r="I149" i="1" s="1"/>
  <c r="F133" i="1"/>
  <c r="I133" i="1" s="1"/>
  <c r="F101" i="1"/>
  <c r="I101" i="1" s="1"/>
  <c r="F69" i="1"/>
  <c r="I69" i="1" s="1"/>
  <c r="F45" i="1"/>
  <c r="I45" i="1" s="1"/>
  <c r="F37" i="1"/>
  <c r="I37" i="1" s="1"/>
  <c r="F13" i="1"/>
  <c r="I13" i="1" s="1"/>
  <c r="F10" i="1"/>
  <c r="I10" i="1" s="1"/>
  <c r="F255" i="1"/>
  <c r="I255" i="1" s="1"/>
  <c r="F221" i="1"/>
  <c r="I221" i="1" s="1"/>
  <c r="F181" i="1"/>
  <c r="I181" i="1" s="1"/>
  <c r="F117" i="1"/>
  <c r="I117" i="1" s="1"/>
  <c r="F93" i="1"/>
  <c r="I93" i="1" s="1"/>
  <c r="F77" i="1"/>
  <c r="I77" i="1" s="1"/>
  <c r="F61" i="1"/>
  <c r="I61" i="1" s="1"/>
  <c r="F29" i="1"/>
  <c r="I29" i="1" s="1"/>
  <c r="F180" i="1"/>
  <c r="I180" i="1" s="1"/>
  <c r="F148" i="1"/>
  <c r="I148" i="1" s="1"/>
  <c r="F140" i="1"/>
  <c r="I140" i="1" s="1"/>
  <c r="F124" i="1"/>
  <c r="I124" i="1" s="1"/>
  <c r="F116" i="1"/>
  <c r="I116" i="1" s="1"/>
  <c r="F108" i="1"/>
  <c r="I108" i="1" s="1"/>
  <c r="F92" i="1"/>
  <c r="I92" i="1" s="1"/>
  <c r="F84" i="1"/>
  <c r="I84" i="1" s="1"/>
  <c r="F76" i="1"/>
  <c r="I76" i="1" s="1"/>
  <c r="F60" i="1"/>
  <c r="I60" i="1" s="1"/>
  <c r="F52" i="1"/>
  <c r="I52" i="1" s="1"/>
  <c r="F44" i="1"/>
  <c r="I44" i="1" s="1"/>
  <c r="F28" i="1"/>
  <c r="I28" i="1" s="1"/>
  <c r="F20" i="1"/>
  <c r="I20" i="1" s="1"/>
  <c r="F12" i="1"/>
  <c r="I12" i="1" s="1"/>
  <c r="F257" i="1"/>
  <c r="I257" i="1" s="1"/>
  <c r="F214" i="1"/>
  <c r="I214" i="1" s="1"/>
  <c r="F206" i="1"/>
  <c r="I206" i="1" s="1"/>
  <c r="F190" i="1"/>
  <c r="I190" i="1" s="1"/>
  <c r="F174" i="1"/>
  <c r="I174" i="1" s="1"/>
  <c r="F150" i="1"/>
  <c r="I150" i="1" s="1"/>
  <c r="F142" i="1"/>
  <c r="I142" i="1" s="1"/>
  <c r="F134" i="1"/>
  <c r="I134" i="1" s="1"/>
  <c r="F126" i="1"/>
  <c r="I126" i="1" s="1"/>
  <c r="F110" i="1"/>
  <c r="I110" i="1" s="1"/>
  <c r="F102" i="1"/>
  <c r="I102" i="1" s="1"/>
  <c r="F94" i="1"/>
  <c r="I94" i="1" s="1"/>
  <c r="F86" i="1"/>
  <c r="I86" i="1" s="1"/>
  <c r="F78" i="1"/>
  <c r="I78" i="1" s="1"/>
  <c r="F70" i="1"/>
  <c r="I70" i="1" s="1"/>
  <c r="F62" i="1"/>
  <c r="I62" i="1" s="1"/>
  <c r="F54" i="1"/>
  <c r="I54" i="1" s="1"/>
  <c r="F46" i="1"/>
  <c r="I46" i="1" s="1"/>
  <c r="F38" i="1"/>
  <c r="I38" i="1" s="1"/>
  <c r="F30" i="1"/>
  <c r="I30" i="1" s="1"/>
  <c r="F22" i="1"/>
  <c r="I22" i="1" s="1"/>
  <c r="F14" i="1"/>
  <c r="I14" i="1" s="1"/>
  <c r="F185" i="1"/>
  <c r="I185" i="1" s="1"/>
  <c r="F233" i="1"/>
  <c r="I233" i="1" s="1"/>
  <c r="E217" i="1"/>
  <c r="H217" i="1" s="1"/>
  <c r="F232" i="1"/>
  <c r="I232" i="1" s="1"/>
  <c r="F200" i="1"/>
  <c r="I200" i="1" s="1"/>
  <c r="F184" i="1"/>
  <c r="I184" i="1" s="1"/>
  <c r="F168" i="1"/>
  <c r="I168" i="1" s="1"/>
  <c r="F144" i="1"/>
  <c r="I144" i="1" s="1"/>
  <c r="F128" i="1"/>
  <c r="I128" i="1" s="1"/>
  <c r="F120" i="1"/>
  <c r="I120" i="1" s="1"/>
  <c r="F112" i="1"/>
  <c r="I112" i="1" s="1"/>
  <c r="F96" i="1"/>
  <c r="I96" i="1" s="1"/>
  <c r="F88" i="1"/>
  <c r="I88" i="1" s="1"/>
  <c r="F80" i="1"/>
  <c r="I80" i="1" s="1"/>
  <c r="F64" i="1"/>
  <c r="I64" i="1" s="1"/>
  <c r="F56" i="1"/>
  <c r="I56" i="1" s="1"/>
  <c r="F48" i="1"/>
  <c r="I48" i="1" s="1"/>
  <c r="F40" i="1"/>
  <c r="I40" i="1" s="1"/>
  <c r="F32" i="1"/>
  <c r="I32" i="1" s="1"/>
  <c r="F24" i="1"/>
  <c r="I24" i="1" s="1"/>
  <c r="F16" i="1"/>
  <c r="I16" i="1" s="1"/>
  <c r="F225" i="1"/>
  <c r="I225" i="1" s="1"/>
  <c r="F161" i="1"/>
  <c r="I161" i="1" s="1"/>
  <c r="F250" i="1"/>
  <c r="I250" i="1" s="1"/>
  <c r="F218" i="1"/>
  <c r="I218" i="1" s="1"/>
  <c r="F202" i="1"/>
  <c r="I202" i="1" s="1"/>
  <c r="F194" i="1"/>
  <c r="I194" i="1" s="1"/>
  <c r="F186" i="1"/>
  <c r="I186" i="1" s="1"/>
  <c r="F178" i="1"/>
  <c r="I178" i="1" s="1"/>
  <c r="F170" i="1"/>
  <c r="I170" i="1" s="1"/>
  <c r="F162" i="1"/>
  <c r="I162" i="1" s="1"/>
  <c r="F154" i="1"/>
  <c r="I154" i="1" s="1"/>
  <c r="F146" i="1"/>
  <c r="I146" i="1" s="1"/>
  <c r="F138" i="1"/>
  <c r="I138" i="1" s="1"/>
  <c r="F130" i="1"/>
  <c r="I130" i="1" s="1"/>
  <c r="F122" i="1"/>
  <c r="I122" i="1" s="1"/>
  <c r="F114" i="1"/>
  <c r="I114" i="1" s="1"/>
  <c r="F106" i="1"/>
  <c r="I106" i="1" s="1"/>
  <c r="F98" i="1"/>
  <c r="I98" i="1" s="1"/>
  <c r="F90" i="1"/>
  <c r="I90" i="1" s="1"/>
  <c r="F82" i="1"/>
  <c r="I82" i="1" s="1"/>
  <c r="F74" i="1"/>
  <c r="I74" i="1" s="1"/>
  <c r="F66" i="1"/>
  <c r="I66" i="1" s="1"/>
  <c r="F58" i="1"/>
  <c r="I58" i="1" s="1"/>
  <c r="F50" i="1"/>
  <c r="I50" i="1" s="1"/>
  <c r="F42" i="1"/>
  <c r="I42" i="1" s="1"/>
  <c r="F34" i="1"/>
  <c r="I34" i="1" s="1"/>
  <c r="F26" i="1"/>
  <c r="I26" i="1" s="1"/>
  <c r="E54" i="1"/>
  <c r="H54" i="1" s="1"/>
  <c r="F256" i="1"/>
  <c r="I256" i="1" s="1"/>
  <c r="F248" i="1"/>
  <c r="I248" i="1" s="1"/>
  <c r="F240" i="1"/>
  <c r="I240" i="1" s="1"/>
  <c r="F224" i="1"/>
  <c r="I224" i="1" s="1"/>
  <c r="F216" i="1"/>
  <c r="I216" i="1" s="1"/>
  <c r="F208" i="1"/>
  <c r="I208" i="1" s="1"/>
  <c r="F192" i="1"/>
  <c r="I192" i="1" s="1"/>
  <c r="F176" i="1"/>
  <c r="I176" i="1" s="1"/>
  <c r="F160" i="1"/>
  <c r="I160" i="1" s="1"/>
  <c r="F152" i="1"/>
  <c r="I152" i="1" s="1"/>
  <c r="F136" i="1"/>
  <c r="I136" i="1" s="1"/>
  <c r="F104" i="1"/>
  <c r="I104" i="1" s="1"/>
  <c r="F72" i="1"/>
  <c r="I72" i="1" s="1"/>
  <c r="F247" i="1"/>
  <c r="I247" i="1" s="1"/>
  <c r="F231" i="1"/>
  <c r="I231" i="1" s="1"/>
  <c r="F207" i="1"/>
  <c r="I207" i="1" s="1"/>
  <c r="F191" i="1"/>
  <c r="I191" i="1" s="1"/>
  <c r="F175" i="1"/>
  <c r="I175" i="1" s="1"/>
  <c r="F167" i="1"/>
  <c r="I167" i="1" s="1"/>
  <c r="E214" i="1"/>
  <c r="H214" i="1" s="1"/>
  <c r="E22" i="1"/>
  <c r="H22" i="1" s="1"/>
  <c r="F254" i="1"/>
  <c r="I254" i="1" s="1"/>
  <c r="F246" i="1"/>
  <c r="I246" i="1" s="1"/>
  <c r="F238" i="1"/>
  <c r="I238" i="1" s="1"/>
  <c r="F230" i="1"/>
  <c r="I230" i="1" s="1"/>
  <c r="F222" i="1"/>
  <c r="I222" i="1" s="1"/>
  <c r="F198" i="1"/>
  <c r="I198" i="1" s="1"/>
  <c r="F182" i="1"/>
  <c r="I182" i="1" s="1"/>
  <c r="F166" i="1"/>
  <c r="I166" i="1" s="1"/>
  <c r="F158" i="1"/>
  <c r="I158" i="1" s="1"/>
  <c r="F118" i="1"/>
  <c r="I118" i="1" s="1"/>
  <c r="F223" i="1"/>
  <c r="I223" i="1" s="1"/>
  <c r="F159" i="1"/>
  <c r="I159" i="1" s="1"/>
  <c r="E16" i="1"/>
  <c r="H16" i="1" s="1"/>
  <c r="F253" i="1"/>
  <c r="I253" i="1" s="1"/>
  <c r="F245" i="1"/>
  <c r="I245" i="1" s="1"/>
  <c r="F237" i="1"/>
  <c r="I237" i="1" s="1"/>
  <c r="F188" i="1"/>
  <c r="I188" i="1" s="1"/>
  <c r="F172" i="1"/>
  <c r="I172" i="1" s="1"/>
  <c r="F164" i="1"/>
  <c r="I164" i="1" s="1"/>
  <c r="F156" i="1"/>
  <c r="I156" i="1" s="1"/>
  <c r="F132" i="1"/>
  <c r="I132" i="1" s="1"/>
  <c r="F100" i="1"/>
  <c r="I100" i="1" s="1"/>
  <c r="F68" i="1"/>
  <c r="I68" i="1" s="1"/>
  <c r="F36" i="1"/>
  <c r="I36" i="1" s="1"/>
  <c r="F211" i="1"/>
  <c r="I211" i="1" s="1"/>
  <c r="F195" i="1"/>
  <c r="I195" i="1" s="1"/>
  <c r="F163" i="1"/>
  <c r="I163" i="1" s="1"/>
  <c r="F258" i="1"/>
  <c r="I258" i="1" s="1"/>
  <c r="F242" i="1"/>
  <c r="I242" i="1" s="1"/>
  <c r="F234" i="1"/>
  <c r="I234" i="1" s="1"/>
  <c r="F226" i="1"/>
  <c r="I226" i="1" s="1"/>
  <c r="F210" i="1"/>
  <c r="I210" i="1" s="1"/>
  <c r="J246" i="1"/>
  <c r="J203" i="1"/>
  <c r="J96" i="1"/>
  <c r="J218" i="1"/>
  <c r="J160" i="1"/>
  <c r="E249" i="1"/>
  <c r="H249" i="1" s="1"/>
  <c r="J255" i="1"/>
  <c r="J172" i="1"/>
  <c r="J236" i="1"/>
  <c r="J28" i="1"/>
  <c r="J68" i="1"/>
  <c r="J116" i="1"/>
  <c r="J132" i="1"/>
  <c r="J15" i="1"/>
  <c r="J39" i="1"/>
  <c r="J63" i="1"/>
  <c r="J79" i="1"/>
  <c r="J87" i="1"/>
  <c r="J127" i="1"/>
  <c r="J143" i="1"/>
  <c r="J159" i="1"/>
  <c r="J167" i="1"/>
  <c r="J207" i="1"/>
  <c r="J231" i="1"/>
  <c r="J19" i="1"/>
  <c r="J25" i="1"/>
  <c r="J29" i="1"/>
  <c r="J43" i="1"/>
  <c r="J93" i="1"/>
  <c r="J107" i="1"/>
  <c r="J121" i="1"/>
  <c r="J139" i="1"/>
  <c r="J145" i="1"/>
  <c r="G10" i="1"/>
  <c r="J10" i="1" s="1"/>
  <c r="J26" i="1"/>
  <c r="J40" i="1"/>
  <c r="J72" i="1"/>
  <c r="J90" i="1"/>
  <c r="J104" i="1"/>
  <c r="J122" i="1"/>
  <c r="J173" i="1"/>
  <c r="J176" i="1"/>
  <c r="J188" i="1"/>
  <c r="J65" i="1"/>
  <c r="J69" i="1"/>
  <c r="J129" i="1"/>
  <c r="J152" i="1"/>
  <c r="J155" i="1"/>
  <c r="J158" i="1"/>
  <c r="J210" i="1"/>
  <c r="J219" i="1"/>
  <c r="J222" i="1"/>
  <c r="J245" i="1"/>
  <c r="J192" i="1"/>
  <c r="J198" i="1"/>
  <c r="J94" i="1"/>
  <c r="J98" i="1"/>
  <c r="J195" i="1"/>
  <c r="J41" i="1"/>
  <c r="J59" i="1"/>
  <c r="J77" i="1"/>
  <c r="J168" i="1"/>
  <c r="J171" i="1"/>
  <c r="J174" i="1"/>
  <c r="J177" i="1"/>
  <c r="J232" i="1"/>
  <c r="J243" i="1"/>
  <c r="J251" i="1"/>
  <c r="J259" i="1"/>
  <c r="J38" i="1"/>
  <c r="J70" i="1"/>
  <c r="J88" i="1"/>
  <c r="J120" i="1"/>
  <c r="J134" i="1"/>
  <c r="J147" i="1"/>
  <c r="J156" i="1"/>
  <c r="J49" i="1"/>
  <c r="J53" i="1"/>
  <c r="J81" i="1"/>
  <c r="J99" i="1"/>
  <c r="J117" i="1"/>
  <c r="J178" i="1"/>
  <c r="J181" i="1"/>
  <c r="J187" i="1"/>
  <c r="J190" i="1"/>
  <c r="J196" i="1"/>
  <c r="J241" i="1"/>
  <c r="J257" i="1"/>
  <c r="J13" i="1"/>
  <c r="J17" i="1"/>
  <c r="J32" i="1"/>
  <c r="J50" i="1"/>
  <c r="J252" i="1"/>
  <c r="J244" i="1"/>
  <c r="J221" i="1"/>
  <c r="J200" i="1"/>
  <c r="J163" i="1"/>
  <c r="J157" i="1"/>
  <c r="J114" i="1"/>
  <c r="J227" i="1"/>
  <c r="J64" i="1"/>
  <c r="G9" i="1"/>
  <c r="J9" i="1" s="1"/>
  <c r="J239" i="1"/>
  <c r="J220" i="1"/>
  <c r="J110" i="1"/>
  <c r="J205" i="1"/>
  <c r="J169" i="1"/>
  <c r="J78" i="1"/>
  <c r="J224" i="1"/>
  <c r="J209" i="1"/>
  <c r="J154" i="1"/>
  <c r="E255" i="1"/>
  <c r="H255" i="1" s="1"/>
  <c r="E247" i="1"/>
  <c r="H247" i="1" s="1"/>
  <c r="E239" i="1"/>
  <c r="H239" i="1" s="1"/>
  <c r="E218" i="1"/>
  <c r="H218" i="1" s="1"/>
  <c r="E215" i="1"/>
  <c r="H215" i="1" s="1"/>
  <c r="E212" i="1"/>
  <c r="H212" i="1" s="1"/>
  <c r="E209" i="1"/>
  <c r="H209" i="1" s="1"/>
  <c r="E206" i="1"/>
  <c r="H206" i="1" s="1"/>
  <c r="E203" i="1"/>
  <c r="H203" i="1" s="1"/>
  <c r="E200" i="1"/>
  <c r="H200" i="1" s="1"/>
  <c r="E154" i="1"/>
  <c r="H154" i="1" s="1"/>
  <c r="E151" i="1"/>
  <c r="H151" i="1" s="1"/>
  <c r="E148" i="1"/>
  <c r="H148" i="1" s="1"/>
  <c r="E145" i="1"/>
  <c r="H145" i="1" s="1"/>
  <c r="E142" i="1"/>
  <c r="H142" i="1" s="1"/>
  <c r="E139" i="1"/>
  <c r="H139" i="1" s="1"/>
  <c r="E135" i="1"/>
  <c r="H135" i="1" s="1"/>
  <c r="E121" i="1"/>
  <c r="H121" i="1" s="1"/>
  <c r="E107" i="1"/>
  <c r="H107" i="1" s="1"/>
  <c r="E103" i="1"/>
  <c r="H103" i="1" s="1"/>
  <c r="E89" i="1"/>
  <c r="H89" i="1" s="1"/>
  <c r="E75" i="1"/>
  <c r="H75" i="1" s="1"/>
  <c r="E71" i="1"/>
  <c r="H71" i="1" s="1"/>
  <c r="E57" i="1"/>
  <c r="H57" i="1" s="1"/>
  <c r="E43" i="1"/>
  <c r="H43" i="1" s="1"/>
  <c r="E39" i="1"/>
  <c r="H39" i="1" s="1"/>
  <c r="E25" i="1"/>
  <c r="H25" i="1" s="1"/>
  <c r="E128" i="1"/>
  <c r="H128" i="1" s="1"/>
  <c r="E124" i="1"/>
  <c r="H124" i="1" s="1"/>
  <c r="E110" i="1"/>
  <c r="H110" i="1" s="1"/>
  <c r="E96" i="1"/>
  <c r="H96" i="1" s="1"/>
  <c r="E92" i="1"/>
  <c r="H92" i="1" s="1"/>
  <c r="E78" i="1"/>
  <c r="H78" i="1" s="1"/>
  <c r="E64" i="1"/>
  <c r="H64" i="1" s="1"/>
  <c r="E60" i="1"/>
  <c r="H60" i="1" s="1"/>
  <c r="E46" i="1"/>
  <c r="H46" i="1" s="1"/>
  <c r="E32" i="1"/>
  <c r="H32" i="1" s="1"/>
  <c r="E28" i="1"/>
  <c r="H28" i="1" s="1"/>
  <c r="E241" i="1"/>
  <c r="H241" i="1" s="1"/>
  <c r="E202" i="1"/>
  <c r="H202" i="1" s="1"/>
  <c r="E199" i="1"/>
  <c r="H199" i="1" s="1"/>
  <c r="E196" i="1"/>
  <c r="H196" i="1" s="1"/>
  <c r="E193" i="1"/>
  <c r="H193" i="1" s="1"/>
  <c r="E190" i="1"/>
  <c r="H190" i="1" s="1"/>
  <c r="E187" i="1"/>
  <c r="H187" i="1" s="1"/>
  <c r="E184" i="1"/>
  <c r="H184" i="1" s="1"/>
  <c r="E131" i="1"/>
  <c r="H131" i="1" s="1"/>
  <c r="E127" i="1"/>
  <c r="H127" i="1" s="1"/>
  <c r="E113" i="1"/>
  <c r="H113" i="1" s="1"/>
  <c r="E99" i="1"/>
  <c r="H99" i="1" s="1"/>
  <c r="E95" i="1"/>
  <c r="H95" i="1" s="1"/>
  <c r="E81" i="1"/>
  <c r="H81" i="1" s="1"/>
  <c r="E67" i="1"/>
  <c r="H67" i="1" s="1"/>
  <c r="E63" i="1"/>
  <c r="H63" i="1" s="1"/>
  <c r="E49" i="1"/>
  <c r="H49" i="1" s="1"/>
  <c r="E35" i="1"/>
  <c r="H35" i="1" s="1"/>
  <c r="E31" i="1"/>
  <c r="H31" i="1" s="1"/>
  <c r="E12" i="1"/>
  <c r="H12" i="1" s="1"/>
  <c r="E153" i="1"/>
  <c r="H153" i="1" s="1"/>
  <c r="E150" i="1"/>
  <c r="H150" i="1" s="1"/>
  <c r="E147" i="1"/>
  <c r="H147" i="1" s="1"/>
  <c r="E144" i="1"/>
  <c r="H144" i="1" s="1"/>
  <c r="E134" i="1"/>
  <c r="H134" i="1" s="1"/>
  <c r="E120" i="1"/>
  <c r="H120" i="1" s="1"/>
  <c r="E116" i="1"/>
  <c r="H116" i="1" s="1"/>
  <c r="E102" i="1"/>
  <c r="H102" i="1" s="1"/>
  <c r="E88" i="1"/>
  <c r="H88" i="1" s="1"/>
  <c r="E84" i="1"/>
  <c r="H84" i="1" s="1"/>
  <c r="E70" i="1"/>
  <c r="H70" i="1" s="1"/>
  <c r="E56" i="1"/>
  <c r="H56" i="1" s="1"/>
  <c r="E52" i="1"/>
  <c r="H52" i="1" s="1"/>
  <c r="E38" i="1"/>
  <c r="H38" i="1" s="1"/>
  <c r="E24" i="1"/>
  <c r="H24" i="1" s="1"/>
  <c r="E20" i="1"/>
  <c r="H20" i="1" s="1"/>
  <c r="E10" i="1"/>
  <c r="H10" i="1" s="1"/>
  <c r="E18" i="1"/>
  <c r="H18" i="1" s="1"/>
  <c r="E26" i="1"/>
  <c r="H26" i="1" s="1"/>
  <c r="E34" i="1"/>
  <c r="H34" i="1" s="1"/>
  <c r="E42" i="1"/>
  <c r="H42" i="1" s="1"/>
  <c r="E50" i="1"/>
  <c r="H50" i="1" s="1"/>
  <c r="E58" i="1"/>
  <c r="H58" i="1" s="1"/>
  <c r="E66" i="1"/>
  <c r="H66" i="1" s="1"/>
  <c r="E74" i="1"/>
  <c r="H74" i="1" s="1"/>
  <c r="E82" i="1"/>
  <c r="H82" i="1" s="1"/>
  <c r="E90" i="1"/>
  <c r="H90" i="1" s="1"/>
  <c r="E98" i="1"/>
  <c r="H98" i="1" s="1"/>
  <c r="E106" i="1"/>
  <c r="H106" i="1" s="1"/>
  <c r="E114" i="1"/>
  <c r="H114" i="1" s="1"/>
  <c r="E122" i="1"/>
  <c r="H122" i="1" s="1"/>
  <c r="E130" i="1"/>
  <c r="H130" i="1" s="1"/>
  <c r="E138" i="1"/>
  <c r="H138" i="1" s="1"/>
  <c r="E13" i="1"/>
  <c r="H13" i="1" s="1"/>
  <c r="E21" i="1"/>
  <c r="H21" i="1" s="1"/>
  <c r="E29" i="1"/>
  <c r="H29" i="1" s="1"/>
  <c r="E37" i="1"/>
  <c r="H37" i="1" s="1"/>
  <c r="E45" i="1"/>
  <c r="H45" i="1" s="1"/>
  <c r="E53" i="1"/>
  <c r="H53" i="1" s="1"/>
  <c r="E61" i="1"/>
  <c r="H61" i="1" s="1"/>
  <c r="E69" i="1"/>
  <c r="H69" i="1" s="1"/>
  <c r="E77" i="1"/>
  <c r="H77" i="1" s="1"/>
  <c r="E85" i="1"/>
  <c r="H85" i="1" s="1"/>
  <c r="E93" i="1"/>
  <c r="H93" i="1" s="1"/>
  <c r="E101" i="1"/>
  <c r="H101" i="1" s="1"/>
  <c r="E109" i="1"/>
  <c r="H109" i="1" s="1"/>
  <c r="E117" i="1"/>
  <c r="H117" i="1" s="1"/>
  <c r="E125" i="1"/>
  <c r="H125" i="1" s="1"/>
  <c r="E133" i="1"/>
  <c r="H133" i="1" s="1"/>
  <c r="E141" i="1"/>
  <c r="H141" i="1" s="1"/>
  <c r="E149" i="1"/>
  <c r="H149" i="1" s="1"/>
  <c r="E157" i="1"/>
  <c r="H157" i="1" s="1"/>
  <c r="E165" i="1"/>
  <c r="H165" i="1" s="1"/>
  <c r="E173" i="1"/>
  <c r="H173" i="1" s="1"/>
  <c r="E181" i="1"/>
  <c r="H181" i="1" s="1"/>
  <c r="E189" i="1"/>
  <c r="H189" i="1" s="1"/>
  <c r="E197" i="1"/>
  <c r="H197" i="1" s="1"/>
  <c r="E205" i="1"/>
  <c r="H205" i="1" s="1"/>
  <c r="E213" i="1"/>
  <c r="H213" i="1" s="1"/>
  <c r="E221" i="1"/>
  <c r="H221" i="1" s="1"/>
  <c r="E229" i="1"/>
  <c r="H229" i="1" s="1"/>
  <c r="E17" i="1"/>
  <c r="H17" i="1" s="1"/>
  <c r="E259" i="1"/>
  <c r="H259" i="1" s="1"/>
  <c r="E251" i="1"/>
  <c r="H251" i="1" s="1"/>
  <c r="E243" i="1"/>
  <c r="H243" i="1" s="1"/>
  <c r="E235" i="1"/>
  <c r="H235" i="1" s="1"/>
  <c r="E232" i="1"/>
  <c r="H232" i="1" s="1"/>
  <c r="E186" i="1"/>
  <c r="H186" i="1" s="1"/>
  <c r="E183" i="1"/>
  <c r="H183" i="1" s="1"/>
  <c r="E180" i="1"/>
  <c r="H180" i="1" s="1"/>
  <c r="E177" i="1"/>
  <c r="H177" i="1" s="1"/>
  <c r="E174" i="1"/>
  <c r="H174" i="1" s="1"/>
  <c r="E171" i="1"/>
  <c r="H171" i="1" s="1"/>
  <c r="E168" i="1"/>
  <c r="H168" i="1" s="1"/>
  <c r="E137" i="1"/>
  <c r="H137" i="1" s="1"/>
  <c r="E123" i="1"/>
  <c r="H123" i="1" s="1"/>
  <c r="E119" i="1"/>
  <c r="H119" i="1" s="1"/>
  <c r="E105" i="1"/>
  <c r="H105" i="1" s="1"/>
  <c r="E91" i="1"/>
  <c r="H91" i="1" s="1"/>
  <c r="E87" i="1"/>
  <c r="H87" i="1" s="1"/>
  <c r="E73" i="1"/>
  <c r="H73" i="1" s="1"/>
  <c r="E59" i="1"/>
  <c r="H59" i="1" s="1"/>
  <c r="E55" i="1"/>
  <c r="H55" i="1" s="1"/>
  <c r="E41" i="1"/>
  <c r="H41" i="1" s="1"/>
  <c r="E27" i="1"/>
  <c r="H27" i="1" s="1"/>
  <c r="E23" i="1"/>
  <c r="H23" i="1" s="1"/>
  <c r="E15" i="1"/>
  <c r="H15" i="1" s="1"/>
  <c r="E11" i="1"/>
  <c r="H11" i="1" s="1"/>
  <c r="E146" i="1"/>
  <c r="H146" i="1" s="1"/>
  <c r="E143" i="1"/>
  <c r="H143" i="1" s="1"/>
  <c r="E140" i="1"/>
  <c r="H140" i="1" s="1"/>
  <c r="E126" i="1"/>
  <c r="H126" i="1" s="1"/>
  <c r="E112" i="1"/>
  <c r="H112" i="1" s="1"/>
  <c r="E108" i="1"/>
  <c r="H108" i="1" s="1"/>
  <c r="E94" i="1"/>
  <c r="H94" i="1" s="1"/>
  <c r="E80" i="1"/>
  <c r="H80" i="1" s="1"/>
  <c r="E76" i="1"/>
  <c r="H76" i="1" s="1"/>
  <c r="E62" i="1"/>
  <c r="H62" i="1" s="1"/>
  <c r="E48" i="1"/>
  <c r="H48" i="1" s="1"/>
  <c r="E44" i="1"/>
  <c r="H44" i="1" s="1"/>
  <c r="E30" i="1"/>
  <c r="H30" i="1" s="1"/>
  <c r="E19" i="1"/>
  <c r="H19" i="1" s="1"/>
  <c r="E129" i="1"/>
  <c r="H129" i="1" s="1"/>
  <c r="E115" i="1"/>
  <c r="H115" i="1" s="1"/>
  <c r="E111" i="1"/>
  <c r="H111" i="1" s="1"/>
  <c r="E97" i="1"/>
  <c r="H97" i="1" s="1"/>
  <c r="E83" i="1"/>
  <c r="H83" i="1" s="1"/>
  <c r="E79" i="1"/>
  <c r="H79" i="1" s="1"/>
  <c r="E65" i="1"/>
  <c r="H65" i="1" s="1"/>
  <c r="E51" i="1"/>
  <c r="H51" i="1" s="1"/>
  <c r="E47" i="1"/>
  <c r="H47" i="1" s="1"/>
  <c r="E33" i="1"/>
  <c r="H33" i="1" s="1"/>
  <c r="E14" i="1"/>
  <c r="H14" i="1" s="1"/>
  <c r="K12" i="1" a="1"/>
  <c r="K255" i="1" a="1"/>
  <c r="K39" i="1" a="1"/>
  <c r="K103" i="1" a="1"/>
  <c r="K167" i="1" a="1"/>
  <c r="K231" i="1" a="1"/>
  <c r="K142" i="1" a="1"/>
  <c r="K54" i="1" a="1"/>
  <c r="K115" i="1" a="1"/>
  <c r="K30" i="1" a="1"/>
  <c r="K112" i="1" a="1"/>
  <c r="K41" i="1" a="1"/>
  <c r="K180" i="1" a="1"/>
  <c r="K81" i="1" a="1"/>
  <c r="K13" i="1" a="1"/>
  <c r="K157" i="1" a="1"/>
  <c r="K110" i="1" a="1"/>
  <c r="K128" i="1" a="1"/>
  <c r="K172" i="1" a="1"/>
  <c r="K44" i="1" a="1"/>
  <c r="K108" i="1" a="1"/>
  <c r="K145" i="1" a="1"/>
  <c r="K37" i="1" a="1"/>
  <c r="K34" i="1" a="1"/>
  <c r="K226" i="1" a="1"/>
  <c r="K24" i="1" a="1"/>
  <c r="K153" i="1" a="1"/>
  <c r="K17" i="1" a="1"/>
  <c r="K244" i="1" a="1"/>
  <c r="K114" i="1" a="1"/>
  <c r="K238" i="1" a="1"/>
  <c r="K217" i="1" a="1"/>
  <c r="K116" i="1" a="1"/>
  <c r="K119" i="1" a="1"/>
  <c r="K19" i="1" a="1"/>
  <c r="K148" i="1" a="1"/>
  <c r="K173" i="1" a="1"/>
  <c r="K133" i="1" a="1"/>
  <c r="K245" i="1" a="1"/>
  <c r="K48" i="1" a="1"/>
  <c r="K59" i="1" a="1"/>
  <c r="K229" i="1" a="1"/>
  <c r="K120" i="1" a="1"/>
  <c r="K99" i="1" a="1"/>
  <c r="K190" i="1" a="1"/>
  <c r="K221" i="1" a="1"/>
  <c r="K234" i="1" a="1"/>
  <c r="K129" i="1" a="1"/>
  <c r="K187" i="1" a="1"/>
  <c r="K96" i="1" a="1"/>
  <c r="K52" i="1" a="1"/>
  <c r="K55" i="1" a="1"/>
  <c r="K183" i="1" a="1"/>
  <c r="K89" i="1" a="1"/>
  <c r="K72" i="1" a="1"/>
  <c r="K51" i="1" a="1"/>
  <c r="K210" i="1" a="1"/>
  <c r="K130" i="1" a="1"/>
  <c r="K162" i="1" a="1"/>
  <c r="K38" i="1" a="1"/>
  <c r="K156" i="1" a="1"/>
  <c r="K32" i="1" a="1"/>
  <c r="K227" i="1" a="1"/>
  <c r="K224" i="1" a="1"/>
  <c r="K63" i="1" a="1"/>
  <c r="K127" i="1" a="1"/>
  <c r="K191" i="1" a="1"/>
  <c r="K93" i="1" a="1"/>
  <c r="K10" i="1" a="1"/>
  <c r="K176" i="1" a="1"/>
  <c r="K65" i="1" a="1"/>
  <c r="K140" i="1" a="1"/>
  <c r="K165" i="1" a="1"/>
  <c r="K232" i="1" a="1"/>
  <c r="K134" i="1" a="1"/>
  <c r="K193" i="1" a="1"/>
  <c r="K46" i="1" a="1"/>
  <c r="K211" i="1" a="1"/>
  <c r="K64" i="1" a="1"/>
  <c r="K205" i="1" a="1"/>
  <c r="K240" i="1" a="1"/>
  <c r="K68" i="1" a="1"/>
  <c r="K25" i="1" a="1"/>
  <c r="K14" i="1" a="1"/>
  <c r="K90" i="1" a="1"/>
  <c r="K69" i="1" a="1"/>
  <c r="K216" i="1" a="1"/>
  <c r="K66" i="1" a="1"/>
  <c r="K77" i="1" a="1"/>
  <c r="K235" i="1" a="1"/>
  <c r="K138" i="1" a="1"/>
  <c r="K117" i="1" a="1"/>
  <c r="K206" i="1" a="1"/>
  <c r="K169" i="1" a="1"/>
  <c r="K209" i="1" a="1"/>
  <c r="K246" i="1" a="1"/>
  <c r="K236" i="1" a="1"/>
  <c r="K15" i="1" a="1"/>
  <c r="K143" i="1" a="1"/>
  <c r="K121" i="1" a="1"/>
  <c r="K104" i="1" a="1"/>
  <c r="K152" i="1" a="1"/>
  <c r="K192" i="1" a="1"/>
  <c r="K91" i="1" a="1"/>
  <c r="K70" i="1" a="1"/>
  <c r="K49" i="1" a="1"/>
  <c r="K241" i="1" a="1"/>
  <c r="K239" i="1" a="1"/>
  <c r="K154" i="1" a="1"/>
  <c r="K203" i="1" a="1"/>
  <c r="K223" i="1" a="1"/>
  <c r="K122" i="1" a="1"/>
  <c r="K158" i="1" a="1"/>
  <c r="K27" i="1" a="1"/>
  <c r="K88" i="1" a="1"/>
  <c r="K181" i="1" a="1"/>
  <c r="K220" i="1" a="1"/>
  <c r="K218" i="1" a="1"/>
  <c r="K132" i="1" a="1"/>
  <c r="K107" i="1" a="1"/>
  <c r="K179" i="1" a="1"/>
  <c r="K168" i="1" a="1"/>
  <c r="K196" i="1" a="1"/>
  <c r="K50" i="1" a="1"/>
  <c r="K9" i="1" a="1"/>
  <c r="K160" i="1" a="1"/>
  <c r="K76" i="1" a="1"/>
  <c r="K79" i="1" a="1"/>
  <c r="K207" i="1" a="1"/>
  <c r="K29" i="1" a="1"/>
  <c r="K22" i="1" a="1"/>
  <c r="K182" i="1" a="1"/>
  <c r="K83" i="1" a="1"/>
  <c r="K219" i="1" a="1"/>
  <c r="K80" i="1" a="1"/>
  <c r="K195" i="1" a="1"/>
  <c r="K171" i="1" a="1"/>
  <c r="K243" i="1" a="1"/>
  <c r="K141" i="1" a="1"/>
  <c r="K131" i="1" a="1"/>
  <c r="K212" i="1" a="1"/>
  <c r="K200" i="1" a="1"/>
  <c r="K78" i="1" a="1"/>
  <c r="K139" i="1" a="1"/>
  <c r="K188" i="1" a="1"/>
  <c r="K225" i="1" a="1"/>
  <c r="K204" i="1" a="1"/>
  <c r="K109" i="1" a="1"/>
  <c r="K259" i="1" a="1"/>
  <c r="K147" i="1" a="1"/>
  <c r="K257" i="1" a="1"/>
  <c r="K252" i="1" a="1"/>
  <c r="K250" i="1" a="1"/>
  <c r="K23" i="1" a="1"/>
  <c r="K87" i="1" a="1"/>
  <c r="K151" i="1" a="1"/>
  <c r="K215" i="1" a="1"/>
  <c r="K43" i="1" a="1"/>
  <c r="K26" i="1" a="1"/>
  <c r="K118" i="1" a="1"/>
  <c r="K185" i="1" a="1"/>
  <c r="K155" i="1" a="1"/>
  <c r="K222" i="1" a="1"/>
  <c r="K198" i="1" a="1"/>
  <c r="K94" i="1" a="1"/>
  <c r="K105" i="1" a="1"/>
  <c r="K174" i="1" a="1"/>
  <c r="K251" i="1" a="1"/>
  <c r="K74" i="1" a="1"/>
  <c r="K144" i="1" a="1"/>
  <c r="K53" i="1" a="1"/>
  <c r="K178" i="1" a="1"/>
  <c r="K249" i="1" a="1"/>
  <c r="K256" i="1" a="1"/>
  <c r="K233" i="1" a="1"/>
  <c r="K28" i="1" a="1"/>
  <c r="K92" i="1" a="1"/>
  <c r="K31" i="1" a="1"/>
  <c r="K95" i="1" a="1"/>
  <c r="K159" i="1" a="1"/>
  <c r="K57" i="1" a="1"/>
  <c r="K40" i="1" a="1"/>
  <c r="K101" i="1" a="1"/>
  <c r="K98" i="1" a="1"/>
  <c r="K177" i="1" a="1"/>
  <c r="K67" i="1" a="1"/>
  <c r="K163" i="1" a="1"/>
  <c r="K202" i="1" a="1"/>
  <c r="K201" i="1" a="1"/>
  <c r="K137" i="1" a="1"/>
  <c r="K73" i="1" a="1"/>
  <c r="K254" i="1" a="1"/>
  <c r="K126" i="1" a="1"/>
  <c r="K62" i="1" a="1"/>
  <c r="K35" i="1" a="1"/>
  <c r="K213" i="1" a="1"/>
  <c r="K149" i="1" a="1"/>
  <c r="K85" i="1" a="1"/>
  <c r="K21" i="1" a="1"/>
  <c r="K146" i="1" a="1"/>
  <c r="K82" i="1" a="1"/>
  <c r="K18" i="1" a="1"/>
  <c r="K199" i="1" a="1"/>
  <c r="K135" i="1" a="1"/>
  <c r="K71" i="1" a="1"/>
  <c r="K124" i="1" a="1"/>
  <c r="K60" i="1" a="1"/>
  <c r="K208" i="1" a="1"/>
  <c r="K16" i="1" a="1"/>
  <c r="K197" i="1" a="1"/>
  <c r="K194" i="1" a="1"/>
  <c r="K247" i="1" a="1"/>
  <c r="K258" i="1" a="1"/>
  <c r="K113" i="1" a="1"/>
  <c r="K230" i="1" a="1"/>
  <c r="K166" i="1" a="1"/>
  <c r="K102" i="1" a="1"/>
  <c r="K75" i="1" a="1"/>
  <c r="K11" i="1" a="1"/>
  <c r="K136" i="1" a="1"/>
  <c r="K253" i="1" a="1"/>
  <c r="K189" i="1" a="1"/>
  <c r="K125" i="1" a="1"/>
  <c r="K61" i="1" a="1"/>
  <c r="K186" i="1" a="1"/>
  <c r="K58" i="1" a="1"/>
  <c r="K175" i="1" a="1"/>
  <c r="K111" i="1" a="1"/>
  <c r="K47" i="1" a="1"/>
  <c r="K228" i="1" a="1"/>
  <c r="K164" i="1" a="1"/>
  <c r="K100" i="1" a="1"/>
  <c r="K36" i="1" a="1"/>
  <c r="K242" i="1" a="1"/>
  <c r="K161" i="1" a="1"/>
  <c r="K97" i="1" a="1"/>
  <c r="K33" i="1" a="1"/>
  <c r="K214" i="1" a="1"/>
  <c r="K150" i="1" a="1"/>
  <c r="K86" i="1" a="1"/>
  <c r="K123" i="1" a="1"/>
  <c r="K248" i="1" a="1"/>
  <c r="K184" i="1" a="1"/>
  <c r="K56" i="1" a="1"/>
  <c r="K237" i="1" a="1"/>
  <c r="K45" i="1" a="1"/>
  <c r="K170" i="1" a="1"/>
  <c r="K106" i="1" a="1"/>
  <c r="K42" i="1" a="1"/>
  <c r="K84" i="1" a="1"/>
  <c r="K20" i="1" a="1"/>
  <c r="L20" i="1" l="1"/>
  <c r="K20" i="1"/>
  <c r="L84" i="1"/>
  <c r="K84" i="1"/>
  <c r="L42" i="1"/>
  <c r="K42" i="1"/>
  <c r="L106" i="1"/>
  <c r="K106" i="1"/>
  <c r="L170" i="1"/>
  <c r="K170" i="1"/>
  <c r="L45" i="1"/>
  <c r="K45" i="1"/>
  <c r="L237" i="1"/>
  <c r="K237" i="1"/>
  <c r="L56" i="1"/>
  <c r="K56" i="1"/>
  <c r="L184" i="1"/>
  <c r="K184" i="1"/>
  <c r="L248" i="1"/>
  <c r="K248" i="1"/>
  <c r="L123" i="1"/>
  <c r="K123" i="1"/>
  <c r="L86" i="1"/>
  <c r="K86" i="1"/>
  <c r="L150" i="1"/>
  <c r="K150" i="1"/>
  <c r="L214" i="1"/>
  <c r="K214" i="1"/>
  <c r="L33" i="1"/>
  <c r="K33" i="1"/>
  <c r="L97" i="1"/>
  <c r="K97" i="1"/>
  <c r="L161" i="1"/>
  <c r="K161" i="1"/>
  <c r="L242" i="1"/>
  <c r="K242" i="1"/>
  <c r="L36" i="1"/>
  <c r="K36" i="1"/>
  <c r="L100" i="1"/>
  <c r="K100" i="1"/>
  <c r="L164" i="1"/>
  <c r="K164" i="1"/>
  <c r="L228" i="1"/>
  <c r="K228" i="1"/>
  <c r="L47" i="1"/>
  <c r="K47" i="1"/>
  <c r="L111" i="1"/>
  <c r="K111" i="1"/>
  <c r="L175" i="1"/>
  <c r="K175" i="1"/>
  <c r="L58" i="1"/>
  <c r="K58" i="1"/>
  <c r="L186" i="1"/>
  <c r="K186" i="1"/>
  <c r="L61" i="1"/>
  <c r="K61" i="1"/>
  <c r="L125" i="1"/>
  <c r="K125" i="1"/>
  <c r="L189" i="1"/>
  <c r="K189" i="1"/>
  <c r="L253" i="1"/>
  <c r="K253" i="1"/>
  <c r="L136" i="1"/>
  <c r="K136" i="1"/>
  <c r="L11" i="1"/>
  <c r="K11" i="1"/>
  <c r="L75" i="1"/>
  <c r="K75" i="1"/>
  <c r="L102" i="1"/>
  <c r="K102" i="1"/>
  <c r="L166" i="1"/>
  <c r="K166" i="1"/>
  <c r="L230" i="1"/>
  <c r="K230" i="1"/>
  <c r="L113" i="1"/>
  <c r="K113" i="1"/>
  <c r="L258" i="1"/>
  <c r="K258" i="1"/>
  <c r="L247" i="1"/>
  <c r="K247" i="1"/>
  <c r="L194" i="1"/>
  <c r="K194" i="1"/>
  <c r="L197" i="1"/>
  <c r="K197" i="1"/>
  <c r="L16" i="1"/>
  <c r="K16" i="1"/>
  <c r="L208" i="1"/>
  <c r="K208" i="1"/>
  <c r="L60" i="1"/>
  <c r="K60" i="1"/>
  <c r="L124" i="1"/>
  <c r="K124" i="1"/>
  <c r="L71" i="1"/>
  <c r="K71" i="1"/>
  <c r="L135" i="1"/>
  <c r="K135" i="1"/>
  <c r="L199" i="1"/>
  <c r="K199" i="1"/>
  <c r="L18" i="1"/>
  <c r="K18" i="1"/>
  <c r="L82" i="1"/>
  <c r="K82" i="1"/>
  <c r="L146" i="1"/>
  <c r="K146" i="1"/>
  <c r="L21" i="1"/>
  <c r="K21" i="1"/>
  <c r="L85" i="1"/>
  <c r="K85" i="1"/>
  <c r="L149" i="1"/>
  <c r="K149" i="1"/>
  <c r="L213" i="1"/>
  <c r="K213" i="1"/>
  <c r="L35" i="1"/>
  <c r="K35" i="1"/>
  <c r="L62" i="1"/>
  <c r="K62" i="1"/>
  <c r="L126" i="1"/>
  <c r="K126" i="1"/>
  <c r="L254" i="1"/>
  <c r="K254" i="1"/>
  <c r="L73" i="1"/>
  <c r="K73" i="1"/>
  <c r="L137" i="1"/>
  <c r="K137" i="1"/>
  <c r="L201" i="1"/>
  <c r="K201" i="1"/>
  <c r="L202" i="1"/>
  <c r="K202" i="1"/>
  <c r="L163" i="1"/>
  <c r="K163" i="1"/>
  <c r="L67" i="1"/>
  <c r="K67" i="1"/>
  <c r="L177" i="1"/>
  <c r="K177" i="1"/>
  <c r="L98" i="1"/>
  <c r="K98" i="1"/>
  <c r="L101" i="1"/>
  <c r="K101" i="1"/>
  <c r="L40" i="1"/>
  <c r="K40" i="1"/>
  <c r="L57" i="1"/>
  <c r="K57" i="1"/>
  <c r="L159" i="1"/>
  <c r="K159" i="1"/>
  <c r="L95" i="1"/>
  <c r="K95" i="1"/>
  <c r="L31" i="1"/>
  <c r="K31" i="1"/>
  <c r="L92" i="1"/>
  <c r="K92" i="1"/>
  <c r="L28" i="1"/>
  <c r="K28" i="1"/>
  <c r="L233" i="1"/>
  <c r="K233" i="1"/>
  <c r="L256" i="1"/>
  <c r="K256" i="1"/>
  <c r="L249" i="1"/>
  <c r="K249" i="1"/>
  <c r="L178" i="1"/>
  <c r="K178" i="1"/>
  <c r="L53" i="1"/>
  <c r="K53" i="1"/>
  <c r="L144" i="1"/>
  <c r="K144" i="1"/>
  <c r="L74" i="1"/>
  <c r="K74" i="1"/>
  <c r="L251" i="1"/>
  <c r="K251" i="1"/>
  <c r="L174" i="1"/>
  <c r="K174" i="1"/>
  <c r="L105" i="1"/>
  <c r="K105" i="1"/>
  <c r="L94" i="1"/>
  <c r="K94" i="1"/>
  <c r="L198" i="1"/>
  <c r="K198" i="1"/>
  <c r="L222" i="1"/>
  <c r="K222" i="1"/>
  <c r="L155" i="1"/>
  <c r="K155" i="1"/>
  <c r="L185" i="1"/>
  <c r="K185" i="1"/>
  <c r="L118" i="1"/>
  <c r="K118" i="1"/>
  <c r="L26" i="1"/>
  <c r="K26" i="1"/>
  <c r="L43" i="1"/>
  <c r="K43" i="1"/>
  <c r="L215" i="1"/>
  <c r="K215" i="1"/>
  <c r="L151" i="1"/>
  <c r="K151" i="1"/>
  <c r="L87" i="1"/>
  <c r="K87" i="1"/>
  <c r="L23" i="1"/>
  <c r="K23" i="1"/>
  <c r="L250" i="1"/>
  <c r="K250" i="1"/>
  <c r="L252" i="1"/>
  <c r="K252" i="1"/>
  <c r="L257" i="1"/>
  <c r="K257" i="1"/>
  <c r="L147" i="1"/>
  <c r="K147" i="1"/>
  <c r="L259" i="1"/>
  <c r="K259" i="1"/>
  <c r="L109" i="1"/>
  <c r="K109" i="1"/>
  <c r="L204" i="1"/>
  <c r="K204" i="1"/>
  <c r="L225" i="1"/>
  <c r="K225" i="1"/>
  <c r="L188" i="1"/>
  <c r="K188" i="1"/>
  <c r="L139" i="1"/>
  <c r="K139" i="1"/>
  <c r="L78" i="1"/>
  <c r="K78" i="1"/>
  <c r="L200" i="1"/>
  <c r="K200" i="1"/>
  <c r="L212" i="1"/>
  <c r="K212" i="1"/>
  <c r="L131" i="1"/>
  <c r="K131" i="1"/>
  <c r="L141" i="1"/>
  <c r="K141" i="1"/>
  <c r="L243" i="1"/>
  <c r="K243" i="1"/>
  <c r="L171" i="1"/>
  <c r="K171" i="1"/>
  <c r="L195" i="1"/>
  <c r="K195" i="1"/>
  <c r="L80" i="1"/>
  <c r="K80" i="1"/>
  <c r="L219" i="1"/>
  <c r="K219" i="1"/>
  <c r="L83" i="1"/>
  <c r="K83" i="1"/>
  <c r="L182" i="1"/>
  <c r="K182" i="1"/>
  <c r="L22" i="1"/>
  <c r="K22" i="1"/>
  <c r="L29" i="1"/>
  <c r="K29" i="1"/>
  <c r="L207" i="1"/>
  <c r="K207" i="1"/>
  <c r="L79" i="1"/>
  <c r="K79" i="1"/>
  <c r="L76" i="1"/>
  <c r="K76" i="1"/>
  <c r="L160" i="1"/>
  <c r="K160" i="1"/>
  <c r="L9" i="1"/>
  <c r="K9" i="1"/>
  <c r="L50" i="1"/>
  <c r="K50" i="1"/>
  <c r="L196" i="1"/>
  <c r="K196" i="1"/>
  <c r="L168" i="1"/>
  <c r="K168" i="1"/>
  <c r="L179" i="1"/>
  <c r="K179" i="1"/>
  <c r="L107" i="1"/>
  <c r="K107" i="1"/>
  <c r="L132" i="1"/>
  <c r="K132" i="1"/>
  <c r="L218" i="1"/>
  <c r="K218" i="1"/>
  <c r="L220" i="1"/>
  <c r="K220" i="1"/>
  <c r="L181" i="1"/>
  <c r="K181" i="1"/>
  <c r="L88" i="1"/>
  <c r="K88" i="1"/>
  <c r="L27" i="1"/>
  <c r="K27" i="1"/>
  <c r="L158" i="1"/>
  <c r="K158" i="1"/>
  <c r="L122" i="1"/>
  <c r="K122" i="1"/>
  <c r="L223" i="1"/>
  <c r="K223" i="1"/>
  <c r="L203" i="1"/>
  <c r="K203" i="1"/>
  <c r="L154" i="1"/>
  <c r="K154" i="1"/>
  <c r="L239" i="1"/>
  <c r="K239" i="1"/>
  <c r="L241" i="1"/>
  <c r="K241" i="1"/>
  <c r="L49" i="1"/>
  <c r="K49" i="1"/>
  <c r="L70" i="1"/>
  <c r="K70" i="1"/>
  <c r="L91" i="1"/>
  <c r="K91" i="1"/>
  <c r="L192" i="1"/>
  <c r="K192" i="1"/>
  <c r="L152" i="1"/>
  <c r="K152" i="1"/>
  <c r="L104" i="1"/>
  <c r="K104" i="1"/>
  <c r="L121" i="1"/>
  <c r="K121" i="1"/>
  <c r="L143" i="1"/>
  <c r="K143" i="1"/>
  <c r="L15" i="1"/>
  <c r="K15" i="1"/>
  <c r="L236" i="1"/>
  <c r="K236" i="1"/>
  <c r="L246" i="1"/>
  <c r="K246" i="1"/>
  <c r="L209" i="1"/>
  <c r="K209" i="1"/>
  <c r="L169" i="1"/>
  <c r="K169" i="1"/>
  <c r="L206" i="1"/>
  <c r="K206" i="1"/>
  <c r="L117" i="1"/>
  <c r="K117" i="1"/>
  <c r="L138" i="1"/>
  <c r="K138" i="1"/>
  <c r="L235" i="1"/>
  <c r="K235" i="1"/>
  <c r="L77" i="1"/>
  <c r="K77" i="1"/>
  <c r="L66" i="1"/>
  <c r="K66" i="1"/>
  <c r="L216" i="1"/>
  <c r="K216" i="1"/>
  <c r="L69" i="1"/>
  <c r="K69" i="1"/>
  <c r="L90" i="1"/>
  <c r="K90" i="1"/>
  <c r="L14" i="1"/>
  <c r="K14" i="1"/>
  <c r="L25" i="1"/>
  <c r="K25" i="1"/>
  <c r="L68" i="1"/>
  <c r="K68" i="1"/>
  <c r="L240" i="1"/>
  <c r="K240" i="1"/>
  <c r="L205" i="1"/>
  <c r="K205" i="1"/>
  <c r="L64" i="1"/>
  <c r="K64" i="1"/>
  <c r="L211" i="1"/>
  <c r="K211" i="1"/>
  <c r="L46" i="1"/>
  <c r="K46" i="1"/>
  <c r="L193" i="1"/>
  <c r="K193" i="1"/>
  <c r="L134" i="1"/>
  <c r="K134" i="1"/>
  <c r="L232" i="1"/>
  <c r="K232" i="1"/>
  <c r="L165" i="1"/>
  <c r="K165" i="1"/>
  <c r="L140" i="1"/>
  <c r="K140" i="1"/>
  <c r="L65" i="1"/>
  <c r="K65" i="1"/>
  <c r="L176" i="1"/>
  <c r="K176" i="1"/>
  <c r="L10" i="1"/>
  <c r="K10" i="1"/>
  <c r="L93" i="1"/>
  <c r="K93" i="1"/>
  <c r="L191" i="1"/>
  <c r="K191" i="1"/>
  <c r="L127" i="1"/>
  <c r="K127" i="1"/>
  <c r="L63" i="1"/>
  <c r="K63" i="1"/>
  <c r="L224" i="1"/>
  <c r="K224" i="1"/>
  <c r="L227" i="1"/>
  <c r="K227" i="1"/>
  <c r="L32" i="1"/>
  <c r="K32" i="1"/>
  <c r="L156" i="1"/>
  <c r="K156" i="1"/>
  <c r="L38" i="1"/>
  <c r="K38" i="1"/>
  <c r="L162" i="1"/>
  <c r="K162" i="1"/>
  <c r="L130" i="1"/>
  <c r="K130" i="1"/>
  <c r="L210" i="1"/>
  <c r="K210" i="1"/>
  <c r="L51" i="1"/>
  <c r="K51" i="1"/>
  <c r="L72" i="1"/>
  <c r="K72" i="1"/>
  <c r="L89" i="1"/>
  <c r="K89" i="1"/>
  <c r="L183" i="1"/>
  <c r="K183" i="1"/>
  <c r="L55" i="1"/>
  <c r="K55" i="1"/>
  <c r="L52" i="1"/>
  <c r="K52" i="1"/>
  <c r="L96" i="1"/>
  <c r="K96" i="1"/>
  <c r="L187" i="1"/>
  <c r="K187" i="1"/>
  <c r="L129" i="1"/>
  <c r="K129" i="1"/>
  <c r="L234" i="1"/>
  <c r="K234" i="1"/>
  <c r="L221" i="1"/>
  <c r="K221" i="1"/>
  <c r="L190" i="1"/>
  <c r="K190" i="1"/>
  <c r="L99" i="1"/>
  <c r="K99" i="1"/>
  <c r="L120" i="1"/>
  <c r="K120" i="1"/>
  <c r="L229" i="1"/>
  <c r="K229" i="1"/>
  <c r="L59" i="1"/>
  <c r="K59" i="1"/>
  <c r="L48" i="1"/>
  <c r="K48" i="1"/>
  <c r="L245" i="1"/>
  <c r="K245" i="1"/>
  <c r="L133" i="1"/>
  <c r="K133" i="1"/>
  <c r="L173" i="1"/>
  <c r="K173" i="1"/>
  <c r="L148" i="1"/>
  <c r="K148" i="1"/>
  <c r="L19" i="1"/>
  <c r="K19" i="1"/>
  <c r="L119" i="1"/>
  <c r="K119" i="1"/>
  <c r="L116" i="1"/>
  <c r="K116" i="1"/>
  <c r="L217" i="1"/>
  <c r="K217" i="1"/>
  <c r="L238" i="1"/>
  <c r="K238" i="1"/>
  <c r="L114" i="1"/>
  <c r="K114" i="1"/>
  <c r="L244" i="1"/>
  <c r="K244" i="1"/>
  <c r="L17" i="1"/>
  <c r="K17" i="1"/>
  <c r="L153" i="1"/>
  <c r="K153" i="1"/>
  <c r="L24" i="1"/>
  <c r="K24" i="1"/>
  <c r="L226" i="1"/>
  <c r="K226" i="1"/>
  <c r="L34" i="1"/>
  <c r="K34" i="1"/>
  <c r="L37" i="1"/>
  <c r="K37" i="1"/>
  <c r="L145" i="1"/>
  <c r="K145" i="1"/>
  <c r="L108" i="1"/>
  <c r="K108" i="1"/>
  <c r="L44" i="1"/>
  <c r="K44" i="1"/>
  <c r="L172" i="1"/>
  <c r="K172" i="1"/>
  <c r="L128" i="1"/>
  <c r="K128" i="1"/>
  <c r="L110" i="1"/>
  <c r="K110" i="1"/>
  <c r="L157" i="1"/>
  <c r="K157" i="1"/>
  <c r="L13" i="1"/>
  <c r="K13" i="1"/>
  <c r="L81" i="1"/>
  <c r="K81" i="1"/>
  <c r="L180" i="1"/>
  <c r="K180" i="1"/>
  <c r="L41" i="1"/>
  <c r="K41" i="1"/>
  <c r="L112" i="1"/>
  <c r="K112" i="1"/>
  <c r="L30" i="1"/>
  <c r="K30" i="1"/>
  <c r="L115" i="1"/>
  <c r="K115" i="1"/>
  <c r="L54" i="1"/>
  <c r="K54" i="1"/>
  <c r="L142" i="1"/>
  <c r="K142" i="1"/>
  <c r="L231" i="1"/>
  <c r="K231" i="1"/>
  <c r="L167" i="1"/>
  <c r="K167" i="1"/>
  <c r="L103" i="1"/>
  <c r="K103" i="1"/>
  <c r="L39" i="1"/>
  <c r="K39" i="1"/>
  <c r="L255" i="1"/>
  <c r="K255" i="1"/>
  <c r="L12" i="1"/>
  <c r="K12" i="1"/>
</calcChain>
</file>

<file path=xl/sharedStrings.xml><?xml version="1.0" encoding="utf-8"?>
<sst xmlns="http://schemas.openxmlformats.org/spreadsheetml/2006/main" count="34" uniqueCount="34">
  <si>
    <t>random seeds</t>
  </si>
  <si>
    <t>s1</t>
  </si>
  <si>
    <t>s2</t>
  </si>
  <si>
    <t>s3</t>
  </si>
  <si>
    <t>q1</t>
  </si>
  <si>
    <t>q2</t>
  </si>
  <si>
    <t>q3</t>
  </si>
  <si>
    <t>k</t>
  </si>
  <si>
    <t>T</t>
  </si>
  <si>
    <t>const</t>
  </si>
  <si>
    <t>v1</t>
  </si>
  <si>
    <t>v2</t>
  </si>
  <si>
    <t>v3</t>
  </si>
  <si>
    <t>corr12</t>
  </si>
  <si>
    <t>corr13</t>
  </si>
  <si>
    <t>corr23</t>
  </si>
  <si>
    <t>r</t>
  </si>
  <si>
    <t>obs_days</t>
  </si>
  <si>
    <t>confd</t>
  </si>
  <si>
    <t>g</t>
  </si>
  <si>
    <t>std1</t>
  </si>
  <si>
    <t>std2</t>
  </si>
  <si>
    <t>std3</t>
  </si>
  <si>
    <t>st1</t>
  </si>
  <si>
    <t>st2</t>
  </si>
  <si>
    <t>st3</t>
  </si>
  <si>
    <t>e1</t>
  </si>
  <si>
    <t>e2</t>
  </si>
  <si>
    <t>e3</t>
  </si>
  <si>
    <t>sim returns</t>
  </si>
  <si>
    <t>sim st price</t>
  </si>
  <si>
    <t>r1</t>
  </si>
  <si>
    <t>r2</t>
  </si>
  <si>
    <t>r3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</si>
</sst>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  <xf numFmtId="0" fontId="1" fillId="0" borderId="0" xfId="0" applyFont="1" applyFill="1" applyBorder="1" applyAlignment="1">
      <alignment horizontal="center" vertical="top"/>
    </xf>
    <xf numFmtId="0" fontId="1" fillId="0" borderId="3" xfId="0" applyFont="1" applyFill="1" applyBorder="1" applyAlignment="1">
      <alignment horizontal="center" vertical="top"/>
    </xf>
    <xf numFmtId="0" fontId="0" fillId="0" borderId="0" xfId="0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U259"/>
  <sheetViews>
    <sheetView tabSelected="1" workbookViewId="0">
      <selection activeCell="O10" sqref="O10"/>
    </sheetView>
  </sheetViews>
  <sheetFormatPr defaultRowHeight="13.5" x14ac:dyDescent="0.15"/>
  <cols>
    <col min="2" max="2" width="8.375" customWidth="1"/>
  </cols>
  <sheetData>
    <row r="2" spans="2:21" x14ac:dyDescent="0.15"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I2" s="3" t="s">
        <v>8</v>
      </c>
      <c r="J2" s="3" t="s">
        <v>9</v>
      </c>
      <c r="K2" s="3" t="s">
        <v>10</v>
      </c>
      <c r="L2" s="3" t="s">
        <v>11</v>
      </c>
      <c r="M2" s="3" t="s">
        <v>12</v>
      </c>
      <c r="N2" s="3" t="s">
        <v>13</v>
      </c>
      <c r="O2" s="3" t="s">
        <v>14</v>
      </c>
      <c r="P2" s="3" t="s">
        <v>15</v>
      </c>
      <c r="Q2" s="3" t="s">
        <v>16</v>
      </c>
      <c r="R2" s="6" t="s">
        <v>19</v>
      </c>
      <c r="S2" s="6" t="s">
        <v>20</v>
      </c>
      <c r="T2" s="6" t="s">
        <v>21</v>
      </c>
      <c r="U2" s="6" t="s">
        <v>22</v>
      </c>
    </row>
    <row r="3" spans="2:21" x14ac:dyDescent="0.15">
      <c r="B3" s="1">
        <v>4016</v>
      </c>
      <c r="C3" s="1">
        <v>544</v>
      </c>
      <c r="D3" s="1">
        <v>2236</v>
      </c>
      <c r="E3" s="1">
        <v>1</v>
      </c>
      <c r="F3" s="1">
        <v>1.6</v>
      </c>
      <c r="G3" s="1">
        <v>0.5</v>
      </c>
      <c r="H3" s="1">
        <v>775</v>
      </c>
      <c r="I3" s="2">
        <f>30/365</f>
        <v>8.2191780821917804E-2</v>
      </c>
      <c r="J3" s="1">
        <v>1050</v>
      </c>
      <c r="K3" s="1">
        <v>0.12</v>
      </c>
      <c r="L3" s="1">
        <v>0.23</v>
      </c>
      <c r="M3" s="1">
        <v>0.12</v>
      </c>
      <c r="N3" s="1">
        <v>0.85</v>
      </c>
      <c r="O3" s="1">
        <v>0.85</v>
      </c>
      <c r="P3" s="1">
        <v>0.85</v>
      </c>
      <c r="Q3" s="1">
        <v>0</v>
      </c>
      <c r="R3">
        <f>SQRT((1-O3^2)/(1-N3^2-O3^2-P3^2+2*N3*O3*P3))</f>
        <v>2.1372648957412594</v>
      </c>
      <c r="S3">
        <f>K3/SQRT(250)</f>
        <v>7.5894663844041105E-3</v>
      </c>
      <c r="T3">
        <f t="shared" ref="T3:U3" si="0">L3/SQRT(250)</f>
        <v>1.4546477236774547E-2</v>
      </c>
      <c r="U3">
        <f t="shared" si="0"/>
        <v>7.5894663844041105E-3</v>
      </c>
    </row>
    <row r="5" spans="2:21" x14ac:dyDescent="0.15">
      <c r="B5" s="4" t="s">
        <v>17</v>
      </c>
      <c r="C5">
        <v>1</v>
      </c>
      <c r="D5" s="4" t="s">
        <v>18</v>
      </c>
    </row>
    <row r="6" spans="2:21" x14ac:dyDescent="0.15">
      <c r="B6" s="5"/>
    </row>
    <row r="7" spans="2:21" x14ac:dyDescent="0.15">
      <c r="B7" s="7" t="s">
        <v>0</v>
      </c>
      <c r="C7" s="7"/>
      <c r="D7" s="7"/>
      <c r="E7" s="7" t="s">
        <v>29</v>
      </c>
      <c r="F7" s="7"/>
      <c r="G7" s="7"/>
      <c r="H7" s="7" t="s">
        <v>30</v>
      </c>
      <c r="I7" s="7"/>
      <c r="J7" s="7"/>
      <c r="K7" s="7"/>
      <c r="L7" s="7"/>
      <c r="M7" s="7"/>
    </row>
    <row r="8" spans="2:21" x14ac:dyDescent="0.15">
      <c r="B8" t="s">
        <v>26</v>
      </c>
      <c r="C8" t="s">
        <v>27</v>
      </c>
      <c r="D8" t="s">
        <v>28</v>
      </c>
      <c r="E8" t="s">
        <v>31</v>
      </c>
      <c r="F8" t="s">
        <v>32</v>
      </c>
      <c r="G8" t="s">
        <v>33</v>
      </c>
      <c r="H8" t="s">
        <v>23</v>
      </c>
      <c r="I8" t="s">
        <v>24</v>
      </c>
      <c r="J8" t="s">
        <v>25</v>
      </c>
    </row>
    <row r="9" spans="2:21" x14ac:dyDescent="0.15">
      <c r="B9">
        <f ca="1">NORMINV(RAND(),0,1)</f>
        <v>-1.282290104231347</v>
      </c>
      <c r="C9">
        <f t="shared" ref="C9:D24" ca="1" si="1">NORMINV(RAND(),0,1)</f>
        <v>2.1481359152624702</v>
      </c>
      <c r="D9">
        <f t="shared" ca="1" si="1"/>
        <v>-0.99623418124884788</v>
      </c>
      <c r="E9">
        <f ca="1">B9*$S$3*$C$5</f>
        <v>-9.7318976411178513E-3</v>
      </c>
      <c r="F9">
        <f ca="1">($N$3*B9+C9*SQRT(1-$N$3^2))*$T$3*$C$5</f>
        <v>6.0592219602238859E-4</v>
      </c>
      <c r="G9">
        <f ca="1">(D9/$R$3+($P$3-$N$3*$O$3)*C9+$O$3*B9*SQRT(1/(1-N3^2)))*$U$3*$C$5</f>
        <v>-1.7162071338955136E-2</v>
      </c>
      <c r="H9">
        <f ca="1">B$3*(1+E9)</f>
        <v>3976.916699073271</v>
      </c>
      <c r="I9">
        <f t="shared" ref="I9:J9" ca="1" si="2">C$3*(1+F9)</f>
        <v>544.3296216746362</v>
      </c>
      <c r="J9">
        <f t="shared" ca="1" si="2"/>
        <v>2197.6256084860966</v>
      </c>
      <c r="K9">
        <f t="array" aca="1" ref="K9:L9" ca="1">Opt3Spd(H9:J9,$E$3:$G$3,$K$3:$M$3,$N$3:$P$3,$H$3,$I$3,$Q$3,$J$3)</f>
        <v>182.25084101798757</v>
      </c>
      <c r="L9">
        <f ca="1"/>
        <v>7.4340867182627335E-2</v>
      </c>
    </row>
    <row r="10" spans="2:21" x14ac:dyDescent="0.15">
      <c r="B10">
        <f t="shared" ref="B10:D73" ca="1" si="3">NORMINV(RAND(),0,1)</f>
        <v>-0.61682584743391433</v>
      </c>
      <c r="C10">
        <f t="shared" ca="1" si="1"/>
        <v>-0.21730950960480358</v>
      </c>
      <c r="D10">
        <f t="shared" ca="1" si="1"/>
        <v>-0.62225715814098892</v>
      </c>
      <c r="E10">
        <f t="shared" ref="E10:E73" ca="1" si="4">B10*$S$3*$C$5</f>
        <v>-4.681379034131271E-3</v>
      </c>
      <c r="F10">
        <f t="shared" ref="F10:F73" ca="1" si="5">($N$3*B10+C10*SQRT(1-$N$3^2))*$T$3*$C$5</f>
        <v>-9.2919530219297327E-3</v>
      </c>
      <c r="G10">
        <f ca="1">(D10/$R$3+($P$3-$N$3*$O$3)*C10+$O$3*B10*SQRT(1/(1-N4^2)))*$U$3*$C$5</f>
        <v>-6.3990996867913826E-3</v>
      </c>
      <c r="H10">
        <f t="shared" ref="H10:H73" ca="1" si="6">B$3*(1+E10)</f>
        <v>3997.1995817989291</v>
      </c>
      <c r="I10">
        <f t="shared" ref="I10:I73" ca="1" si="7">C$3*(1+F10)</f>
        <v>538.94517755607023</v>
      </c>
      <c r="J10">
        <f t="shared" ref="J10:J73" ca="1" si="8">D$3*(1+G10)</f>
        <v>2221.6916131003345</v>
      </c>
      <c r="K10">
        <f t="array" aca="1" ref="K10:L10" ca="1">Opt3Spd(H10:J10,$E$3:$G$3,$K$3:$M$3,$N$3:$P$3,$H$3,$I$3,$Q$3,$J$3)</f>
        <v>199.07529355587326</v>
      </c>
      <c r="L10">
        <f ca="1"/>
        <v>3.3802396823602976E-2</v>
      </c>
    </row>
    <row r="11" spans="2:21" x14ac:dyDescent="0.15">
      <c r="B11">
        <f t="shared" ca="1" si="3"/>
        <v>3.3013021836855859E-2</v>
      </c>
      <c r="C11">
        <f t="shared" ca="1" si="1"/>
        <v>-2.057536393258134E-3</v>
      </c>
      <c r="D11">
        <f t="shared" ca="1" si="1"/>
        <v>-0.91764281677537785</v>
      </c>
      <c r="E11">
        <f t="shared" ca="1" si="4"/>
        <v>2.5055121947841641E-4</v>
      </c>
      <c r="F11">
        <f t="shared" ca="1" si="5"/>
        <v>3.9242313858090742E-4</v>
      </c>
      <c r="G11">
        <f ca="1">(D11/$R$3+($P$3-$N$3*$O$3)*C11+$O$3*B11*SQRT(1/(1-N5^2)))*$U$3*$C$5</f>
        <v>-3.0475887282385965E-3</v>
      </c>
      <c r="H11">
        <f t="shared" ca="1" si="6"/>
        <v>4017.0062136974252</v>
      </c>
      <c r="I11">
        <f t="shared" ca="1" si="7"/>
        <v>544.21347818738809</v>
      </c>
      <c r="J11">
        <f t="shared" ca="1" si="8"/>
        <v>2229.1855916036584</v>
      </c>
      <c r="K11">
        <f t="array" aca="1" ref="K11:L11" ca="1">Opt3Spd(H11:J11,$E$3:$G$3,$K$3:$M$3,$N$3:$P$3,$H$3,$I$3,$Q$3,$J$3)</f>
        <v>206.69525310197332</v>
      </c>
      <c r="L11">
        <f ca="1"/>
        <v>2.3400306198254839E-2</v>
      </c>
    </row>
    <row r="12" spans="2:21" x14ac:dyDescent="0.15">
      <c r="B12">
        <f t="shared" ca="1" si="3"/>
        <v>-0.22818016818564399</v>
      </c>
      <c r="C12">
        <f t="shared" ca="1" si="1"/>
        <v>0.25015846058454522</v>
      </c>
      <c r="D12">
        <f t="shared" ca="1" si="1"/>
        <v>-1.5100368782036484</v>
      </c>
      <c r="E12">
        <f t="shared" ca="1" si="4"/>
        <v>-1.7317657160326213E-3</v>
      </c>
      <c r="F12">
        <f t="shared" ca="1" si="5"/>
        <v>-9.0441262850900672E-4</v>
      </c>
      <c r="G12">
        <f t="shared" ref="G12:G75" ca="1" si="9">(D12/$R$3+($P$3-$N$3*$O$3)*C12+$O$3*B12*SQRT(1/(1-N6^2)))*$U$3*$C$5</f>
        <v>-6.5921016072578286E-3</v>
      </c>
      <c r="H12">
        <f t="shared" ca="1" si="6"/>
        <v>4009.0452288844131</v>
      </c>
      <c r="I12">
        <f t="shared" ca="1" si="7"/>
        <v>543.50799953009107</v>
      </c>
      <c r="J12">
        <f t="shared" ca="1" si="8"/>
        <v>2221.2600608061716</v>
      </c>
      <c r="K12">
        <f t="array" aca="1" ref="K12:L12" ca="1">Opt3Spd(H12:J12,$E$3:$G$3,$K$3:$M$3,$N$3:$P$3,$H$3,$I$3,$Q$3,$J$3)</f>
        <v>203.82917297356266</v>
      </c>
      <c r="L12">
        <f ca="1"/>
        <v>2.677374038103153E-2</v>
      </c>
    </row>
    <row r="13" spans="2:21" x14ac:dyDescent="0.15">
      <c r="B13">
        <f t="shared" ca="1" si="3"/>
        <v>1.0505327616279452</v>
      </c>
      <c r="C13">
        <f t="shared" ca="1" si="1"/>
        <v>5.7473711616968411E-2</v>
      </c>
      <c r="D13">
        <f t="shared" ca="1" si="1"/>
        <v>-0.18107238807800488</v>
      </c>
      <c r="E13">
        <f t="shared" ca="1" si="4"/>
        <v>7.9729830800905066E-3</v>
      </c>
      <c r="F13">
        <f t="shared" ca="1" si="5"/>
        <v>1.3429729686043147E-2</v>
      </c>
      <c r="G13">
        <f t="shared" ca="1" si="9"/>
        <v>6.1896591232245678E-3</v>
      </c>
      <c r="H13">
        <f t="shared" ca="1" si="6"/>
        <v>4048.0195000496437</v>
      </c>
      <c r="I13">
        <f t="shared" ca="1" si="7"/>
        <v>551.30577294920738</v>
      </c>
      <c r="J13">
        <f t="shared" ca="1" si="8"/>
        <v>2249.8400777995303</v>
      </c>
      <c r="K13">
        <f t="array" aca="1" ref="K13:L13" ca="1">Opt3Spd(H13:J13,$E$3:$G$3,$K$3:$M$3,$N$3:$P$3,$H$3,$I$3,$Q$3,$J$3)</f>
        <v>216.02519581954175</v>
      </c>
      <c r="L13">
        <f ca="1"/>
        <v>1.4971388395224494E-2</v>
      </c>
    </row>
    <row r="14" spans="2:21" x14ac:dyDescent="0.15">
      <c r="B14">
        <f t="shared" ca="1" si="3"/>
        <v>5.3099125713525805E-2</v>
      </c>
      <c r="C14">
        <f t="shared" ca="1" si="1"/>
        <v>-1.2141513465340392</v>
      </c>
      <c r="D14">
        <f t="shared" ca="1" si="1"/>
        <v>-1.8167850608307288</v>
      </c>
      <c r="E14">
        <f t="shared" ca="1" si="4"/>
        <v>4.0299402964405202E-4</v>
      </c>
      <c r="F14">
        <f t="shared" ca="1" si="5"/>
        <v>-8.647293805826968E-3</v>
      </c>
      <c r="G14">
        <f t="shared" ca="1" si="9"/>
        <v>-7.2837737623249839E-3</v>
      </c>
      <c r="H14">
        <f t="shared" ca="1" si="6"/>
        <v>4017.61842402305</v>
      </c>
      <c r="I14">
        <f t="shared" ca="1" si="7"/>
        <v>539.29587216963012</v>
      </c>
      <c r="J14">
        <f t="shared" ca="1" si="8"/>
        <v>2219.7134818674413</v>
      </c>
      <c r="K14">
        <f t="array" aca="1" ref="K14:L14" ca="1">Opt3Spd(H14:J14,$E$3:$G$3,$K$3:$M$3,$N$3:$P$3,$H$3,$I$3,$Q$3,$J$3)</f>
        <v>219.89995791460069</v>
      </c>
      <c r="L14">
        <f ca="1"/>
        <v>1.1670296679767489E-2</v>
      </c>
    </row>
    <row r="15" spans="2:21" x14ac:dyDescent="0.15">
      <c r="B15">
        <f t="shared" ca="1" si="3"/>
        <v>0.69140657485014179</v>
      </c>
      <c r="C15">
        <f t="shared" ca="1" si="1"/>
        <v>-7.861284743265301E-2</v>
      </c>
      <c r="D15">
        <f t="shared" ca="1" si="1"/>
        <v>-2.400991495120754</v>
      </c>
      <c r="E15">
        <f t="shared" ca="1" si="4"/>
        <v>5.2474069577811353E-3</v>
      </c>
      <c r="F15">
        <f t="shared" ca="1" si="5"/>
        <v>7.9465034296915902E-3</v>
      </c>
      <c r="G15">
        <f t="shared" ca="1" si="9"/>
        <v>-4.1417386742201787E-3</v>
      </c>
      <c r="H15">
        <f t="shared" ca="1" si="6"/>
        <v>4037.0735863424488</v>
      </c>
      <c r="I15">
        <f t="shared" ca="1" si="7"/>
        <v>548.32289786575222</v>
      </c>
      <c r="J15">
        <f t="shared" ca="1" si="8"/>
        <v>2226.7390723244434</v>
      </c>
      <c r="K15">
        <f t="array" aca="1" ref="K15:L15" ca="1">Opt3Spd(H15:J15,$E$3:$G$3,$K$3:$M$3,$N$3:$P$3,$H$3,$I$3,$Q$3,$J$3)</f>
        <v>221.39837629834074</v>
      </c>
      <c r="L15">
        <f ca="1"/>
        <v>1.0962703317090927E-2</v>
      </c>
    </row>
    <row r="16" spans="2:21" x14ac:dyDescent="0.15">
      <c r="B16">
        <f t="shared" ca="1" si="3"/>
        <v>-1.206086713801537</v>
      </c>
      <c r="C16">
        <f t="shared" ca="1" si="1"/>
        <v>0.73002275486636425</v>
      </c>
      <c r="D16">
        <f t="shared" ca="1" si="1"/>
        <v>-0.97543345180928609</v>
      </c>
      <c r="E16">
        <f t="shared" ca="1" si="4"/>
        <v>-9.1535545710731865E-3</v>
      </c>
      <c r="F16">
        <f t="shared" ca="1" si="5"/>
        <v>-9.3186239885800892E-3</v>
      </c>
      <c r="G16">
        <f t="shared" ca="1" si="9"/>
        <v>-1.0537891650661154E-2</v>
      </c>
      <c r="H16">
        <f t="shared" ca="1" si="6"/>
        <v>3979.2393248425701</v>
      </c>
      <c r="I16">
        <f t="shared" ca="1" si="7"/>
        <v>538.93066855021243</v>
      </c>
      <c r="J16">
        <f t="shared" ca="1" si="8"/>
        <v>2212.4372742691216</v>
      </c>
      <c r="K16">
        <f t="array" aca="1" ref="K16:L16" ca="1">Opt3Spd(H16:J16,$E$3:$G$3,$K$3:$M$3,$N$3:$P$3,$H$3,$I$3,$Q$3,$J$3)</f>
        <v>185.79519535182453</v>
      </c>
      <c r="L16">
        <f ca="1"/>
        <v>6.3577324155403403E-2</v>
      </c>
    </row>
    <row r="17" spans="2:12" x14ac:dyDescent="0.15">
      <c r="B17">
        <f t="shared" ca="1" si="3"/>
        <v>-9.3835350051472796E-2</v>
      </c>
      <c r="C17">
        <f t="shared" ca="1" si="1"/>
        <v>0.36684880305548456</v>
      </c>
      <c r="D17">
        <f t="shared" ca="1" si="1"/>
        <v>-0.9007360529664018</v>
      </c>
      <c r="E17">
        <f t="shared" ca="1" si="4"/>
        <v>-7.1216023488444532E-4</v>
      </c>
      <c r="F17">
        <f t="shared" ca="1" si="5"/>
        <v>1.6508731686084327E-3</v>
      </c>
      <c r="G17">
        <f t="shared" ca="1" si="9"/>
        <v>-3.4488824512772325E-3</v>
      </c>
      <c r="H17">
        <f t="shared" ca="1" si="6"/>
        <v>4013.1399644967041</v>
      </c>
      <c r="I17">
        <f t="shared" ca="1" si="7"/>
        <v>544.89807500372297</v>
      </c>
      <c r="J17">
        <f t="shared" ca="1" si="8"/>
        <v>2228.2882988389442</v>
      </c>
      <c r="K17">
        <f t="array" aca="1" ref="K17:L17" ca="1">Opt3Spd(H17:J17,$E$3:$G$3,$K$3:$M$3,$N$3:$P$3,$H$3,$I$3,$Q$3,$J$3)</f>
        <v>202.18820746497249</v>
      </c>
      <c r="L17">
        <f ca="1"/>
        <v>2.9312393697409789E-2</v>
      </c>
    </row>
    <row r="18" spans="2:12" x14ac:dyDescent="0.15">
      <c r="B18">
        <f t="shared" ca="1" si="3"/>
        <v>1.5968750286325097</v>
      </c>
      <c r="C18">
        <f t="shared" ca="1" si="1"/>
        <v>2.3121890146591582E-2</v>
      </c>
      <c r="D18">
        <f t="shared" ca="1" si="1"/>
        <v>-0.42082371685177328</v>
      </c>
      <c r="E18">
        <f t="shared" ca="1" si="4"/>
        <v>1.2119429349900785E-2</v>
      </c>
      <c r="F18">
        <f t="shared" ca="1" si="5"/>
        <v>1.992174948425544E-2</v>
      </c>
      <c r="G18">
        <f t="shared" ca="1" si="9"/>
        <v>8.8295363591317528E-3</v>
      </c>
      <c r="H18">
        <f t="shared" ca="1" si="6"/>
        <v>4064.6716282692014</v>
      </c>
      <c r="I18">
        <f t="shared" ca="1" si="7"/>
        <v>554.8374317194349</v>
      </c>
      <c r="J18">
        <f ca="1">D$3*(1+G18)</f>
        <v>2255.7428432990187</v>
      </c>
      <c r="K18">
        <f t="array" aca="1" ref="K18:L18" ca="1">Opt3Spd(H18:J18,$E$3:$G$3,$K$3:$M$3,$N$3:$P$3,$H$3,$I$3,$Q$3,$J$3)</f>
        <v>224.0702474491718</v>
      </c>
      <c r="L18">
        <f ca="1"/>
        <v>9.9315805755395559E-3</v>
      </c>
    </row>
    <row r="19" spans="2:12" x14ac:dyDescent="0.15">
      <c r="B19">
        <f t="shared" ca="1" si="3"/>
        <v>-1.1512763020827728</v>
      </c>
      <c r="C19">
        <f t="shared" ca="1" si="1"/>
        <v>-1.5536530883411401</v>
      </c>
      <c r="D19">
        <f t="shared" ca="1" si="1"/>
        <v>0.84198309016321982</v>
      </c>
      <c r="E19">
        <f t="shared" ca="1" si="4"/>
        <v>-8.7375727938182757E-3</v>
      </c>
      <c r="F19">
        <f t="shared" ca="1" si="5"/>
        <v>-2.6140345527376575E-2</v>
      </c>
      <c r="G19">
        <f t="shared" ca="1" si="9"/>
        <v>-5.9404428905537659E-3</v>
      </c>
      <c r="H19">
        <f t="shared" ca="1" si="6"/>
        <v>3980.909907660026</v>
      </c>
      <c r="I19">
        <f t="shared" ca="1" si="7"/>
        <v>529.77965203310714</v>
      </c>
      <c r="J19">
        <f t="shared" ca="1" si="8"/>
        <v>2222.7171696967221</v>
      </c>
      <c r="K19">
        <f t="array" aca="1" ref="K19:L19" ca="1">Opt3Spd(H19:J19,$E$3:$G$3,$K$3:$M$3,$N$3:$P$3,$H$3,$I$3,$Q$3,$J$3)</f>
        <v>196.94122828543755</v>
      </c>
      <c r="L19">
        <f ca="1"/>
        <v>3.7348726743857696E-2</v>
      </c>
    </row>
    <row r="20" spans="2:12" x14ac:dyDescent="0.15">
      <c r="B20">
        <f t="shared" ca="1" si="3"/>
        <v>0.64190144834959995</v>
      </c>
      <c r="C20">
        <f t="shared" ca="1" si="1"/>
        <v>-0.81638795077177917</v>
      </c>
      <c r="D20">
        <f t="shared" ca="1" si="1"/>
        <v>1.1371037881310566</v>
      </c>
      <c r="E20">
        <f t="shared" ca="1" si="4"/>
        <v>4.8716894643495998E-3</v>
      </c>
      <c r="F20">
        <f t="shared" ca="1" si="5"/>
        <v>1.680950066327091E-3</v>
      </c>
      <c r="G20">
        <f t="shared" ca="1" si="9"/>
        <v>7.3888287213621073E-3</v>
      </c>
      <c r="H20">
        <f t="shared" ca="1" si="6"/>
        <v>4035.5647048888281</v>
      </c>
      <c r="I20">
        <f t="shared" ca="1" si="7"/>
        <v>544.9144368360819</v>
      </c>
      <c r="J20">
        <f t="shared" ca="1" si="8"/>
        <v>2252.5214210209656</v>
      </c>
      <c r="K20">
        <f t="array" aca="1" ref="K20:L20" ca="1">Opt3Spd(H20:J20,$E$3:$G$3,$K$3:$M$3,$N$3:$P$3,$H$3,$I$3,$Q$3,$J$3)</f>
        <v>212.45883564067776</v>
      </c>
      <c r="L20">
        <f ca="1"/>
        <v>1.7940200063549128E-2</v>
      </c>
    </row>
    <row r="21" spans="2:12" x14ac:dyDescent="0.15">
      <c r="B21">
        <f t="shared" ca="1" si="3"/>
        <v>1.3243907939621464</v>
      </c>
      <c r="C21">
        <f t="shared" ca="1" si="1"/>
        <v>-0.51972626572429426</v>
      </c>
      <c r="D21">
        <f t="shared" ca="1" si="1"/>
        <v>-1.5087836042205058</v>
      </c>
      <c r="E21">
        <f t="shared" ca="1" si="4"/>
        <v>1.0051419410589981E-2</v>
      </c>
      <c r="F21">
        <f t="shared" ca="1" si="5"/>
        <v>1.2392862201538728E-2</v>
      </c>
      <c r="G21">
        <f t="shared" ca="1" si="9"/>
        <v>2.6830718321032543E-3</v>
      </c>
      <c r="H21">
        <f t="shared" ca="1" si="6"/>
        <v>4056.3665003529295</v>
      </c>
      <c r="I21">
        <f t="shared" ca="1" si="7"/>
        <v>550.74171703763704</v>
      </c>
      <c r="J21">
        <f t="shared" ca="1" si="8"/>
        <v>2241.9993486165827</v>
      </c>
      <c r="K21">
        <f t="array" aca="1" ref="K21:L21" ca="1">Opt3Spd(H21:J21,$E$3:$G$3,$K$3:$M$3,$N$3:$P$3,$H$3,$I$3,$Q$3,$J$3)</f>
        <v>229.18747188879274</v>
      </c>
      <c r="L21">
        <f ca="1"/>
        <v>7.3931043741595204E-3</v>
      </c>
    </row>
    <row r="22" spans="2:12" x14ac:dyDescent="0.15">
      <c r="B22">
        <f t="shared" ca="1" si="3"/>
        <v>-0.67755300224618076</v>
      </c>
      <c r="C22">
        <f t="shared" ca="1" si="1"/>
        <v>-1.749378057423586</v>
      </c>
      <c r="D22">
        <f t="shared" ca="1" si="1"/>
        <v>1.0838092867122313</v>
      </c>
      <c r="E22">
        <f t="shared" ca="1" si="4"/>
        <v>-5.1422657341994721E-3</v>
      </c>
      <c r="F22">
        <f t="shared" ca="1" si="5"/>
        <v>-2.1782798739001272E-2</v>
      </c>
      <c r="G22">
        <f t="shared" ca="1" si="9"/>
        <v>-2.2150973120035737E-3</v>
      </c>
      <c r="H22">
        <f t="shared" ca="1" si="6"/>
        <v>3995.3486608114549</v>
      </c>
      <c r="I22">
        <f t="shared" ca="1" si="7"/>
        <v>532.1501574859833</v>
      </c>
      <c r="J22">
        <f t="shared" ca="1" si="8"/>
        <v>2231.0470424103601</v>
      </c>
      <c r="K22">
        <f t="array" aca="1" ref="K22:L22" ca="1">Opt3Spd(H22:J22,$E$3:$G$3,$K$3:$M$3,$N$3:$P$3,$H$3,$I$3,$Q$3,$J$3)</f>
        <v>203.41228996073414</v>
      </c>
      <c r="L22">
        <f ca="1"/>
        <v>2.7402332032806953E-2</v>
      </c>
    </row>
    <row r="23" spans="2:12" x14ac:dyDescent="0.15">
      <c r="B23">
        <f t="shared" ca="1" si="3"/>
        <v>-0.10703913684873038</v>
      </c>
      <c r="C23">
        <f t="shared" ca="1" si="1"/>
        <v>-1.4965736725920891</v>
      </c>
      <c r="D23">
        <f t="shared" ca="1" si="1"/>
        <v>0.59563036353267562</v>
      </c>
      <c r="E23">
        <f t="shared" ca="1" si="4"/>
        <v>-8.1236993092907055E-4</v>
      </c>
      <c r="F23">
        <f t="shared" ca="1" si="5"/>
        <v>-1.2791479201665701E-2</v>
      </c>
      <c r="G23">
        <f t="shared" ca="1" si="9"/>
        <v>-2.3590160550923677E-5</v>
      </c>
      <c r="H23">
        <f t="shared" ca="1" si="6"/>
        <v>4012.737522357389</v>
      </c>
      <c r="I23">
        <f t="shared" ca="1" si="7"/>
        <v>537.04143531429384</v>
      </c>
      <c r="J23">
        <f t="shared" ca="1" si="8"/>
        <v>2235.947252401008</v>
      </c>
      <c r="K23">
        <f t="array" aca="1" ref="K23:L23" ca="1">Opt3Spd(H23:J23,$E$3:$G$3,$K$3:$M$3,$N$3:$P$3,$H$3,$I$3,$Q$3,$J$3)</f>
        <v>210.5169151794048</v>
      </c>
      <c r="L23">
        <f ca="1"/>
        <v>1.9315525390084076E-2</v>
      </c>
    </row>
    <row r="24" spans="2:12" x14ac:dyDescent="0.15">
      <c r="B24">
        <f t="shared" ca="1" si="3"/>
        <v>-0.8157927317264656</v>
      </c>
      <c r="C24">
        <f t="shared" ca="1" si="1"/>
        <v>-0.11858493191295331</v>
      </c>
      <c r="D24">
        <f t="shared" ca="1" si="1"/>
        <v>1.1600879894812415</v>
      </c>
      <c r="E24">
        <f t="shared" ca="1" si="4"/>
        <v>-6.1914315140792113E-3</v>
      </c>
      <c r="F24">
        <f t="shared" ca="1" si="5"/>
        <v>-1.0995570297080275E-2</v>
      </c>
      <c r="G24">
        <f t="shared" ca="1" si="9"/>
        <v>-1.2579728439939292E-3</v>
      </c>
      <c r="H24">
        <f t="shared" ca="1" si="6"/>
        <v>3991.1352110394578</v>
      </c>
      <c r="I24">
        <f t="shared" ca="1" si="7"/>
        <v>538.01840975838832</v>
      </c>
      <c r="J24">
        <f t="shared" ca="1" si="8"/>
        <v>2233.1871727208295</v>
      </c>
      <c r="K24">
        <f t="array" aca="1" ref="K24:L24" ca="1">Opt3Spd(H24:J24,$E$3:$G$3,$K$3:$M$3,$N$3:$P$3,$H$3,$I$3,$Q$3,$J$3)</f>
        <v>188.7684690428016</v>
      </c>
      <c r="L24">
        <f ca="1"/>
        <v>5.6299977180060523E-2</v>
      </c>
    </row>
    <row r="25" spans="2:12" x14ac:dyDescent="0.15">
      <c r="B25">
        <f t="shared" ca="1" si="3"/>
        <v>-0.96773303484827722</v>
      </c>
      <c r="C25">
        <f t="shared" ca="1" si="3"/>
        <v>0.62138100848956745</v>
      </c>
      <c r="D25">
        <f t="shared" ca="1" si="3"/>
        <v>0.42998336717953978</v>
      </c>
      <c r="E25">
        <f t="shared" ca="1" si="4"/>
        <v>-7.3445773370583714E-3</v>
      </c>
      <c r="F25">
        <f t="shared" ca="1" si="5"/>
        <v>-7.2040020695248548E-3</v>
      </c>
      <c r="G25">
        <f t="shared" ca="1" si="9"/>
        <v>-4.1147283456849605E-3</v>
      </c>
      <c r="H25">
        <f t="shared" ca="1" si="6"/>
        <v>3986.5041774143733</v>
      </c>
      <c r="I25">
        <f t="shared" ca="1" si="7"/>
        <v>540.08102287417842</v>
      </c>
      <c r="J25">
        <f t="shared" ca="1" si="8"/>
        <v>2226.7994674190486</v>
      </c>
      <c r="K25">
        <f t="array" aca="1" ref="K25:L25" ca="1">Opt3Spd(H25:J25,$E$3:$G$3,$K$3:$M$3,$N$3:$P$3,$H$3,$I$3,$Q$3,$J$3)</f>
        <v>184.04484362536391</v>
      </c>
      <c r="L25">
        <f ca="1"/>
        <v>7.0036519200357361E-2</v>
      </c>
    </row>
    <row r="26" spans="2:12" x14ac:dyDescent="0.15">
      <c r="B26">
        <f t="shared" ca="1" si="3"/>
        <v>-1.3232419790667277E-2</v>
      </c>
      <c r="C26">
        <f t="shared" ca="1" si="3"/>
        <v>-7.428077636949415E-2</v>
      </c>
      <c r="D26">
        <f t="shared" ca="1" si="3"/>
        <v>-0.31474620260593755</v>
      </c>
      <c r="E26">
        <f t="shared" ca="1" si="4"/>
        <v>-1.0042700518559298E-4</v>
      </c>
      <c r="F26">
        <f t="shared" ca="1" si="5"/>
        <v>-7.3281346725020827E-4</v>
      </c>
      <c r="G26">
        <f t="shared" ca="1" si="9"/>
        <v>-1.2749107354329337E-3</v>
      </c>
      <c r="H26">
        <f t="shared" ca="1" si="6"/>
        <v>4015.5966851471744</v>
      </c>
      <c r="I26">
        <f t="shared" ca="1" si="7"/>
        <v>543.60134947381584</v>
      </c>
      <c r="J26">
        <f t="shared" ca="1" si="8"/>
        <v>2233.1492995955718</v>
      </c>
      <c r="K26">
        <f t="array" aca="1" ref="K26:L26" ca="1">Opt3Spd(H26:J26,$E$3:$G$3,$K$3:$M$3,$N$3:$P$3,$H$3,$I$3,$Q$3,$J$3)</f>
        <v>204.28638885157761</v>
      </c>
      <c r="L26">
        <f ca="1"/>
        <v>2.6512660294656598E-2</v>
      </c>
    </row>
    <row r="27" spans="2:12" x14ac:dyDescent="0.15">
      <c r="B27">
        <f t="shared" ca="1" si="3"/>
        <v>-1.3950359763437379</v>
      </c>
      <c r="C27">
        <f t="shared" ca="1" si="3"/>
        <v>-2.2536111795261204</v>
      </c>
      <c r="D27">
        <f t="shared" ca="1" si="3"/>
        <v>-0.7229966329256664</v>
      </c>
      <c r="E27">
        <f t="shared" ca="1" si="4"/>
        <v>-1.0587578647495167E-2</v>
      </c>
      <c r="F27">
        <f t="shared" ca="1" si="5"/>
        <v>-3.4517974919265046E-2</v>
      </c>
      <c r="G27">
        <f t="shared" ca="1" si="9"/>
        <v>-1.3747538550821883E-2</v>
      </c>
      <c r="H27">
        <f t="shared" ca="1" si="6"/>
        <v>3973.4802841516594</v>
      </c>
      <c r="I27">
        <f t="shared" ca="1" si="7"/>
        <v>525.22222164391985</v>
      </c>
      <c r="J27">
        <f t="shared" ca="1" si="8"/>
        <v>2205.2605038003621</v>
      </c>
      <c r="K27">
        <f t="array" aca="1" ref="K27:L27" ca="1">Opt3Spd(H27:J27,$E$3:$G$3,$K$3:$M$3,$N$3:$P$3,$H$3,$I$3,$Q$3,$J$3)</f>
        <v>205.51833915591715</v>
      </c>
      <c r="L27">
        <f ca="1"/>
        <v>2.3861534710704291E-2</v>
      </c>
    </row>
    <row r="28" spans="2:12" x14ac:dyDescent="0.15">
      <c r="B28">
        <f t="shared" ca="1" si="3"/>
        <v>-1.1130928412574288</v>
      </c>
      <c r="C28">
        <f t="shared" ca="1" si="3"/>
        <v>-0.49826318127975222</v>
      </c>
      <c r="D28">
        <f t="shared" ca="1" si="3"/>
        <v>0.4414027706315804</v>
      </c>
      <c r="E28">
        <f t="shared" ca="1" si="4"/>
        <v>-8.4477807014441166E-3</v>
      </c>
      <c r="F28">
        <f t="shared" ca="1" si="5"/>
        <v>-1.7580949962644789E-2</v>
      </c>
      <c r="G28">
        <f t="shared" ca="1" si="9"/>
        <v>-6.0953321942141953E-3</v>
      </c>
      <c r="H28">
        <f t="shared" ca="1" si="6"/>
        <v>3982.0737127030002</v>
      </c>
      <c r="I28">
        <f t="shared" ca="1" si="7"/>
        <v>534.43596322032124</v>
      </c>
      <c r="J28">
        <f t="shared" ca="1" si="8"/>
        <v>2222.3708372137371</v>
      </c>
      <c r="K28">
        <f t="array" aca="1" ref="K28:L28" ca="1">Opt3Spd(H28:J28,$E$3:$G$3,$K$3:$M$3,$N$3:$P$3,$H$3,$I$3,$Q$3,$J$3)</f>
        <v>190.84108567683779</v>
      </c>
      <c r="L28">
        <f ca="1"/>
        <v>5.0332733220329828E-2</v>
      </c>
    </row>
    <row r="29" spans="2:12" x14ac:dyDescent="0.15">
      <c r="B29">
        <f t="shared" ca="1" si="3"/>
        <v>0.46700254668585567</v>
      </c>
      <c r="C29">
        <f t="shared" ca="1" si="3"/>
        <v>-2.2842775806286961</v>
      </c>
      <c r="D29">
        <f t="shared" ca="1" si="3"/>
        <v>-0.38903213308109785</v>
      </c>
      <c r="E29">
        <f t="shared" ca="1" si="4"/>
        <v>3.544300129503413E-3</v>
      </c>
      <c r="F29">
        <f t="shared" ca="1" si="5"/>
        <v>-1.1729780569583705E-2</v>
      </c>
      <c r="G29">
        <f t="shared" ca="1" si="9"/>
        <v>-5.7920215464080495E-4</v>
      </c>
      <c r="H29">
        <f t="shared" ca="1" si="6"/>
        <v>4030.2339093200858</v>
      </c>
      <c r="I29">
        <f t="shared" ca="1" si="7"/>
        <v>537.61899937014641</v>
      </c>
      <c r="J29">
        <f t="shared" ca="1" si="8"/>
        <v>2234.7049039822232</v>
      </c>
      <c r="K29">
        <f t="array" aca="1" ref="K29:L29" ca="1">Opt3Spd(H29:J29,$E$3:$G$3,$K$3:$M$3,$N$3:$P$3,$H$3,$I$3,$Q$3,$J$3)</f>
        <v>227.69889940284656</v>
      </c>
      <c r="L29">
        <f ca="1"/>
        <v>7.841066106720973E-3</v>
      </c>
    </row>
    <row r="30" spans="2:12" x14ac:dyDescent="0.15">
      <c r="B30">
        <f t="shared" ca="1" si="3"/>
        <v>-1.5770761844938095</v>
      </c>
      <c r="C30">
        <f t="shared" ca="1" si="3"/>
        <v>1.1047608114577832</v>
      </c>
      <c r="D30">
        <f t="shared" ca="1" si="3"/>
        <v>-0.2228747209278201</v>
      </c>
      <c r="E30">
        <f t="shared" ca="1" si="4"/>
        <v>-1.1969166687860062E-2</v>
      </c>
      <c r="F30">
        <f t="shared" ca="1" si="5"/>
        <v>-1.1034170483498407E-2</v>
      </c>
      <c r="G30">
        <f t="shared" ca="1" si="9"/>
        <v>-9.8961943657032564E-3</v>
      </c>
      <c r="H30">
        <f t="shared" ca="1" si="6"/>
        <v>3967.9318265815541</v>
      </c>
      <c r="I30">
        <f t="shared" ca="1" si="7"/>
        <v>537.99741125697687</v>
      </c>
      <c r="J30">
        <f t="shared" ca="1" si="8"/>
        <v>2213.8721093982876</v>
      </c>
      <c r="K30">
        <f t="array" aca="1" ref="K30:L30" ca="1">Opt3Spd(H30:J30,$E$3:$G$3,$K$3:$M$3,$N$3:$P$3,$H$3,$I$3,$Q$3,$J$3)</f>
        <v>175.303457968663</v>
      </c>
      <c r="L30">
        <f ca="1"/>
        <v>0.10354409741580639</v>
      </c>
    </row>
    <row r="31" spans="2:12" x14ac:dyDescent="0.15">
      <c r="B31">
        <f t="shared" ca="1" si="3"/>
        <v>-1.4119719416175225</v>
      </c>
      <c r="C31">
        <f t="shared" ca="1" si="3"/>
        <v>-1.3439960677873501</v>
      </c>
      <c r="D31">
        <f t="shared" ca="1" si="3"/>
        <v>-0.34976817516271841</v>
      </c>
      <c r="E31">
        <f t="shared" ca="1" si="4"/>
        <v>-1.071611358662799E-2</v>
      </c>
      <c r="F31">
        <f t="shared" ca="1" si="5"/>
        <v>-2.7757151631017305E-2</v>
      </c>
      <c r="G31">
        <f t="shared" ca="1" si="9"/>
        <v>-1.1651256833061631E-2</v>
      </c>
      <c r="H31">
        <f t="shared" ca="1" si="6"/>
        <v>3972.9640878361024</v>
      </c>
      <c r="I31">
        <f t="shared" ca="1" si="7"/>
        <v>528.90010951272654</v>
      </c>
      <c r="J31">
        <f t="shared" ca="1" si="8"/>
        <v>2209.9477897212741</v>
      </c>
      <c r="K31">
        <f t="array" aca="1" ref="K31:L31" ca="1">Opt3Spd(H31:J31,$E$3:$G$3,$K$3:$M$3,$N$3:$P$3,$H$3,$I$3,$Q$3,$J$3)</f>
        <v>196.78713490177051</v>
      </c>
      <c r="L31">
        <f ca="1"/>
        <v>3.7117146667469569E-2</v>
      </c>
    </row>
    <row r="32" spans="2:12" x14ac:dyDescent="0.15">
      <c r="B32">
        <f t="shared" ca="1" si="3"/>
        <v>-1.7145007071277771</v>
      </c>
      <c r="C32">
        <f t="shared" ca="1" si="3"/>
        <v>-0.40374698408402832</v>
      </c>
      <c r="D32">
        <f t="shared" ca="1" si="3"/>
        <v>-2.2828422425974361E-2</v>
      </c>
      <c r="E32">
        <f t="shared" ca="1" si="4"/>
        <v>-1.3012145482783342E-2</v>
      </c>
      <c r="F32">
        <f t="shared" ca="1" si="5"/>
        <v>-2.429279914312198E-2</v>
      </c>
      <c r="G32">
        <f t="shared" ca="1" si="9"/>
        <v>-1.1532076383031355E-2</v>
      </c>
      <c r="H32">
        <f t="shared" ca="1" si="6"/>
        <v>3963.7432237411422</v>
      </c>
      <c r="I32">
        <f t="shared" ca="1" si="7"/>
        <v>530.78471726614168</v>
      </c>
      <c r="J32">
        <f t="shared" ca="1" si="8"/>
        <v>2210.2142772075417</v>
      </c>
      <c r="K32">
        <f t="array" aca="1" ref="K32:L32" ca="1">Opt3Spd(H32:J32,$E$3:$G$3,$K$3:$M$3,$N$3:$P$3,$H$3,$I$3,$Q$3,$J$3)</f>
        <v>184.44779604032215</v>
      </c>
      <c r="L32">
        <f ca="1"/>
        <v>6.7258528777529136E-2</v>
      </c>
    </row>
    <row r="33" spans="2:12" x14ac:dyDescent="0.15">
      <c r="B33">
        <f t="shared" ca="1" si="3"/>
        <v>-2.4892313466786709</v>
      </c>
      <c r="C33">
        <f t="shared" ca="1" si="3"/>
        <v>0.68095458790567642</v>
      </c>
      <c r="D33">
        <f t="shared" ca="1" si="3"/>
        <v>-0.54932250116318782</v>
      </c>
      <c r="E33">
        <f t="shared" ca="1" si="4"/>
        <v>-1.8891937628622749E-2</v>
      </c>
      <c r="F33">
        <f t="shared" ca="1" si="5"/>
        <v>-2.5560074191515982E-2</v>
      </c>
      <c r="G33">
        <f t="shared" ca="1" si="9"/>
        <v>-1.7349870693704729E-2</v>
      </c>
      <c r="H33">
        <f t="shared" ca="1" si="6"/>
        <v>3940.1299784834509</v>
      </c>
      <c r="I33">
        <f t="shared" ca="1" si="7"/>
        <v>530.09531963981533</v>
      </c>
      <c r="J33">
        <f t="shared" ca="1" si="8"/>
        <v>2197.2056891288762</v>
      </c>
      <c r="K33">
        <f t="array" aca="1" ref="K33:L33" ca="1">Opt3Spd(H33:J33,$E$3:$G$3,$K$3:$M$3,$N$3:$P$3,$H$3,$I$3,$Q$3,$J$3)</f>
        <v>168.51267976455824</v>
      </c>
      <c r="L33">
        <f ca="1"/>
        <v>0.13805726925011186</v>
      </c>
    </row>
    <row r="34" spans="2:12" x14ac:dyDescent="0.15">
      <c r="B34">
        <f t="shared" ca="1" si="3"/>
        <v>-0.26962831583874014</v>
      </c>
      <c r="C34">
        <f t="shared" ca="1" si="3"/>
        <v>-0.39139098202618877</v>
      </c>
      <c r="D34">
        <f t="shared" ca="1" si="3"/>
        <v>-0.76694790816818237</v>
      </c>
      <c r="E34">
        <f t="shared" ca="1" si="4"/>
        <v>-2.0463350393416127E-3</v>
      </c>
      <c r="F34">
        <f t="shared" ca="1" si="5"/>
        <v>-6.3329843230930417E-3</v>
      </c>
      <c r="G34">
        <f t="shared" ca="1" si="9"/>
        <v>-4.8415629162956476E-3</v>
      </c>
      <c r="H34">
        <f t="shared" ca="1" si="6"/>
        <v>4007.7819184820041</v>
      </c>
      <c r="I34">
        <f t="shared" ca="1" si="7"/>
        <v>540.55485652823734</v>
      </c>
      <c r="J34">
        <f t="shared" ca="1" si="8"/>
        <v>2225.1742653191627</v>
      </c>
      <c r="K34">
        <f t="array" aca="1" ref="K34:L34" ca="1">Opt3Spd(H34:J34,$E$3:$G$3,$K$3:$M$3,$N$3:$P$3,$H$3,$I$3,$Q$3,$J$3)</f>
        <v>205.33189504543589</v>
      </c>
      <c r="L34">
        <f ca="1"/>
        <v>2.4879668192852478E-2</v>
      </c>
    </row>
    <row r="35" spans="2:12" x14ac:dyDescent="0.15">
      <c r="B35">
        <f t="shared" ca="1" si="3"/>
        <v>-0.36197011137374963</v>
      </c>
      <c r="C35">
        <f t="shared" ca="1" si="3"/>
        <v>-1.3059311056854692</v>
      </c>
      <c r="D35">
        <f t="shared" ca="1" si="3"/>
        <v>0.51077882447148815</v>
      </c>
      <c r="E35">
        <f t="shared" ca="1" si="4"/>
        <v>-2.7471599924300846E-3</v>
      </c>
      <c r="F35">
        <f t="shared" ca="1" si="5"/>
        <v>-1.4482712643207361E-2</v>
      </c>
      <c r="G35">
        <f t="shared" ca="1" si="9"/>
        <v>-1.7849944585305018E-3</v>
      </c>
      <c r="H35">
        <f t="shared" ca="1" si="6"/>
        <v>4004.9674054704005</v>
      </c>
      <c r="I35">
        <f t="shared" ca="1" si="7"/>
        <v>536.12140432209526</v>
      </c>
      <c r="J35">
        <f t="shared" ca="1" si="8"/>
        <v>2232.0087523907259</v>
      </c>
      <c r="K35">
        <f t="array" aca="1" ref="K35:L35" ca="1">Opt3Spd(H35:J35,$E$3:$G$3,$K$3:$M$3,$N$3:$P$3,$H$3,$I$3,$Q$3,$J$3)</f>
        <v>206.19270921245993</v>
      </c>
      <c r="L35">
        <f ca="1"/>
        <v>2.3926852775048246E-2</v>
      </c>
    </row>
    <row r="36" spans="2:12" x14ac:dyDescent="0.15">
      <c r="B36">
        <f t="shared" ca="1" si="3"/>
        <v>0.27499597104486584</v>
      </c>
      <c r="C36">
        <f t="shared" ca="1" si="3"/>
        <v>-0.17315134803079463</v>
      </c>
      <c r="D36">
        <f t="shared" ca="1" si="3"/>
        <v>0.40425328823431217</v>
      </c>
      <c r="E36">
        <f t="shared" ca="1" si="4"/>
        <v>2.0870726780915752E-3</v>
      </c>
      <c r="F36">
        <f t="shared" ca="1" si="5"/>
        <v>2.0733594826752794E-3</v>
      </c>
      <c r="G36">
        <f t="shared" ca="1" si="9"/>
        <v>3.0419714225604212E-3</v>
      </c>
      <c r="H36">
        <f t="shared" ca="1" si="6"/>
        <v>4024.3816838752155</v>
      </c>
      <c r="I36">
        <f t="shared" ca="1" si="7"/>
        <v>545.12790755857532</v>
      </c>
      <c r="J36">
        <f t="shared" ca="1" si="8"/>
        <v>2242.8018481008453</v>
      </c>
      <c r="K36">
        <f t="array" aca="1" ref="K36:L36" ca="1">Opt3Spd(H36:J36,$E$3:$G$3,$K$3:$M$3,$N$3:$P$3,$H$3,$I$3,$Q$3,$J$3)</f>
        <v>205.80097613348539</v>
      </c>
      <c r="L36">
        <f ca="1"/>
        <v>2.4868402413176227E-2</v>
      </c>
    </row>
    <row r="37" spans="2:12" x14ac:dyDescent="0.15">
      <c r="B37">
        <f t="shared" ca="1" si="3"/>
        <v>0.16835457458608458</v>
      </c>
      <c r="C37">
        <f t="shared" ca="1" si="3"/>
        <v>-0.61209679571269049</v>
      </c>
      <c r="D37">
        <f t="shared" ca="1" si="3"/>
        <v>-1.6233601371814679</v>
      </c>
      <c r="E37">
        <f t="shared" ca="1" si="4"/>
        <v>1.2777213844817434E-3</v>
      </c>
      <c r="F37">
        <f t="shared" ca="1" si="5"/>
        <v>-2.6087740536426467E-3</v>
      </c>
      <c r="G37">
        <f t="shared" ca="1" si="9"/>
        <v>-5.2708178220366607E-3</v>
      </c>
      <c r="H37">
        <f t="shared" ca="1" si="6"/>
        <v>4021.1313290800786</v>
      </c>
      <c r="I37">
        <f t="shared" ca="1" si="7"/>
        <v>542.58082691481843</v>
      </c>
      <c r="J37">
        <f t="shared" ca="1" si="8"/>
        <v>2224.2144513499261</v>
      </c>
      <c r="K37">
        <f t="array" aca="1" ref="K37:L37" ca="1">Opt3Spd(H37:J37,$E$3:$G$3,$K$3:$M$3,$N$3:$P$3,$H$3,$I$3,$Q$3,$J$3)</f>
        <v>215.9092771806263</v>
      </c>
      <c r="L37">
        <f ca="1"/>
        <v>1.4496839220555557E-2</v>
      </c>
    </row>
    <row r="38" spans="2:12" x14ac:dyDescent="0.15">
      <c r="B38">
        <f t="shared" ca="1" si="3"/>
        <v>6.3230453119140897E-2</v>
      </c>
      <c r="C38">
        <f t="shared" ca="1" si="3"/>
        <v>0.7199233546721312</v>
      </c>
      <c r="D38">
        <f t="shared" ca="1" si="3"/>
        <v>0.29618041501034276</v>
      </c>
      <c r="E38">
        <f t="shared" ca="1" si="4"/>
        <v>4.7988539841835987E-4</v>
      </c>
      <c r="F38">
        <f t="shared" ca="1" si="5"/>
        <v>6.298465284278282E-3</v>
      </c>
      <c r="G38">
        <f t="shared" ca="1" si="9"/>
        <v>2.1562834585660581E-3</v>
      </c>
      <c r="H38">
        <f t="shared" ca="1" si="6"/>
        <v>4017.9272197600476</v>
      </c>
      <c r="I38">
        <f t="shared" ca="1" si="7"/>
        <v>547.42636511464741</v>
      </c>
      <c r="J38">
        <f t="shared" ca="1" si="8"/>
        <v>2240.8214498133534</v>
      </c>
      <c r="K38">
        <f t="array" aca="1" ref="K38:L38" ca="1">Opt3Spd(H38:J38,$E$3:$G$3,$K$3:$M$3,$N$3:$P$3,$H$3,$I$3,$Q$3,$J$3)</f>
        <v>196.67335661880156</v>
      </c>
      <c r="L38">
        <f ca="1"/>
        <v>3.9045948866714753E-2</v>
      </c>
    </row>
    <row r="39" spans="2:12" x14ac:dyDescent="0.15">
      <c r="B39">
        <f t="shared" ca="1" si="3"/>
        <v>-0.8530581632636457</v>
      </c>
      <c r="C39">
        <f t="shared" ca="1" si="3"/>
        <v>0.47828630474097322</v>
      </c>
      <c r="D39">
        <f t="shared" ca="1" si="3"/>
        <v>9.5442538542712341E-2</v>
      </c>
      <c r="E39">
        <f t="shared" ca="1" si="4"/>
        <v>-6.4742562540309528E-3</v>
      </c>
      <c r="F39">
        <f t="shared" ca="1" si="5"/>
        <v>-6.8826147002665023E-3</v>
      </c>
      <c r="G39">
        <f t="shared" ca="1" si="9"/>
        <v>-4.7013825580152404E-3</v>
      </c>
      <c r="H39">
        <f t="shared" ca="1" si="6"/>
        <v>3989.9993868838114</v>
      </c>
      <c r="I39">
        <f t="shared" ca="1" si="7"/>
        <v>540.25585760305501</v>
      </c>
      <c r="J39">
        <f t="shared" ca="1" si="8"/>
        <v>2225.487708600278</v>
      </c>
      <c r="K39">
        <f t="array" aca="1" ref="K39:L39" ca="1">Opt3Spd(H39:J39,$E$3:$G$3,$K$3:$M$3,$N$3:$P$3,$H$3,$I$3,$Q$3,$J$3)</f>
        <v>187.90447279851514</v>
      </c>
      <c r="L39">
        <f ca="1"/>
        <v>5.8312379730978137E-2</v>
      </c>
    </row>
    <row r="40" spans="2:12" x14ac:dyDescent="0.15">
      <c r="B40">
        <f t="shared" ca="1" si="3"/>
        <v>-1.3033085931723407</v>
      </c>
      <c r="C40">
        <f t="shared" ca="1" si="3"/>
        <v>1.7778924822098834</v>
      </c>
      <c r="D40">
        <f t="shared" ca="1" si="3"/>
        <v>-0.81219231370618861</v>
      </c>
      <c r="E40">
        <f t="shared" ca="1" si="4"/>
        <v>-9.8914167563864917E-3</v>
      </c>
      <c r="F40">
        <f t="shared" ca="1" si="5"/>
        <v>-2.4910743945184247E-3</v>
      </c>
      <c r="G40">
        <f t="shared" ca="1" si="9"/>
        <v>-9.5714238288570272E-3</v>
      </c>
      <c r="H40">
        <f t="shared" ca="1" si="6"/>
        <v>3976.2760703063518</v>
      </c>
      <c r="I40">
        <f t="shared" ca="1" si="7"/>
        <v>542.64485552938197</v>
      </c>
      <c r="J40">
        <f t="shared" ca="1" si="8"/>
        <v>2214.5982963186757</v>
      </c>
      <c r="K40">
        <f t="array" aca="1" ref="K40:L40" ca="1">Opt3Spd(H40:J40,$E$3:$G$3,$K$3:$M$3,$N$3:$P$3,$H$3,$I$3,$Q$3,$J$3)</f>
        <v>175.84653388121433</v>
      </c>
      <c r="L40">
        <f ca="1"/>
        <v>0.10138058121151516</v>
      </c>
    </row>
    <row r="41" spans="2:12" x14ac:dyDescent="0.15">
      <c r="B41">
        <f t="shared" ca="1" si="3"/>
        <v>-0.31043827606906643</v>
      </c>
      <c r="C41">
        <f t="shared" ca="1" si="3"/>
        <v>-1.3928919298508071</v>
      </c>
      <c r="D41">
        <f t="shared" ca="1" si="3"/>
        <v>0.47768666871040438</v>
      </c>
      <c r="E41">
        <f t="shared" ca="1" si="4"/>
        <v>-2.3560608606585428E-3</v>
      </c>
      <c r="F41">
        <f t="shared" ca="1" si="5"/>
        <v>-1.4511913193092028E-2</v>
      </c>
      <c r="G41">
        <f t="shared" ca="1" si="9"/>
        <v>-1.6542192885537258E-3</v>
      </c>
      <c r="H41">
        <f t="shared" ca="1" si="6"/>
        <v>4006.5380595835954</v>
      </c>
      <c r="I41">
        <f t="shared" ca="1" si="7"/>
        <v>536.10551922295792</v>
      </c>
      <c r="J41">
        <f t="shared" ca="1" si="8"/>
        <v>2232.301165670794</v>
      </c>
      <c r="K41">
        <f t="array" aca="1" ref="K41:L41" ca="1">Opt3Spd(H41:J41,$E$3:$G$3,$K$3:$M$3,$N$3:$P$3,$H$3,$I$3,$Q$3,$J$3)</f>
        <v>207.64089317531557</v>
      </c>
      <c r="L41">
        <f ca="1"/>
        <v>2.2247183849913199E-2</v>
      </c>
    </row>
    <row r="42" spans="2:12" x14ac:dyDescent="0.15">
      <c r="B42">
        <f t="shared" ca="1" si="3"/>
        <v>1.2952205127345831</v>
      </c>
      <c r="C42">
        <f t="shared" ca="1" si="3"/>
        <v>-1.4090987523069991</v>
      </c>
      <c r="D42">
        <f t="shared" ca="1" si="3"/>
        <v>1.7095050757445753</v>
      </c>
      <c r="E42">
        <f t="shared" ca="1" si="4"/>
        <v>9.8300325417897735E-3</v>
      </c>
      <c r="F42">
        <f t="shared" ca="1" si="5"/>
        <v>5.2170738112579411E-3</v>
      </c>
      <c r="G42">
        <f t="shared" ca="1" si="9"/>
        <v>1.3062486949980261E-2</v>
      </c>
      <c r="H42">
        <f t="shared" ca="1" si="6"/>
        <v>4055.4774106878276</v>
      </c>
      <c r="I42">
        <f t="shared" ca="1" si="7"/>
        <v>546.83808815332441</v>
      </c>
      <c r="J42">
        <f t="shared" ca="1" si="8"/>
        <v>2265.2077208201558</v>
      </c>
      <c r="K42">
        <f t="array" aca="1" ref="K42:L42" ca="1">Opt3Spd(H42:J42,$E$3:$G$3,$K$3:$M$3,$N$3:$P$3,$H$3,$I$3,$Q$3,$J$3)</f>
        <v>222.94319283058076</v>
      </c>
      <c r="L42">
        <f ca="1"/>
        <v>1.05835981501059E-2</v>
      </c>
    </row>
    <row r="43" spans="2:12" x14ac:dyDescent="0.15">
      <c r="B43">
        <f t="shared" ca="1" si="3"/>
        <v>-0.33964589388915661</v>
      </c>
      <c r="C43">
        <f t="shared" ca="1" si="3"/>
        <v>-0.80582152117229788</v>
      </c>
      <c r="D43">
        <f t="shared" ca="1" si="3"/>
        <v>0.22321310628570568</v>
      </c>
      <c r="E43">
        <f t="shared" ca="1" si="4"/>
        <v>-2.5777310942726398E-3</v>
      </c>
      <c r="F43">
        <f t="shared" ca="1" si="5"/>
        <v>-1.0374428814943644E-2</v>
      </c>
      <c r="G43">
        <f t="shared" ca="1" si="9"/>
        <v>-2.1781964505087708E-3</v>
      </c>
      <c r="H43">
        <f t="shared" ca="1" si="6"/>
        <v>4005.6478319254011</v>
      </c>
      <c r="I43">
        <f t="shared" ca="1" si="7"/>
        <v>538.35631072467061</v>
      </c>
      <c r="J43">
        <f t="shared" ca="1" si="8"/>
        <v>2231.1295527366624</v>
      </c>
      <c r="K43">
        <f t="array" aca="1" ref="K43:L43" ca="1">Opt3Spd(H43:J43,$E$3:$G$3,$K$3:$M$3,$N$3:$P$3,$H$3,$I$3,$Q$3,$J$3)</f>
        <v>203.74003591296469</v>
      </c>
      <c r="L43">
        <f ca="1"/>
        <v>2.707751536786418E-2</v>
      </c>
    </row>
    <row r="44" spans="2:12" x14ac:dyDescent="0.15">
      <c r="B44">
        <f t="shared" ca="1" si="3"/>
        <v>0.50276828897544912</v>
      </c>
      <c r="C44">
        <f t="shared" ca="1" si="3"/>
        <v>-0.88381965093276893</v>
      </c>
      <c r="D44">
        <f t="shared" ca="1" si="3"/>
        <v>8.221366365495425E-2</v>
      </c>
      <c r="E44">
        <f t="shared" ca="1" si="4"/>
        <v>3.8157430283235426E-3</v>
      </c>
      <c r="F44">
        <f t="shared" ca="1" si="5"/>
        <v>-5.5608048409462217E-4</v>
      </c>
      <c r="G44">
        <f t="shared" ca="1" si="9"/>
        <v>2.6800895437464984E-3</v>
      </c>
      <c r="H44">
        <f t="shared" ca="1" si="6"/>
        <v>4031.3240240017471</v>
      </c>
      <c r="I44">
        <f t="shared" ca="1" si="7"/>
        <v>543.69749221665256</v>
      </c>
      <c r="J44">
        <f t="shared" ca="1" si="8"/>
        <v>2241.992680219817</v>
      </c>
      <c r="K44">
        <f t="array" aca="1" ref="K44:L44" ca="1">Opt3Spd(H44:J44,$E$3:$G$3,$K$3:$M$3,$N$3:$P$3,$H$3,$I$3,$Q$3,$J$3)</f>
        <v>215.42689152369667</v>
      </c>
      <c r="L44">
        <f ca="1"/>
        <v>1.5195178502381168E-2</v>
      </c>
    </row>
    <row r="45" spans="2:12" x14ac:dyDescent="0.15">
      <c r="B45">
        <f t="shared" ca="1" si="3"/>
        <v>-1.2549231906104725</v>
      </c>
      <c r="C45">
        <f t="shared" ca="1" si="3"/>
        <v>-0.12261620636053751</v>
      </c>
      <c r="D45">
        <f t="shared" ca="1" si="3"/>
        <v>-1.8125588900953409</v>
      </c>
      <c r="E45">
        <f t="shared" ca="1" si="4"/>
        <v>-9.5241973701473328E-3</v>
      </c>
      <c r="F45">
        <f t="shared" ca="1" si="5"/>
        <v>-1.6456092317938781E-2</v>
      </c>
      <c r="G45">
        <f t="shared" ca="1" si="9"/>
        <v>-1.4650647663411407E-2</v>
      </c>
      <c r="H45">
        <f t="shared" ca="1" si="6"/>
        <v>3977.7508233614885</v>
      </c>
      <c r="I45">
        <f t="shared" ca="1" si="7"/>
        <v>535.04788577904128</v>
      </c>
      <c r="J45">
        <f t="shared" ca="1" si="8"/>
        <v>2203.2411518246122</v>
      </c>
      <c r="K45">
        <f t="array" aca="1" ref="K45:L45" ca="1">Opt3Spd(H45:J45,$E$3:$G$3,$K$3:$M$3,$N$3:$P$3,$H$3,$I$3,$Q$3,$J$3)</f>
        <v>195.0938330424683</v>
      </c>
      <c r="L45">
        <f ca="1"/>
        <v>4.0202839751827923E-2</v>
      </c>
    </row>
    <row r="46" spans="2:12" x14ac:dyDescent="0.15">
      <c r="B46">
        <f t="shared" ca="1" si="3"/>
        <v>1.0611210889457288</v>
      </c>
      <c r="C46">
        <f t="shared" ca="1" si="3"/>
        <v>-0.75257882452241709</v>
      </c>
      <c r="D46">
        <f t="shared" ca="1" si="3"/>
        <v>0.80513887813696117</v>
      </c>
      <c r="E46">
        <f t="shared" ca="1" si="4"/>
        <v>8.0533428343358918E-3</v>
      </c>
      <c r="F46">
        <f t="shared" ca="1" si="5"/>
        <v>7.3533523200099062E-3</v>
      </c>
      <c r="G46">
        <f t="shared" ca="1" si="9"/>
        <v>8.9761660187159635E-3</v>
      </c>
      <c r="H46">
        <f t="shared" ca="1" si="6"/>
        <v>4048.342224822693</v>
      </c>
      <c r="I46">
        <f t="shared" ca="1" si="7"/>
        <v>548.00022366208543</v>
      </c>
      <c r="J46">
        <f t="shared" ca="1" si="8"/>
        <v>2256.0707072178488</v>
      </c>
      <c r="K46">
        <f t="array" aca="1" ref="K46:L46" ca="1">Opt3Spd(H46:J46,$E$3:$G$3,$K$3:$M$3,$N$3:$P$3,$H$3,$I$3,$Q$3,$J$3)</f>
        <v>218.51972413062413</v>
      </c>
      <c r="L46">
        <f ca="1"/>
        <v>1.3210776192181584E-2</v>
      </c>
    </row>
    <row r="47" spans="2:12" x14ac:dyDescent="0.15">
      <c r="B47">
        <f t="shared" ca="1" si="3"/>
        <v>0.83008769497974078</v>
      </c>
      <c r="C47">
        <f t="shared" ca="1" si="3"/>
        <v>0.22911075371061693</v>
      </c>
      <c r="D47">
        <f t="shared" ca="1" si="3"/>
        <v>-6.0018415112434123E-2</v>
      </c>
      <c r="E47">
        <f t="shared" ca="1" si="4"/>
        <v>6.2999226571562351E-3</v>
      </c>
      <c r="F47">
        <f t="shared" ca="1" si="5"/>
        <v>1.2019261296501551E-2</v>
      </c>
      <c r="G47">
        <f t="shared" ca="1" si="9"/>
        <v>5.3635083949950223E-3</v>
      </c>
      <c r="H47">
        <f t="shared" ca="1" si="6"/>
        <v>4041.3004893911398</v>
      </c>
      <c r="I47">
        <f t="shared" ca="1" si="7"/>
        <v>550.53847814529684</v>
      </c>
      <c r="J47">
        <f t="shared" ca="1" si="8"/>
        <v>2247.9928047712087</v>
      </c>
      <c r="K47">
        <f t="array" aca="1" ref="K47:L47" ca="1">Opt3Spd(H47:J47,$E$3:$G$3,$K$3:$M$3,$N$3:$P$3,$H$3,$I$3,$Q$3,$J$3)</f>
        <v>211.46139502435244</v>
      </c>
      <c r="L47">
        <f ca="1"/>
        <v>1.8873051292075615E-2</v>
      </c>
    </row>
    <row r="48" spans="2:12" x14ac:dyDescent="0.15">
      <c r="B48">
        <f t="shared" ca="1" si="3"/>
        <v>-0.63324249395565602</v>
      </c>
      <c r="C48">
        <f t="shared" ca="1" si="3"/>
        <v>-0.54516794510242317</v>
      </c>
      <c r="D48">
        <f t="shared" ca="1" si="3"/>
        <v>-0.10191067500584308</v>
      </c>
      <c r="E48">
        <f t="shared" ca="1" si="4"/>
        <v>-4.8059726210526741E-3</v>
      </c>
      <c r="F48">
        <f t="shared" ca="1" si="5"/>
        <v>-1.2007260974413332E-2</v>
      </c>
      <c r="G48">
        <f t="shared" ca="1" si="9"/>
        <v>-4.9744989406868105E-3</v>
      </c>
      <c r="H48">
        <f t="shared" ca="1" si="6"/>
        <v>3996.6992139538524</v>
      </c>
      <c r="I48">
        <f t="shared" ca="1" si="7"/>
        <v>537.46805002991914</v>
      </c>
      <c r="J48">
        <f t="shared" ca="1" si="8"/>
        <v>2224.8770203686245</v>
      </c>
      <c r="K48">
        <f t="array" aca="1" ref="K48:L48" ca="1">Opt3Spd(H48:J48,$E$3:$G$3,$K$3:$M$3,$N$3:$P$3,$H$3,$I$3,$Q$3,$J$3)</f>
        <v>199.34525599854737</v>
      </c>
      <c r="L48">
        <f ca="1"/>
        <v>3.3432276877874756E-2</v>
      </c>
    </row>
    <row r="49" spans="2:12" x14ac:dyDescent="0.15">
      <c r="B49">
        <f t="shared" ca="1" si="3"/>
        <v>-0.60860405231314685</v>
      </c>
      <c r="C49">
        <f t="shared" ca="1" si="3"/>
        <v>-0.99413996876581079</v>
      </c>
      <c r="D49">
        <f t="shared" ca="1" si="3"/>
        <v>0.54024214954390637</v>
      </c>
      <c r="E49">
        <f t="shared" ca="1" si="4"/>
        <v>-4.6189799964427491E-3</v>
      </c>
      <c r="F49">
        <f t="shared" ca="1" si="5"/>
        <v>-1.5143016181668134E-2</v>
      </c>
      <c r="G49">
        <f t="shared" ca="1" si="9"/>
        <v>-2.9697097956055199E-3</v>
      </c>
      <c r="H49">
        <f t="shared" ca="1" si="6"/>
        <v>3997.450176334286</v>
      </c>
      <c r="I49">
        <f t="shared" ca="1" si="7"/>
        <v>535.76219919717255</v>
      </c>
      <c r="J49">
        <f t="shared" ca="1" si="8"/>
        <v>2229.3597288970259</v>
      </c>
      <c r="K49">
        <f t="array" aca="1" ref="K49:L49" ca="1">Opt3Spd(H49:J49,$E$3:$G$3,$K$3:$M$3,$N$3:$P$3,$H$3,$I$3,$Q$3,$J$3)</f>
        <v>200.58235533269294</v>
      </c>
      <c r="L49">
        <f ca="1"/>
        <v>3.1562162396085114E-2</v>
      </c>
    </row>
    <row r="50" spans="2:12" x14ac:dyDescent="0.15">
      <c r="B50">
        <f t="shared" ca="1" si="3"/>
        <v>2.2018257572309179</v>
      </c>
      <c r="C50">
        <f t="shared" ca="1" si="3"/>
        <v>0.5214420264322448</v>
      </c>
      <c r="D50">
        <f t="shared" ca="1" si="3"/>
        <v>2.0803952982269793</v>
      </c>
      <c r="E50">
        <f t="shared" ca="1" si="4"/>
        <v>1.6710682568819177E-2</v>
      </c>
      <c r="F50">
        <f t="shared" ca="1" si="5"/>
        <v>3.122020985994851E-2</v>
      </c>
      <c r="G50">
        <f t="shared" ca="1" si="9"/>
        <v>2.2096178604525937E-2</v>
      </c>
      <c r="H50">
        <f t="shared" ca="1" si="6"/>
        <v>4083.1101011963783</v>
      </c>
      <c r="I50">
        <f t="shared" ca="1" si="7"/>
        <v>560.98379416381204</v>
      </c>
      <c r="J50">
        <f t="shared" ca="1" si="8"/>
        <v>2285.4070553597198</v>
      </c>
      <c r="K50">
        <f t="array" aca="1" ref="K50:L50" ca="1">Opt3Spd(H50:J50,$E$3:$G$3,$K$3:$M$3,$N$3:$P$3,$H$3,$I$3,$Q$3,$J$3)</f>
        <v>217.84685876512322</v>
      </c>
      <c r="L50">
        <f ca="1"/>
        <v>1.4355910703898189E-2</v>
      </c>
    </row>
    <row r="51" spans="2:12" x14ac:dyDescent="0.15">
      <c r="B51">
        <f t="shared" ca="1" si="3"/>
        <v>-1.0918869037478813</v>
      </c>
      <c r="C51">
        <f t="shared" ca="1" si="3"/>
        <v>1.4980597844051176</v>
      </c>
      <c r="D51">
        <f t="shared" ca="1" si="3"/>
        <v>-0.21985537057247384</v>
      </c>
      <c r="E51">
        <f t="shared" ca="1" si="4"/>
        <v>-8.2868389515656313E-3</v>
      </c>
      <c r="F51">
        <f t="shared" ca="1" si="5"/>
        <v>-2.0212607770188876E-3</v>
      </c>
      <c r="G51">
        <f t="shared" ca="1" si="9"/>
        <v>-6.3749155319019609E-3</v>
      </c>
      <c r="H51">
        <f t="shared" ca="1" si="6"/>
        <v>3982.7200547705124</v>
      </c>
      <c r="I51">
        <f t="shared" ca="1" si="7"/>
        <v>542.90043413730166</v>
      </c>
      <c r="J51">
        <f t="shared" ca="1" si="8"/>
        <v>2221.7456888706674</v>
      </c>
      <c r="K51">
        <f t="array" aca="1" ref="K51:L51" ca="1">Opt3Spd(H51:J51,$E$3:$G$3,$K$3:$M$3,$N$3:$P$3,$H$3,$I$3,$Q$3,$J$3)</f>
        <v>178.29772063806399</v>
      </c>
      <c r="L51">
        <f ca="1"/>
        <v>9.1204922567840185E-2</v>
      </c>
    </row>
    <row r="52" spans="2:12" x14ac:dyDescent="0.15">
      <c r="B52">
        <f t="shared" ca="1" si="3"/>
        <v>0.33249778385852291</v>
      </c>
      <c r="C52">
        <f t="shared" ca="1" si="3"/>
        <v>-0.39842372946776572</v>
      </c>
      <c r="D52">
        <f t="shared" ca="1" si="3"/>
        <v>-1.179511481797541</v>
      </c>
      <c r="E52">
        <f t="shared" ca="1" si="4"/>
        <v>2.5234807534831234E-3</v>
      </c>
      <c r="F52">
        <f t="shared" ca="1" si="5"/>
        <v>1.0581164746067818E-3</v>
      </c>
      <c r="G52">
        <f t="shared" ca="1" si="9"/>
        <v>-2.4290455074335074E-3</v>
      </c>
      <c r="H52">
        <f t="shared" ca="1" si="6"/>
        <v>4026.1342987059879</v>
      </c>
      <c r="I52">
        <f t="shared" ca="1" si="7"/>
        <v>544.57561536218611</v>
      </c>
      <c r="J52">
        <f t="shared" ca="1" si="8"/>
        <v>2230.5686542453786</v>
      </c>
      <c r="K52">
        <f t="array" aca="1" ref="K52:L52" ca="1">Opt3Spd(H52:J52,$E$3:$G$3,$K$3:$M$3,$N$3:$P$3,$H$3,$I$3,$Q$3,$J$3)</f>
        <v>214.54469002358314</v>
      </c>
      <c r="L52">
        <f ca="1"/>
        <v>1.5703019782222327E-2</v>
      </c>
    </row>
    <row r="53" spans="2:12" x14ac:dyDescent="0.15">
      <c r="B53">
        <f t="shared" ca="1" si="3"/>
        <v>0.3119640300530096</v>
      </c>
      <c r="C53">
        <f t="shared" ca="1" si="3"/>
        <v>0.61691991297741144</v>
      </c>
      <c r="D53">
        <f t="shared" ca="1" si="3"/>
        <v>0.44684503585240959</v>
      </c>
      <c r="E53">
        <f t="shared" ca="1" si="4"/>
        <v>2.3676405192305499E-3</v>
      </c>
      <c r="F53">
        <f t="shared" ca="1" si="5"/>
        <v>8.5846348942294707E-3</v>
      </c>
      <c r="G53">
        <f t="shared" ca="1" si="9"/>
        <v>4.1962161131096883E-3</v>
      </c>
      <c r="H53">
        <f t="shared" ca="1" si="6"/>
        <v>4025.5084443252299</v>
      </c>
      <c r="I53">
        <f t="shared" ca="1" si="7"/>
        <v>548.67004138246091</v>
      </c>
      <c r="J53">
        <f t="shared" ca="1" si="8"/>
        <v>2245.3827392289131</v>
      </c>
      <c r="K53">
        <f t="array" aca="1" ref="K53:L53" ca="1">Opt3Spd(H53:J53,$E$3:$G$3,$K$3:$M$3,$N$3:$P$3,$H$3,$I$3,$Q$3,$J$3)</f>
        <v>199.97841291025134</v>
      </c>
      <c r="L53">
        <f ca="1"/>
        <v>3.340441141563133E-2</v>
      </c>
    </row>
    <row r="54" spans="2:12" x14ac:dyDescent="0.15">
      <c r="B54">
        <f t="shared" ca="1" si="3"/>
        <v>0.65481581705888792</v>
      </c>
      <c r="C54">
        <f t="shared" ca="1" si="3"/>
        <v>-0.56851646716215032</v>
      </c>
      <c r="D54">
        <f t="shared" ca="1" si="3"/>
        <v>0.12946800416598525</v>
      </c>
      <c r="E54">
        <f t="shared" ca="1" si="4"/>
        <v>4.9697026315445418E-3</v>
      </c>
      <c r="F54">
        <f t="shared" ca="1" si="5"/>
        <v>3.7400274805398166E-3</v>
      </c>
      <c r="G54">
        <f t="shared" ca="1" si="9"/>
        <v>4.1338615477121863E-3</v>
      </c>
      <c r="H54">
        <f t="shared" ca="1" si="6"/>
        <v>4035.9583257682825</v>
      </c>
      <c r="I54">
        <f t="shared" ca="1" si="7"/>
        <v>546.0345749494137</v>
      </c>
      <c r="J54">
        <f t="shared" ca="1" si="8"/>
        <v>2245.2433144206843</v>
      </c>
      <c r="K54">
        <f t="array" aca="1" ref="K54:L54" ca="1">Opt3Spd(H54:J54,$E$3:$G$3,$K$3:$M$3,$N$3:$P$3,$H$3,$I$3,$Q$3,$J$3)</f>
        <v>214.69722002687354</v>
      </c>
      <c r="L54">
        <f ca="1"/>
        <v>1.5871387995275654E-2</v>
      </c>
    </row>
    <row r="55" spans="2:12" x14ac:dyDescent="0.15">
      <c r="B55">
        <f t="shared" ca="1" si="3"/>
        <v>-0.99437631713558483</v>
      </c>
      <c r="C55">
        <f t="shared" ca="1" si="3"/>
        <v>-5.266173404656338E-2</v>
      </c>
      <c r="D55">
        <f t="shared" ca="1" si="3"/>
        <v>-0.21886038572276983</v>
      </c>
      <c r="E55">
        <f t="shared" ca="1" si="4"/>
        <v>-7.5467856323480822E-3</v>
      </c>
      <c r="F55">
        <f t="shared" ca="1" si="5"/>
        <v>-1.2698509633250815E-2</v>
      </c>
      <c r="G55">
        <f t="shared" ca="1" si="9"/>
        <v>-7.2429034779031478E-3</v>
      </c>
      <c r="H55">
        <f t="shared" ca="1" si="6"/>
        <v>3985.69210890049</v>
      </c>
      <c r="I55">
        <f t="shared" ca="1" si="7"/>
        <v>537.0920107595116</v>
      </c>
      <c r="J55">
        <f t="shared" ca="1" si="8"/>
        <v>2219.8048678234086</v>
      </c>
      <c r="K55">
        <f t="array" aca="1" ref="K55:L55" ca="1">Opt3Spd(H55:J55,$E$3:$G$3,$K$3:$M$3,$N$3:$P$3,$H$3,$I$3,$Q$3,$J$3)</f>
        <v>191.49120418560869</v>
      </c>
      <c r="L55">
        <f ca="1"/>
        <v>4.874641204173713E-2</v>
      </c>
    </row>
    <row r="56" spans="2:12" x14ac:dyDescent="0.15">
      <c r="B56">
        <f t="shared" ca="1" si="3"/>
        <v>7.377042592920105E-2</v>
      </c>
      <c r="C56">
        <f t="shared" ca="1" si="3"/>
        <v>-0.75934119620932672</v>
      </c>
      <c r="D56">
        <f t="shared" ca="1" si="3"/>
        <v>1.396222266382805</v>
      </c>
      <c r="E56">
        <f t="shared" ca="1" si="4"/>
        <v>5.5987816775284469E-4</v>
      </c>
      <c r="F56">
        <f t="shared" ca="1" si="5"/>
        <v>-4.9065694533226359E-3</v>
      </c>
      <c r="G56">
        <f t="shared" ca="1" si="9"/>
        <v>4.699125221582042E-3</v>
      </c>
      <c r="H56">
        <f t="shared" ca="1" si="6"/>
        <v>4018.2484707216959</v>
      </c>
      <c r="I56">
        <f t="shared" ca="1" si="7"/>
        <v>541.33082621739243</v>
      </c>
      <c r="J56">
        <f t="shared" ca="1" si="8"/>
        <v>2246.5072439954574</v>
      </c>
      <c r="K56">
        <f t="array" aca="1" ref="K56:L56" ca="1">Opt3Spd(H56:J56,$E$3:$G$3,$K$3:$M$3,$N$3:$P$3,$H$3,$I$3,$Q$3,$J$3)</f>
        <v>203.89291387045341</v>
      </c>
      <c r="L56">
        <f ca="1"/>
        <v>2.7387094314235583E-2</v>
      </c>
    </row>
    <row r="57" spans="2:12" x14ac:dyDescent="0.15">
      <c r="B57">
        <f t="shared" ca="1" si="3"/>
        <v>-0.47838103501099527</v>
      </c>
      <c r="C57">
        <f t="shared" ca="1" si="3"/>
        <v>-0.50118879827949236</v>
      </c>
      <c r="D57">
        <f t="shared" ca="1" si="3"/>
        <v>0.48863161694227408</v>
      </c>
      <c r="E57">
        <f t="shared" ca="1" si="4"/>
        <v>-3.6306567841523944E-3</v>
      </c>
      <c r="F57">
        <f t="shared" ca="1" si="5"/>
        <v>-9.7554707600514129E-3</v>
      </c>
      <c r="G57">
        <f t="shared" ca="1" si="9"/>
        <v>-1.8358973688703674E-3</v>
      </c>
      <c r="H57">
        <f t="shared" ca="1" si="6"/>
        <v>4001.4192823548437</v>
      </c>
      <c r="I57">
        <f t="shared" ca="1" si="7"/>
        <v>538.69302390653206</v>
      </c>
      <c r="J57">
        <f t="shared" ca="1" si="8"/>
        <v>2231.8949334832059</v>
      </c>
      <c r="K57">
        <f t="array" aca="1" ref="K57:L57" ca="1">Opt3Spd(H57:J57,$E$3:$G$3,$K$3:$M$3,$N$3:$P$3,$H$3,$I$3,$Q$3,$J$3)</f>
        <v>198.59795029366387</v>
      </c>
      <c r="L57">
        <f ca="1"/>
        <v>3.4972930874573649E-2</v>
      </c>
    </row>
    <row r="58" spans="2:12" x14ac:dyDescent="0.15">
      <c r="B58">
        <f t="shared" ca="1" si="3"/>
        <v>-0.72060614267065004</v>
      </c>
      <c r="C58">
        <f t="shared" ca="1" si="3"/>
        <v>1.2216508215156501</v>
      </c>
      <c r="D58">
        <f t="shared" ca="1" si="3"/>
        <v>-0.91193825153538266</v>
      </c>
      <c r="E58">
        <f t="shared" ca="1" si="4"/>
        <v>-5.4690160961940112E-3</v>
      </c>
      <c r="F58">
        <f t="shared" ca="1" si="5"/>
        <v>4.5136674208698792E-4</v>
      </c>
      <c r="G58">
        <f t="shared" ca="1" si="9"/>
        <v>-6.7048340175434908E-3</v>
      </c>
      <c r="H58">
        <f t="shared" ca="1" si="6"/>
        <v>3994.0364313576852</v>
      </c>
      <c r="I58">
        <f t="shared" ca="1" si="7"/>
        <v>544.24554350769529</v>
      </c>
      <c r="J58">
        <f t="shared" ca="1" si="8"/>
        <v>2221.0079911367725</v>
      </c>
      <c r="K58">
        <f t="array" aca="1" ref="K58:L58" ca="1">Opt3Spd(H58:J58,$E$3:$G$3,$K$3:$M$3,$N$3:$P$3,$H$3,$I$3,$Q$3,$J$3)</f>
        <v>187.79808699357636</v>
      </c>
      <c r="L58">
        <f ca="1"/>
        <v>5.8520816590089453E-2</v>
      </c>
    </row>
    <row r="59" spans="2:12" x14ac:dyDescent="0.15">
      <c r="B59">
        <f t="shared" ca="1" si="3"/>
        <v>1.2701714913066646</v>
      </c>
      <c r="C59">
        <f t="shared" ca="1" si="3"/>
        <v>2.9452927688301125E-2</v>
      </c>
      <c r="D59">
        <f t="shared" ca="1" si="3"/>
        <v>0.21005013618384211</v>
      </c>
      <c r="E59">
        <f t="shared" ca="1" si="4"/>
        <v>9.6399238357003699E-3</v>
      </c>
      <c r="F59">
        <f t="shared" ca="1" si="5"/>
        <v>1.5930735430142846E-2</v>
      </c>
      <c r="G59">
        <f t="shared" ca="1" si="9"/>
        <v>8.9683274318481075E-3</v>
      </c>
      <c r="H59">
        <f t="shared" ca="1" si="6"/>
        <v>4054.7139341241727</v>
      </c>
      <c r="I59">
        <f t="shared" ca="1" si="7"/>
        <v>552.66632007399767</v>
      </c>
      <c r="J59">
        <f t="shared" ca="1" si="8"/>
        <v>2256.0531801376123</v>
      </c>
      <c r="K59">
        <f t="array" aca="1" ref="K59:L59" ca="1">Opt3Spd(H59:J59,$E$3:$G$3,$K$3:$M$3,$N$3:$P$3,$H$3,$I$3,$Q$3,$J$3)</f>
        <v>217.43527029187408</v>
      </c>
      <c r="L59">
        <f ca="1"/>
        <v>1.4038354903959771E-2</v>
      </c>
    </row>
    <row r="60" spans="2:12" x14ac:dyDescent="0.15">
      <c r="B60">
        <f t="shared" ca="1" si="3"/>
        <v>7.9713353909126261E-2</v>
      </c>
      <c r="C60">
        <f t="shared" ca="1" si="3"/>
        <v>2.040938198258611</v>
      </c>
      <c r="D60">
        <f t="shared" ca="1" si="3"/>
        <v>-1.5606286239370695</v>
      </c>
      <c r="E60">
        <f t="shared" ca="1" si="4"/>
        <v>6.0498181988142175E-4</v>
      </c>
      <c r="F60">
        <f t="shared" ca="1" si="5"/>
        <v>1.6624983514901843E-2</v>
      </c>
      <c r="G60">
        <f t="shared" ca="1" si="9"/>
        <v>-3.0526579236748782E-3</v>
      </c>
      <c r="H60">
        <f t="shared" ca="1" si="6"/>
        <v>4018.4296069886441</v>
      </c>
      <c r="I60">
        <f t="shared" ca="1" si="7"/>
        <v>553.04399103210665</v>
      </c>
      <c r="J60">
        <f t="shared" ca="1" si="8"/>
        <v>2229.174256882663</v>
      </c>
      <c r="K60">
        <f t="array" aca="1" ref="K60:L60" ca="1">Opt3Spd(H60:J60,$E$3:$G$3,$K$3:$M$3,$N$3:$P$3,$H$3,$I$3,$Q$3,$J$3)</f>
        <v>194.01619319614724</v>
      </c>
      <c r="L60">
        <f ca="1"/>
        <v>4.4100300205400345E-2</v>
      </c>
    </row>
    <row r="61" spans="2:12" x14ac:dyDescent="0.15">
      <c r="B61">
        <f t="shared" ca="1" si="3"/>
        <v>-0.56520059556043045</v>
      </c>
      <c r="C61">
        <f t="shared" ca="1" si="3"/>
        <v>0.88374084537502817</v>
      </c>
      <c r="D61">
        <f t="shared" ca="1" si="3"/>
        <v>0.81255898117795666</v>
      </c>
      <c r="E61">
        <f t="shared" ca="1" si="4"/>
        <v>-4.2895709204510699E-3</v>
      </c>
      <c r="F61">
        <f t="shared" ca="1" si="5"/>
        <v>-2.164679972756233E-4</v>
      </c>
      <c r="G61">
        <f t="shared" ca="1" si="9"/>
        <v>9.4434371466195027E-5</v>
      </c>
      <c r="H61">
        <f t="shared" ca="1" si="6"/>
        <v>3998.7730831834683</v>
      </c>
      <c r="I61">
        <f t="shared" ca="1" si="7"/>
        <v>543.88224140948205</v>
      </c>
      <c r="J61">
        <f t="shared" ca="1" si="8"/>
        <v>2236.2111552545985</v>
      </c>
      <c r="K61">
        <f t="array" aca="1" ref="K61:L61" ca="1">Opt3Spd(H61:J61,$E$3:$G$3,$K$3:$M$3,$N$3:$P$3,$H$3,$I$3,$Q$3,$J$3)</f>
        <v>185.52202493072514</v>
      </c>
      <c r="L61">
        <f ca="1"/>
        <v>6.6105629727417181E-2</v>
      </c>
    </row>
    <row r="62" spans="2:12" x14ac:dyDescent="0.15">
      <c r="B62">
        <f t="shared" ca="1" si="3"/>
        <v>1.0775502930626719</v>
      </c>
      <c r="C62">
        <f t="shared" ca="1" si="3"/>
        <v>0.38326360747562738</v>
      </c>
      <c r="D62">
        <f t="shared" ca="1" si="3"/>
        <v>0.64045198784610669</v>
      </c>
      <c r="E62">
        <f t="shared" ca="1" si="4"/>
        <v>8.1780317267039458E-3</v>
      </c>
      <c r="F62">
        <f t="shared" ca="1" si="5"/>
        <v>1.6260261467428282E-2</v>
      </c>
      <c r="G62">
        <f t="shared" ca="1" si="9"/>
        <v>9.5964512840677474E-3</v>
      </c>
      <c r="H62">
        <f t="shared" ca="1" si="6"/>
        <v>4048.8429754144431</v>
      </c>
      <c r="I62">
        <f t="shared" ca="1" si="7"/>
        <v>552.84558223828105</v>
      </c>
      <c r="J62">
        <f t="shared" ca="1" si="8"/>
        <v>2257.4576650711756</v>
      </c>
      <c r="K62">
        <f t="array" aca="1" ref="K62:L62" ca="1">Opt3Spd(H62:J62,$E$3:$G$3,$K$3:$M$3,$N$3:$P$3,$H$3,$I$3,$Q$3,$J$3)</f>
        <v>210.58120716619169</v>
      </c>
      <c r="L62">
        <f ca="1"/>
        <v>1.9995868585965582E-2</v>
      </c>
    </row>
    <row r="63" spans="2:12" x14ac:dyDescent="0.15">
      <c r="B63">
        <f t="shared" ca="1" si="3"/>
        <v>-1.2263700496073597</v>
      </c>
      <c r="C63">
        <f t="shared" ca="1" si="3"/>
        <v>-0.76407594417981139</v>
      </c>
      <c r="D63">
        <f t="shared" ca="1" si="3"/>
        <v>0.91786805510418235</v>
      </c>
      <c r="E63">
        <f t="shared" ca="1" si="4"/>
        <v>-9.3074942663350577E-3</v>
      </c>
      <c r="F63">
        <f t="shared" ca="1" si="5"/>
        <v>-2.1018445290557606E-2</v>
      </c>
      <c r="G63">
        <f t="shared" ca="1" si="9"/>
        <v>-5.3913674340402597E-3</v>
      </c>
      <c r="H63">
        <f t="shared" ca="1" si="6"/>
        <v>3978.6211030263985</v>
      </c>
      <c r="I63">
        <f t="shared" ca="1" si="7"/>
        <v>532.5659657619367</v>
      </c>
      <c r="J63">
        <f t="shared" ca="1" si="8"/>
        <v>2223.944902417486</v>
      </c>
      <c r="K63">
        <f t="array" aca="1" ref="K63:L63" ca="1">Opt3Spd(H63:J63,$E$3:$G$3,$K$3:$M$3,$N$3:$P$3,$H$3,$I$3,$Q$3,$J$3)</f>
        <v>189.59654958180317</v>
      </c>
      <c r="L63">
        <f ca="1"/>
        <v>5.3442983246213771E-2</v>
      </c>
    </row>
    <row r="64" spans="2:12" x14ac:dyDescent="0.15">
      <c r="B64">
        <f t="shared" ca="1" si="3"/>
        <v>-0.42882713423863461</v>
      </c>
      <c r="C64">
        <f t="shared" ca="1" si="3"/>
        <v>7.9131859493586601E-2</v>
      </c>
      <c r="D64">
        <f t="shared" ca="1" si="3"/>
        <v>-1.0184518134493783</v>
      </c>
      <c r="E64">
        <f t="shared" ca="1" si="4"/>
        <v>-3.2545691200244662E-3</v>
      </c>
      <c r="F64">
        <f t="shared" ca="1" si="5"/>
        <v>-4.695861349923061E-3</v>
      </c>
      <c r="G64">
        <f t="shared" ca="1" si="9"/>
        <v>-6.3063521069149078E-3</v>
      </c>
      <c r="H64">
        <f t="shared" ca="1" si="6"/>
        <v>4002.929650413982</v>
      </c>
      <c r="I64">
        <f t="shared" ca="1" si="7"/>
        <v>541.44545142564186</v>
      </c>
      <c r="J64">
        <f t="shared" ca="1" si="8"/>
        <v>2221.8989966889385</v>
      </c>
      <c r="K64">
        <f t="array" aca="1" ref="K64:L64" ca="1">Opt3Spd(H64:J64,$E$3:$G$3,$K$3:$M$3,$N$3:$P$3,$H$3,$I$3,$Q$3,$J$3)</f>
        <v>200.69869111296475</v>
      </c>
      <c r="L64">
        <f ca="1"/>
        <v>3.1261324479146424E-2</v>
      </c>
    </row>
    <row r="65" spans="2:12" x14ac:dyDescent="0.15">
      <c r="B65">
        <f t="shared" ca="1" si="3"/>
        <v>0.47402827063413971</v>
      </c>
      <c r="C65">
        <f t="shared" ca="1" si="3"/>
        <v>-0.39159143426830351</v>
      </c>
      <c r="D65">
        <f t="shared" ca="1" si="3"/>
        <v>0.92126413883975611</v>
      </c>
      <c r="E65">
        <f t="shared" ca="1" si="4"/>
        <v>3.5976216252350175E-3</v>
      </c>
      <c r="F65">
        <f t="shared" ca="1" si="5"/>
        <v>2.8604257110159629E-3</v>
      </c>
      <c r="G65">
        <f t="shared" ca="1" si="9"/>
        <v>5.9504778586983382E-3</v>
      </c>
      <c r="H65">
        <f t="shared" ca="1" si="6"/>
        <v>4030.4480484469436</v>
      </c>
      <c r="I65">
        <f t="shared" ca="1" si="7"/>
        <v>545.55607158679265</v>
      </c>
      <c r="J65">
        <f t="shared" ca="1" si="8"/>
        <v>2249.3052684920494</v>
      </c>
      <c r="K65">
        <f t="array" aca="1" ref="K65:L65" ca="1">Opt3Spd(H65:J65,$E$3:$G$3,$K$3:$M$3,$N$3:$P$3,$H$3,$I$3,$Q$3,$J$3)</f>
        <v>207.92821391408438</v>
      </c>
      <c r="L65">
        <f ca="1"/>
        <v>2.251425203371582E-2</v>
      </c>
    </row>
    <row r="66" spans="2:12" x14ac:dyDescent="0.15">
      <c r="B66">
        <f t="shared" ca="1" si="3"/>
        <v>-0.36995142671301573</v>
      </c>
      <c r="C66">
        <f t="shared" ca="1" si="3"/>
        <v>1.5044982542349612</v>
      </c>
      <c r="D66">
        <f t="shared" ca="1" si="3"/>
        <v>-0.44419152341042317</v>
      </c>
      <c r="E66">
        <f t="shared" ca="1" si="4"/>
        <v>-2.8077339169007738E-3</v>
      </c>
      <c r="F66">
        <f t="shared" ca="1" si="5"/>
        <v>6.9544514236771111E-3</v>
      </c>
      <c r="G66">
        <f t="shared" ca="1" si="9"/>
        <v>-2.5080677672672425E-3</v>
      </c>
      <c r="H66">
        <f t="shared" ca="1" si="6"/>
        <v>4004.7241405897262</v>
      </c>
      <c r="I66">
        <f t="shared" ca="1" si="7"/>
        <v>547.78322157448031</v>
      </c>
      <c r="J66">
        <f t="shared" ca="1" si="8"/>
        <v>2230.3919604723906</v>
      </c>
      <c r="K66">
        <f t="array" aca="1" ref="K66:L66" ca="1">Opt3Spd(H66:J66,$E$3:$G$3,$K$3:$M$3,$N$3:$P$3,$H$3,$I$3,$Q$3,$J$3)</f>
        <v>188.13328519038851</v>
      </c>
      <c r="L66">
        <f ca="1"/>
        <v>5.8279356026105233E-2</v>
      </c>
    </row>
    <row r="67" spans="2:12" x14ac:dyDescent="0.15">
      <c r="B67">
        <f t="shared" ca="1" si="3"/>
        <v>-0.57168043960130344</v>
      </c>
      <c r="C67">
        <f t="shared" ca="1" si="3"/>
        <v>-2.6841458500056246</v>
      </c>
      <c r="D67">
        <f t="shared" ca="1" si="3"/>
        <v>-1.1045927651473166</v>
      </c>
      <c r="E67">
        <f t="shared" ca="1" si="4"/>
        <v>-4.3387494789754568E-3</v>
      </c>
      <c r="F67">
        <f t="shared" ca="1" si="5"/>
        <v>-2.7636705743522224E-2</v>
      </c>
      <c r="G67">
        <f t="shared" ca="1" si="9"/>
        <v>-1.020769841197065E-2</v>
      </c>
      <c r="H67">
        <f t="shared" ca="1" si="6"/>
        <v>3998.5755820924342</v>
      </c>
      <c r="I67">
        <f t="shared" ca="1" si="7"/>
        <v>528.9656320755239</v>
      </c>
      <c r="J67">
        <f t="shared" ca="1" si="8"/>
        <v>2213.1755863508338</v>
      </c>
      <c r="K67">
        <f t="array" aca="1" ref="K67:L67" ca="1">Opt3Spd(H67:J67,$E$3:$G$3,$K$3:$M$3,$N$3:$P$3,$H$3,$I$3,$Q$3,$J$3)</f>
        <v>220.65381833779816</v>
      </c>
      <c r="L67">
        <f ca="1"/>
        <v>1.1040741619126493E-2</v>
      </c>
    </row>
    <row r="68" spans="2:12" x14ac:dyDescent="0.15">
      <c r="B68">
        <f t="shared" ca="1" si="3"/>
        <v>2.2548508999096047E-2</v>
      </c>
      <c r="C68">
        <f t="shared" ca="1" si="3"/>
        <v>0.52350021326679341</v>
      </c>
      <c r="D68">
        <f t="shared" ca="1" si="3"/>
        <v>-0.24105392606194581</v>
      </c>
      <c r="E68">
        <f t="shared" ca="1" si="4"/>
        <v>1.7113115106707303E-4</v>
      </c>
      <c r="F68">
        <f t="shared" ca="1" si="5"/>
        <v>4.2902955492359627E-3</v>
      </c>
      <c r="G68">
        <f t="shared" ca="1" si="9"/>
        <v>-2.0395675530404775E-4</v>
      </c>
      <c r="H68">
        <f t="shared" ca="1" si="6"/>
        <v>4016.6872627026851</v>
      </c>
      <c r="I68">
        <f t="shared" ca="1" si="7"/>
        <v>546.33392077878432</v>
      </c>
      <c r="J68">
        <f t="shared" ca="1" si="8"/>
        <v>2235.54395269514</v>
      </c>
      <c r="K68">
        <f t="array" aca="1" ref="K68:L68" ca="1">Opt3Spd(H68:J68,$E$3:$G$3,$K$3:$M$3,$N$3:$P$3,$H$3,$I$3,$Q$3,$J$3)</f>
        <v>199.81427535319131</v>
      </c>
      <c r="L68">
        <f ca="1"/>
        <v>3.3262244131037733E-2</v>
      </c>
    </row>
    <row r="69" spans="2:12" x14ac:dyDescent="0.15">
      <c r="B69">
        <f t="shared" ca="1" si="3"/>
        <v>5.5628850727246888E-2</v>
      </c>
      <c r="C69">
        <f t="shared" ca="1" si="3"/>
        <v>-0.696453982648642</v>
      </c>
      <c r="D69">
        <f t="shared" ca="1" si="3"/>
        <v>1.1313328625588521</v>
      </c>
      <c r="E69">
        <f t="shared" ca="1" si="4"/>
        <v>4.2219329259747442E-4</v>
      </c>
      <c r="F69">
        <f t="shared" ca="1" si="5"/>
        <v>-4.6489868864137253E-3</v>
      </c>
      <c r="G69">
        <f t="shared" ca="1" si="9"/>
        <v>3.7023192535391744E-3</v>
      </c>
      <c r="H69">
        <f t="shared" ca="1" si="6"/>
        <v>4017.6955282630711</v>
      </c>
      <c r="I69">
        <f t="shared" ca="1" si="7"/>
        <v>541.470951133791</v>
      </c>
      <c r="J69">
        <f t="shared" ca="1" si="8"/>
        <v>2244.2783858509138</v>
      </c>
      <c r="K69">
        <f t="array" aca="1" ref="K69:L69" ca="1">Opt3Spd(H69:J69,$E$3:$G$3,$K$3:$M$3,$N$3:$P$3,$H$3,$I$3,$Q$3,$J$3)</f>
        <v>204.22968180850216</v>
      </c>
      <c r="L69">
        <f ca="1"/>
        <v>2.6868284953479815E-2</v>
      </c>
    </row>
    <row r="70" spans="2:12" x14ac:dyDescent="0.15">
      <c r="B70">
        <f t="shared" ca="1" si="3"/>
        <v>1.3123688677130518</v>
      </c>
      <c r="C70">
        <f t="shared" ca="1" si="3"/>
        <v>-1.7272625818498373</v>
      </c>
      <c r="D70">
        <f t="shared" ca="1" si="3"/>
        <v>-0.13120408102959955</v>
      </c>
      <c r="E70">
        <f t="shared" ca="1" si="4"/>
        <v>9.9601794054466914E-3</v>
      </c>
      <c r="F70">
        <f t="shared" ca="1" si="5"/>
        <v>2.9910686498767101E-3</v>
      </c>
      <c r="G70">
        <f t="shared" ca="1" si="9"/>
        <v>6.3288467587116889E-3</v>
      </c>
      <c r="H70">
        <f t="shared" ca="1" si="6"/>
        <v>4056.0000804922738</v>
      </c>
      <c r="I70">
        <f t="shared" ca="1" si="7"/>
        <v>545.62714134553289</v>
      </c>
      <c r="J70">
        <f t="shared" ca="1" si="8"/>
        <v>2250.1513013524795</v>
      </c>
      <c r="K70">
        <f t="array" aca="1" ref="K70:L70" ca="1">Opt3Spd(H70:J70,$E$3:$G$3,$K$3:$M$3,$N$3:$P$3,$H$3,$I$3,$Q$3,$J$3)</f>
        <v>232.92707529463883</v>
      </c>
      <c r="L70">
        <f ca="1"/>
        <v>6.071631457643889E-3</v>
      </c>
    </row>
    <row r="71" spans="2:12" x14ac:dyDescent="0.15">
      <c r="B71">
        <f t="shared" ca="1" si="3"/>
        <v>-0.35462087343222659</v>
      </c>
      <c r="C71">
        <f t="shared" ca="1" si="3"/>
        <v>1.2645169836971908</v>
      </c>
      <c r="D71">
        <f t="shared" ca="1" si="3"/>
        <v>-0.7493158356104066</v>
      </c>
      <c r="E71">
        <f t="shared" ca="1" si="4"/>
        <v>-2.6913831981219085E-3</v>
      </c>
      <c r="F71">
        <f t="shared" ca="1" si="5"/>
        <v>5.3050698871989471E-3</v>
      </c>
      <c r="G71">
        <f t="shared" ca="1" si="9"/>
        <v>-3.7248911672165077E-3</v>
      </c>
      <c r="H71">
        <f t="shared" ca="1" si="6"/>
        <v>4005.1914050763426</v>
      </c>
      <c r="I71">
        <f t="shared" ca="1" si="7"/>
        <v>546.8859580186363</v>
      </c>
      <c r="J71">
        <f t="shared" ca="1" si="8"/>
        <v>2227.6711433501036</v>
      </c>
      <c r="K71">
        <f t="array" aca="1" ref="K71:L71" ca="1">Opt3Spd(H71:J71,$E$3:$G$3,$K$3:$M$3,$N$3:$P$3,$H$3,$I$3,$Q$3,$J$3)</f>
        <v>191.38802799173482</v>
      </c>
      <c r="L71">
        <f ca="1"/>
        <v>4.9727420262343003E-2</v>
      </c>
    </row>
    <row r="72" spans="2:12" x14ac:dyDescent="0.15">
      <c r="B72">
        <f t="shared" ca="1" si="3"/>
        <v>0.81232657997351732</v>
      </c>
      <c r="C72">
        <f t="shared" ca="1" si="3"/>
        <v>-0.78949211895426719</v>
      </c>
      <c r="D72">
        <f t="shared" ca="1" si="3"/>
        <v>0.5032889884799453</v>
      </c>
      <c r="E72">
        <f t="shared" ca="1" si="4"/>
        <v>6.1651252718669669E-3</v>
      </c>
      <c r="F72">
        <f t="shared" ca="1" si="5"/>
        <v>3.9942708201983574E-3</v>
      </c>
      <c r="G72">
        <f t="shared" ca="1" si="9"/>
        <v>6.2635872547542881E-3</v>
      </c>
      <c r="H72">
        <f t="shared" ca="1" si="6"/>
        <v>4040.7591430918174</v>
      </c>
      <c r="I72">
        <f t="shared" ca="1" si="7"/>
        <v>546.17288332618784</v>
      </c>
      <c r="J72">
        <f t="shared" ca="1" si="8"/>
        <v>2250.0053811016305</v>
      </c>
      <c r="K72">
        <f t="array" aca="1" ref="K72:L72" ca="1">Opt3Spd(H72:J72,$E$3:$G$3,$K$3:$M$3,$N$3:$P$3,$H$3,$I$3,$Q$3,$J$3)</f>
        <v>216.89408737455847</v>
      </c>
      <c r="L72">
        <f ca="1"/>
        <v>1.4248155456925815E-2</v>
      </c>
    </row>
    <row r="73" spans="2:12" x14ac:dyDescent="0.15">
      <c r="B73">
        <f t="shared" ca="1" si="3"/>
        <v>0.37609459761988945</v>
      </c>
      <c r="C73">
        <f t="shared" ca="1" si="3"/>
        <v>1.2274759726770681</v>
      </c>
      <c r="D73">
        <f t="shared" ca="1" si="3"/>
        <v>-0.31729136939493202</v>
      </c>
      <c r="E73">
        <f t="shared" ca="1" si="4"/>
        <v>2.854357305992141E-3</v>
      </c>
      <c r="F73">
        <f t="shared" ca="1" si="5"/>
        <v>1.4056166400054786E-2</v>
      </c>
      <c r="G73">
        <f t="shared" ca="1" si="9"/>
        <v>2.4872719793311558E-3</v>
      </c>
      <c r="H73">
        <f t="shared" ca="1" si="6"/>
        <v>4027.4630989408643</v>
      </c>
      <c r="I73">
        <f t="shared" ca="1" si="7"/>
        <v>551.6465545216297</v>
      </c>
      <c r="J73">
        <f t="shared" ca="1" si="8"/>
        <v>2241.5615401457844</v>
      </c>
      <c r="K73">
        <f t="array" aca="1" ref="K73:L73" ca="1">Opt3Spd(H73:J73,$E$3:$G$3,$K$3:$M$3,$N$3:$P$3,$H$3,$I$3,$Q$3,$J$3)</f>
        <v>199.08269700044002</v>
      </c>
      <c r="L73">
        <f ca="1"/>
        <v>3.4855367075579125E-2</v>
      </c>
    </row>
    <row r="74" spans="2:12" x14ac:dyDescent="0.15">
      <c r="B74">
        <f t="shared" ref="B74:D105" ca="1" si="10">NORMINV(RAND(),0,1)</f>
        <v>-0.9692446828973651</v>
      </c>
      <c r="C74">
        <f t="shared" ca="1" si="10"/>
        <v>-0.37033859423196902</v>
      </c>
      <c r="D74">
        <f t="shared" ca="1" si="10"/>
        <v>-0.56734153297275358</v>
      </c>
      <c r="E74">
        <f t="shared" ref="E74:E137" ca="1" si="11">B74*$S$3*$C$5</f>
        <v>-7.3560499391119739E-3</v>
      </c>
      <c r="F74">
        <f t="shared" ref="F74:F137" ca="1" si="12">($N$3*B74+C74*SQRT(1-$N$3^2))*$T$3*$C$5</f>
        <v>-1.4822073928551747E-2</v>
      </c>
      <c r="G74">
        <f t="shared" ca="1" si="9"/>
        <v>-8.6256432350989582E-3</v>
      </c>
      <c r="H74">
        <f t="shared" ref="H74:H137" ca="1" si="13">B$3*(1+E74)</f>
        <v>3986.4581034445264</v>
      </c>
      <c r="I74">
        <f t="shared" ref="I74:I137" ca="1" si="14">C$3*(1+F74)</f>
        <v>535.93679178286789</v>
      </c>
      <c r="J74">
        <f t="shared" ref="J74:J137" ca="1" si="15">D$3*(1+G74)</f>
        <v>2216.7130617263188</v>
      </c>
      <c r="K74">
        <f t="array" aca="1" ref="K74:L74" ca="1">Opt3Spd(H74:J74,$E$3:$G$3,$K$3:$M$3,$N$3:$P$3,$H$3,$I$3,$Q$3,$J$3)</f>
        <v>195.64241543636217</v>
      </c>
      <c r="L74">
        <f ca="1"/>
        <v>3.9709707583597265E-2</v>
      </c>
    </row>
    <row r="75" spans="2:12" x14ac:dyDescent="0.15">
      <c r="B75">
        <f t="shared" ca="1" si="10"/>
        <v>0.10636269335372872</v>
      </c>
      <c r="C75">
        <f t="shared" ca="1" si="10"/>
        <v>2.1936362937876139E-2</v>
      </c>
      <c r="D75">
        <f t="shared" ca="1" si="10"/>
        <v>-1.6001395210081739</v>
      </c>
      <c r="E75">
        <f t="shared" ca="1" si="11"/>
        <v>8.072360857628066E-4</v>
      </c>
      <c r="F75">
        <f t="shared" ca="1" si="12"/>
        <v>1.4832167951548288E-3</v>
      </c>
      <c r="G75">
        <f t="shared" ca="1" si="9"/>
        <v>-4.9747468956418007E-3</v>
      </c>
      <c r="H75">
        <f t="shared" ca="1" si="13"/>
        <v>4019.2418601204231</v>
      </c>
      <c r="I75">
        <f t="shared" ca="1" si="14"/>
        <v>544.80686993656423</v>
      </c>
      <c r="J75">
        <f t="shared" ca="1" si="15"/>
        <v>2224.876465941345</v>
      </c>
      <c r="K75">
        <f t="array" aca="1" ref="K75:L75" ca="1">Opt3Spd(H75:J75,$E$3:$G$3,$K$3:$M$3,$N$3:$P$3,$H$3,$I$3,$Q$3,$J$3)</f>
        <v>210.1322058887024</v>
      </c>
      <c r="L75">
        <f ca="1"/>
        <v>1.9570637454762618E-2</v>
      </c>
    </row>
    <row r="76" spans="2:12" x14ac:dyDescent="0.15">
      <c r="B76">
        <f t="shared" ca="1" si="10"/>
        <v>-1.2887793470413589</v>
      </c>
      <c r="C76">
        <f t="shared" ca="1" si="10"/>
        <v>-0.78787807571486645</v>
      </c>
      <c r="D76">
        <f t="shared" ca="1" si="10"/>
        <v>6.5927290467493557E-2</v>
      </c>
      <c r="E76">
        <f t="shared" ca="1" si="11"/>
        <v>-9.781147531284673E-3</v>
      </c>
      <c r="F76">
        <f t="shared" ca="1" si="12"/>
        <v>-2.1972497145480767E-2</v>
      </c>
      <c r="G76">
        <f t="shared" ref="G76:G139" ca="1" si="16">(D76/$R$3+($P$3-$N$3*$O$3)*C76+$O$3*B76*SQRT(1/(1-N70^2)))*$U$3*$C$5</f>
        <v>-8.8422621049147922E-3</v>
      </c>
      <c r="H76">
        <f t="shared" ca="1" si="13"/>
        <v>3976.7189115143606</v>
      </c>
      <c r="I76">
        <f t="shared" ca="1" si="14"/>
        <v>532.04696155285842</v>
      </c>
      <c r="J76">
        <f t="shared" ca="1" si="15"/>
        <v>2216.2287019334103</v>
      </c>
      <c r="K76">
        <f t="array" aca="1" ref="K76:L76" ca="1">Opt3Spd(H76:J76,$E$3:$G$3,$K$3:$M$3,$N$3:$P$3,$H$3,$I$3,$Q$3,$J$3)</f>
        <v>192.37581400028603</v>
      </c>
      <c r="L76">
        <f ca="1"/>
        <v>4.6391937204361966E-2</v>
      </c>
    </row>
    <row r="77" spans="2:12" x14ac:dyDescent="0.15">
      <c r="B77">
        <f t="shared" ca="1" si="10"/>
        <v>-1.0653040134093468</v>
      </c>
      <c r="C77">
        <f t="shared" ca="1" si="10"/>
        <v>-0.27760455299130748</v>
      </c>
      <c r="D77">
        <f t="shared" ca="1" si="10"/>
        <v>1.6813415334852135</v>
      </c>
      <c r="E77">
        <f t="shared" ca="1" si="11"/>
        <v>-8.0850889989410226E-3</v>
      </c>
      <c r="F77">
        <f t="shared" ca="1" si="12"/>
        <v>-1.5299194650084176E-2</v>
      </c>
      <c r="G77">
        <f t="shared" ca="1" si="16"/>
        <v>-1.1704773669840508E-3</v>
      </c>
      <c r="H77">
        <f t="shared" ca="1" si="13"/>
        <v>3983.5302825802528</v>
      </c>
      <c r="I77">
        <f t="shared" ca="1" si="14"/>
        <v>535.67723811035421</v>
      </c>
      <c r="J77">
        <f t="shared" ca="1" si="15"/>
        <v>2233.3828126074236</v>
      </c>
      <c r="K77">
        <f t="array" aca="1" ref="K77:L77" ca="1">Opt3Spd(H77:J77,$E$3:$G$3,$K$3:$M$3,$N$3:$P$3,$H$3,$I$3,$Q$3,$J$3)</f>
        <v>184.8230438481753</v>
      </c>
      <c r="L77">
        <f ca="1"/>
        <v>6.7748548201052472E-2</v>
      </c>
    </row>
    <row r="78" spans="2:12" x14ac:dyDescent="0.15">
      <c r="B78">
        <f t="shared" ca="1" si="10"/>
        <v>-0.22780319215711697</v>
      </c>
      <c r="C78">
        <f t="shared" ca="1" si="10"/>
        <v>1.1926790361190966</v>
      </c>
      <c r="D78">
        <f t="shared" ca="1" si="10"/>
        <v>0.71970846161695179</v>
      </c>
      <c r="E78">
        <f t="shared" ca="1" si="11"/>
        <v>-1.7289046691363894E-3</v>
      </c>
      <c r="F78">
        <f t="shared" ca="1" si="12"/>
        <v>6.3226256735839934E-3</v>
      </c>
      <c r="G78">
        <f t="shared" ca="1" si="16"/>
        <v>2.2402329988556141E-3</v>
      </c>
      <c r="H78">
        <f t="shared" ca="1" si="13"/>
        <v>4009.056718848748</v>
      </c>
      <c r="I78">
        <f t="shared" ca="1" si="14"/>
        <v>547.43950836642966</v>
      </c>
      <c r="J78">
        <f t="shared" ca="1" si="15"/>
        <v>2241.0091609854412</v>
      </c>
      <c r="K78">
        <f t="array" aca="1" ref="K78:L78" ca="1">Opt3Spd(H78:J78,$E$3:$G$3,$K$3:$M$3,$N$3:$P$3,$H$3,$I$3,$Q$3,$J$3)</f>
        <v>187.7089867920638</v>
      </c>
      <c r="L78">
        <f ca="1"/>
        <v>6.0061822323859815E-2</v>
      </c>
    </row>
    <row r="79" spans="2:12" x14ac:dyDescent="0.15">
      <c r="B79">
        <f t="shared" ca="1" si="10"/>
        <v>1.8611111396060012</v>
      </c>
      <c r="C79">
        <f t="shared" ca="1" si="10"/>
        <v>-1.1364280191419154</v>
      </c>
      <c r="D79">
        <f t="shared" ca="1" si="10"/>
        <v>-0.48730742120552939</v>
      </c>
      <c r="E79">
        <f t="shared" ca="1" si="11"/>
        <v>1.4124840431679771E-2</v>
      </c>
      <c r="F79">
        <f t="shared" ca="1" si="12"/>
        <v>1.4303461786885385E-2</v>
      </c>
      <c r="G79">
        <f t="shared" ca="1" si="16"/>
        <v>9.1760043945717049E-3</v>
      </c>
      <c r="H79">
        <f t="shared" ca="1" si="13"/>
        <v>4072.7253591736262</v>
      </c>
      <c r="I79">
        <f t="shared" ca="1" si="14"/>
        <v>551.7810832120656</v>
      </c>
      <c r="J79">
        <f t="shared" ca="1" si="15"/>
        <v>2256.5175458262624</v>
      </c>
      <c r="K79">
        <f t="array" aca="1" ref="K79:L79" ca="1">Opt3Spd(H79:J79,$E$3:$G$3,$K$3:$M$3,$N$3:$P$3,$H$3,$I$3,$Q$3,$J$3)</f>
        <v>236.62188677694212</v>
      </c>
      <c r="L79">
        <f ca="1"/>
        <v>5.0336557524133241E-3</v>
      </c>
    </row>
    <row r="80" spans="2:12" x14ac:dyDescent="0.15">
      <c r="B80">
        <f t="shared" ca="1" si="10"/>
        <v>-0.28168812034998908</v>
      </c>
      <c r="C80">
        <f t="shared" ca="1" si="10"/>
        <v>0.33441190136632054</v>
      </c>
      <c r="D80">
        <f t="shared" ca="1" si="10"/>
        <v>0.24051805369565302</v>
      </c>
      <c r="E80">
        <f t="shared" ca="1" si="11"/>
        <v>-2.1378625202822217E-3</v>
      </c>
      <c r="F80">
        <f t="shared" ca="1" si="12"/>
        <v>-9.2039201174497686E-4</v>
      </c>
      <c r="G80">
        <f t="shared" ca="1" si="16"/>
        <v>-6.3950316878006125E-4</v>
      </c>
      <c r="H80">
        <f t="shared" ca="1" si="13"/>
        <v>4007.4143441185465</v>
      </c>
      <c r="I80">
        <f t="shared" ca="1" si="14"/>
        <v>543.49930674561074</v>
      </c>
      <c r="J80">
        <f t="shared" ca="1" si="15"/>
        <v>2234.5700709146076</v>
      </c>
      <c r="K80">
        <f t="array" aca="1" ref="K80:L80" ca="1">Opt3Spd(H80:J80,$E$3:$G$3,$K$3:$M$3,$N$3:$P$3,$H$3,$I$3,$Q$3,$J$3)</f>
        <v>195.57122505502139</v>
      </c>
      <c r="L80">
        <f ca="1"/>
        <v>4.0807186755955627E-2</v>
      </c>
    </row>
    <row r="81" spans="2:12" x14ac:dyDescent="0.15">
      <c r="B81">
        <f t="shared" ca="1" si="10"/>
        <v>0.71348738829495628</v>
      </c>
      <c r="C81">
        <f t="shared" ca="1" si="10"/>
        <v>-1.0397903633729328</v>
      </c>
      <c r="D81">
        <f t="shared" ca="1" si="10"/>
        <v>0.46266688734438466</v>
      </c>
      <c r="E81">
        <f t="shared" ca="1" si="11"/>
        <v>5.4149885491608539E-3</v>
      </c>
      <c r="F81">
        <f t="shared" ca="1" si="12"/>
        <v>8.5417958550597622E-4</v>
      </c>
      <c r="G81">
        <f t="shared" ca="1" si="16"/>
        <v>5.2395183837222296E-3</v>
      </c>
      <c r="H81">
        <f t="shared" ca="1" si="13"/>
        <v>4037.7465940134298</v>
      </c>
      <c r="I81">
        <f t="shared" ca="1" si="14"/>
        <v>544.46467369451523</v>
      </c>
      <c r="J81">
        <f t="shared" ca="1" si="15"/>
        <v>2247.7155631060027</v>
      </c>
      <c r="K81">
        <f t="array" aca="1" ref="K81:L81" ca="1">Opt3Spd(H81:J81,$E$3:$G$3,$K$3:$M$3,$N$3:$P$3,$H$3,$I$3,$Q$3,$J$3)</f>
        <v>217.75889879546685</v>
      </c>
      <c r="L81">
        <f ca="1"/>
        <v>1.3564246262603774E-2</v>
      </c>
    </row>
    <row r="82" spans="2:12" x14ac:dyDescent="0.15">
      <c r="B82">
        <f t="shared" ca="1" si="10"/>
        <v>0.54224561735823251</v>
      </c>
      <c r="C82">
        <f t="shared" ca="1" si="10"/>
        <v>-0.80681703971989727</v>
      </c>
      <c r="D82">
        <f t="shared" ca="1" si="10"/>
        <v>-0.71505090249900993</v>
      </c>
      <c r="E82">
        <f t="shared" ca="1" si="11"/>
        <v>4.1153548850307595E-3</v>
      </c>
      <c r="F82">
        <f t="shared" ca="1" si="12"/>
        <v>5.2209526791549619E-4</v>
      </c>
      <c r="G82">
        <f t="shared" ca="1" si="16"/>
        <v>1.781708094674522E-4</v>
      </c>
      <c r="H82">
        <f t="shared" ca="1" si="13"/>
        <v>4032.5272652182834</v>
      </c>
      <c r="I82">
        <f t="shared" ca="1" si="14"/>
        <v>544.28401982574599</v>
      </c>
      <c r="J82">
        <f t="shared" ca="1" si="15"/>
        <v>2236.3983899299692</v>
      </c>
      <c r="K82">
        <f t="array" aca="1" ref="K82:L82" ca="1">Opt3Spd(H82:J82,$E$3:$G$3,$K$3:$M$3,$N$3:$P$3,$H$3,$I$3,$Q$3,$J$3)</f>
        <v>218.48651853866136</v>
      </c>
      <c r="L82">
        <f ca="1"/>
        <v>1.2880006556088119E-2</v>
      </c>
    </row>
    <row r="83" spans="2:12" x14ac:dyDescent="0.15">
      <c r="B83">
        <f t="shared" ca="1" si="10"/>
        <v>-4.4655578639221857E-2</v>
      </c>
      <c r="C83">
        <f t="shared" ca="1" si="10"/>
        <v>-0.58029725663290932</v>
      </c>
      <c r="D83">
        <f t="shared" ca="1" si="10"/>
        <v>-0.13348323972133158</v>
      </c>
      <c r="E83">
        <f t="shared" ca="1" si="11"/>
        <v>-3.3891201295848853E-4</v>
      </c>
      <c r="F83">
        <f t="shared" ca="1" si="12"/>
        <v>-4.9988647594169811E-3</v>
      </c>
      <c r="G83">
        <f t="shared" ca="1" si="16"/>
        <v>-1.3236052963327162E-3</v>
      </c>
      <c r="H83">
        <f t="shared" ca="1" si="13"/>
        <v>4014.6389293559591</v>
      </c>
      <c r="I83">
        <f t="shared" ca="1" si="14"/>
        <v>541.2806175708771</v>
      </c>
      <c r="J83">
        <f t="shared" ca="1" si="15"/>
        <v>2233.0404185574002</v>
      </c>
      <c r="K83">
        <f t="array" aca="1" ref="K83:L83" ca="1">Opt3Spd(H83:J83,$E$3:$G$3,$K$3:$M$3,$N$3:$P$3,$H$3,$I$3,$Q$3,$J$3)</f>
        <v>207.0927125761832</v>
      </c>
      <c r="L83">
        <f ca="1"/>
        <v>2.2980612327728522E-2</v>
      </c>
    </row>
    <row r="84" spans="2:12" x14ac:dyDescent="0.15">
      <c r="B84">
        <f t="shared" ca="1" si="10"/>
        <v>0.40682154242099655</v>
      </c>
      <c r="C84">
        <f t="shared" ca="1" si="10"/>
        <v>-1.103377549355401</v>
      </c>
      <c r="D84">
        <f t="shared" ca="1" si="10"/>
        <v>0.70236845596839337</v>
      </c>
      <c r="E84">
        <f t="shared" ca="1" si="11"/>
        <v>3.0875584206555844E-3</v>
      </c>
      <c r="F84">
        <f t="shared" ca="1" si="12"/>
        <v>-3.4248499462016398E-3</v>
      </c>
      <c r="G84">
        <f t="shared" ca="1" si="16"/>
        <v>4.0508568061204415E-3</v>
      </c>
      <c r="H84">
        <f t="shared" ca="1" si="13"/>
        <v>4028.3996346173526</v>
      </c>
      <c r="I84">
        <f t="shared" ca="1" si="14"/>
        <v>542.13688162926633</v>
      </c>
      <c r="J84">
        <f t="shared" ca="1" si="15"/>
        <v>2245.0577158184851</v>
      </c>
      <c r="K84">
        <f t="array" aca="1" ref="K84:L84" ca="1">Opt3Spd(H84:J84,$E$3:$G$3,$K$3:$M$3,$N$3:$P$3,$H$3,$I$3,$Q$3,$J$3)</f>
        <v>213.46861462678112</v>
      </c>
      <c r="L84">
        <f ca="1"/>
        <v>1.6848525497380251E-2</v>
      </c>
    </row>
    <row r="85" spans="2:12" x14ac:dyDescent="0.15">
      <c r="B85">
        <f t="shared" ca="1" si="10"/>
        <v>-2.1602027630976259</v>
      </c>
      <c r="C85">
        <f t="shared" ca="1" si="10"/>
        <v>0.35275311423247202</v>
      </c>
      <c r="D85">
        <f t="shared" ca="1" si="10"/>
        <v>0.17748587141554201</v>
      </c>
      <c r="E85">
        <f t="shared" ca="1" si="11"/>
        <v>-1.6394786254026308E-2</v>
      </c>
      <c r="F85">
        <f t="shared" ca="1" si="12"/>
        <v>-2.4006751288231001E-2</v>
      </c>
      <c r="G85">
        <f t="shared" ca="1" si="16"/>
        <v>-1.296396876188932E-2</v>
      </c>
      <c r="H85">
        <f t="shared" ca="1" si="13"/>
        <v>3950.1585384038303</v>
      </c>
      <c r="I85">
        <f t="shared" ca="1" si="14"/>
        <v>530.94032729920229</v>
      </c>
      <c r="J85">
        <f t="shared" ca="1" si="15"/>
        <v>2207.0125658484153</v>
      </c>
      <c r="K85">
        <f t="array" aca="1" ref="K85:L85" ca="1">Opt3Spd(H85:J85,$E$3:$G$3,$K$3:$M$3,$N$3:$P$3,$H$3,$I$3,$Q$3,$J$3)</f>
        <v>172.26538942550928</v>
      </c>
      <c r="L85">
        <f ca="1"/>
        <v>0.11765762461027407</v>
      </c>
    </row>
    <row r="86" spans="2:12" x14ac:dyDescent="0.15">
      <c r="B86">
        <f t="shared" ca="1" si="10"/>
        <v>1.1625821057843515</v>
      </c>
      <c r="C86">
        <f t="shared" ca="1" si="10"/>
        <v>5.5875713216994513E-2</v>
      </c>
      <c r="D86">
        <f t="shared" ca="1" si="10"/>
        <v>-3.7852744342412953E-2</v>
      </c>
      <c r="E86">
        <f t="shared" ca="1" si="11"/>
        <v>8.8233778109600789E-3</v>
      </c>
      <c r="F86">
        <f t="shared" ca="1" si="12"/>
        <v>1.4802919241211073E-2</v>
      </c>
      <c r="G86">
        <f t="shared" ca="1" si="16"/>
        <v>7.4195238810585828E-3</v>
      </c>
      <c r="H86">
        <f t="shared" ca="1" si="13"/>
        <v>4051.4346852888157</v>
      </c>
      <c r="I86">
        <f t="shared" ca="1" si="14"/>
        <v>552.0527880672189</v>
      </c>
      <c r="J86">
        <f t="shared" ca="1" si="15"/>
        <v>2252.5900553980468</v>
      </c>
      <c r="K86">
        <f t="array" aca="1" ref="K86:L86" ca="1">Opt3Spd(H86:J86,$E$3:$G$3,$K$3:$M$3,$N$3:$P$3,$H$3,$I$3,$Q$3,$J$3)</f>
        <v>216.86958475540109</v>
      </c>
      <c r="L86">
        <f ca="1"/>
        <v>1.4388073158897896E-2</v>
      </c>
    </row>
    <row r="87" spans="2:12" x14ac:dyDescent="0.15">
      <c r="B87">
        <f t="shared" ca="1" si="10"/>
        <v>-5.8208728298944516E-2</v>
      </c>
      <c r="C87">
        <f t="shared" ca="1" si="10"/>
        <v>-1.716296205609926</v>
      </c>
      <c r="D87">
        <f t="shared" ca="1" si="10"/>
        <v>-2.0065504684412678</v>
      </c>
      <c r="E87">
        <f t="shared" ca="1" si="11"/>
        <v>-4.4177318670375165E-4</v>
      </c>
      <c r="F87">
        <f t="shared" ca="1" si="12"/>
        <v>-1.3871412278619358E-2</v>
      </c>
      <c r="G87">
        <f t="shared" ca="1" si="16"/>
        <v>-9.1615902681220218E-3</v>
      </c>
      <c r="H87">
        <f t="shared" ca="1" si="13"/>
        <v>4014.2258388821974</v>
      </c>
      <c r="I87">
        <f t="shared" ca="1" si="14"/>
        <v>536.45395172043106</v>
      </c>
      <c r="J87">
        <f t="shared" ca="1" si="15"/>
        <v>2215.5146841604792</v>
      </c>
      <c r="K87">
        <f t="array" aca="1" ref="K87:L87" ca="1">Opt3Spd(H87:J87,$E$3:$G$3,$K$3:$M$3,$N$3:$P$3,$H$3,$I$3,$Q$3,$J$3)</f>
        <v>223.15192553080806</v>
      </c>
      <c r="L87">
        <f ca="1"/>
        <v>9.7514815397516941E-3</v>
      </c>
    </row>
    <row r="88" spans="2:12" x14ac:dyDescent="0.15">
      <c r="B88">
        <f t="shared" ca="1" si="10"/>
        <v>-0.78726273515294898</v>
      </c>
      <c r="C88">
        <f t="shared" ca="1" si="10"/>
        <v>-1.215462875329602</v>
      </c>
      <c r="D88">
        <f t="shared" ca="1" si="10"/>
        <v>-2.0154662812790831</v>
      </c>
      <c r="E88">
        <f t="shared" ca="1" si="11"/>
        <v>-5.9749040641373426E-3</v>
      </c>
      <c r="F88">
        <f t="shared" ca="1" si="12"/>
        <v>-1.9048002808927246E-2</v>
      </c>
      <c r="G88">
        <f t="shared" ca="1" si="16"/>
        <v>-1.341177686707902E-2</v>
      </c>
      <c r="H88">
        <f t="shared" ca="1" si="13"/>
        <v>3992.0047852784242</v>
      </c>
      <c r="I88">
        <f t="shared" ca="1" si="14"/>
        <v>533.6378864719436</v>
      </c>
      <c r="J88">
        <f t="shared" ca="1" si="15"/>
        <v>2206.0112669252112</v>
      </c>
      <c r="K88">
        <f t="array" aca="1" ref="K88:L88" ca="1">Opt3Spd(H88:J88,$E$3:$G$3,$K$3:$M$3,$N$3:$P$3,$H$3,$I$3,$Q$3,$J$3)</f>
        <v>210.19745957616533</v>
      </c>
      <c r="L88">
        <f ca="1"/>
        <v>1.8926115456451953E-2</v>
      </c>
    </row>
    <row r="89" spans="2:12" x14ac:dyDescent="0.15">
      <c r="B89">
        <f t="shared" ca="1" si="10"/>
        <v>-0.21697489008613646</v>
      </c>
      <c r="C89">
        <f t="shared" ca="1" si="10"/>
        <v>0.52900617973528319</v>
      </c>
      <c r="D89">
        <f t="shared" ca="1" si="10"/>
        <v>-2.1791923253890033</v>
      </c>
      <c r="E89">
        <f t="shared" ca="1" si="11"/>
        <v>-1.6467236345685094E-3</v>
      </c>
      <c r="F89">
        <f t="shared" ca="1" si="12"/>
        <v>1.3708984257457602E-3</v>
      </c>
      <c r="G89">
        <f t="shared" ca="1" si="16"/>
        <v>-8.6261700226085269E-3</v>
      </c>
      <c r="H89">
        <f t="shared" ca="1" si="13"/>
        <v>4009.386757883573</v>
      </c>
      <c r="I89">
        <f t="shared" ca="1" si="14"/>
        <v>544.74576874360559</v>
      </c>
      <c r="J89">
        <f t="shared" ca="1" si="15"/>
        <v>2216.7118838294473</v>
      </c>
      <c r="K89">
        <f t="array" aca="1" ref="K89:L89" ca="1">Opt3Spd(H89:J89,$E$3:$G$3,$K$3:$M$3,$N$3:$P$3,$H$3,$I$3,$Q$3,$J$3)</f>
        <v>204.46341893665726</v>
      </c>
      <c r="L89">
        <f ca="1"/>
        <v>2.5832957576994886E-2</v>
      </c>
    </row>
    <row r="90" spans="2:12" x14ac:dyDescent="0.15">
      <c r="B90">
        <f t="shared" ca="1" si="10"/>
        <v>0.43661876187401583</v>
      </c>
      <c r="C90">
        <f t="shared" ca="1" si="10"/>
        <v>0.20002859476459386</v>
      </c>
      <c r="D90">
        <f t="shared" ca="1" si="10"/>
        <v>0.23460925117507195</v>
      </c>
      <c r="E90">
        <f t="shared" ca="1" si="11"/>
        <v>3.3137034160429864E-3</v>
      </c>
      <c r="F90">
        <f t="shared" ca="1" si="12"/>
        <v>6.9313607404286768E-3</v>
      </c>
      <c r="G90">
        <f t="shared" ca="1" si="16"/>
        <v>3.8433086697639784E-3</v>
      </c>
      <c r="H90">
        <f t="shared" ca="1" si="13"/>
        <v>4029.3078329188293</v>
      </c>
      <c r="I90">
        <f t="shared" ca="1" si="14"/>
        <v>547.77066024279316</v>
      </c>
      <c r="J90">
        <f t="shared" ca="1" si="15"/>
        <v>2244.5936381855922</v>
      </c>
      <c r="K90">
        <f t="array" aca="1" ref="K90:L90" ca="1">Opt3Spd(H90:J90,$E$3:$G$3,$K$3:$M$3,$N$3:$P$3,$H$3,$I$3,$Q$3,$J$3)</f>
        <v>205.6031792964468</v>
      </c>
      <c r="L90">
        <f ca="1"/>
        <v>2.5221858882787274E-2</v>
      </c>
    </row>
    <row r="91" spans="2:12" x14ac:dyDescent="0.15">
      <c r="B91">
        <f t="shared" ca="1" si="10"/>
        <v>-1.5786679749699495</v>
      </c>
      <c r="C91">
        <f t="shared" ca="1" si="10"/>
        <v>0.23032051447718427</v>
      </c>
      <c r="D91">
        <f t="shared" ca="1" si="10"/>
        <v>-1.4649528417454776</v>
      </c>
      <c r="E91">
        <f t="shared" ca="1" si="11"/>
        <v>-1.1981247528169741E-2</v>
      </c>
      <c r="F91">
        <f t="shared" ca="1" si="12"/>
        <v>-1.7754541603124546E-2</v>
      </c>
      <c r="G91">
        <f t="shared" ca="1" si="16"/>
        <v>-1.5163263243629856E-2</v>
      </c>
      <c r="H91">
        <f t="shared" ca="1" si="13"/>
        <v>3967.8833099268704</v>
      </c>
      <c r="I91">
        <f t="shared" ca="1" si="14"/>
        <v>534.34152936790031</v>
      </c>
      <c r="J91">
        <f t="shared" ca="1" si="15"/>
        <v>2202.0949433872438</v>
      </c>
      <c r="K91">
        <f t="array" aca="1" ref="K91:L91" ca="1">Opt3Spd(H91:J91,$E$3:$G$3,$K$3:$M$3,$N$3:$P$3,$H$3,$I$3,$Q$3,$J$3)</f>
        <v>186.94881336212165</v>
      </c>
      <c r="L91">
        <f ca="1"/>
        <v>5.9422117513804551E-2</v>
      </c>
    </row>
    <row r="92" spans="2:12" x14ac:dyDescent="0.15">
      <c r="B92">
        <f t="shared" ca="1" si="10"/>
        <v>1.1223023697654135</v>
      </c>
      <c r="C92">
        <f t="shared" ca="1" si="10"/>
        <v>-1.5415531855899212</v>
      </c>
      <c r="D92">
        <f t="shared" ca="1" si="10"/>
        <v>-0.97792995349373679</v>
      </c>
      <c r="E92">
        <f t="shared" ca="1" si="11"/>
        <v>8.5176761084716779E-3</v>
      </c>
      <c r="F92">
        <f t="shared" ca="1" si="12"/>
        <v>2.064050335801398E-3</v>
      </c>
      <c r="G92">
        <f t="shared" ca="1" si="16"/>
        <v>2.2756830261558645E-3</v>
      </c>
      <c r="H92">
        <f t="shared" ca="1" si="13"/>
        <v>4050.2069872516226</v>
      </c>
      <c r="I92">
        <f t="shared" ca="1" si="14"/>
        <v>545.12284338267591</v>
      </c>
      <c r="J92">
        <f t="shared" ca="1" si="15"/>
        <v>2241.0884272464846</v>
      </c>
      <c r="K92">
        <f t="array" aca="1" ref="K92:L92" ca="1">Opt3Spd(H92:J92,$E$3:$G$3,$K$3:$M$3,$N$3:$P$3,$H$3,$I$3,$Q$3,$J$3)</f>
        <v>232.47237060365819</v>
      </c>
      <c r="L92">
        <f ca="1"/>
        <v>6.1463875592835393E-3</v>
      </c>
    </row>
    <row r="93" spans="2:12" x14ac:dyDescent="0.15">
      <c r="B93">
        <f t="shared" ca="1" si="10"/>
        <v>0.9206823125608129</v>
      </c>
      <c r="C93">
        <f t="shared" ca="1" si="10"/>
        <v>0.65172367646374696</v>
      </c>
      <c r="D93">
        <f t="shared" ca="1" si="10"/>
        <v>1.2764368127695547</v>
      </c>
      <c r="E93">
        <f t="shared" ca="1" si="11"/>
        <v>6.987487461895728E-3</v>
      </c>
      <c r="F93">
        <f t="shared" ca="1" si="12"/>
        <v>1.6377830943919737E-2</v>
      </c>
      <c r="G93">
        <f t="shared" ca="1" si="16"/>
        <v>1.1102659555330314E-2</v>
      </c>
      <c r="H93">
        <f t="shared" ca="1" si="13"/>
        <v>4044.0617496469736</v>
      </c>
      <c r="I93">
        <f t="shared" ca="1" si="14"/>
        <v>552.90954003349236</v>
      </c>
      <c r="J93">
        <f t="shared" ca="1" si="15"/>
        <v>2260.8255467657186</v>
      </c>
      <c r="K93">
        <f t="array" aca="1" ref="K93:L93" ca="1">Opt3Spd(H93:J93,$E$3:$G$3,$K$3:$M$3,$N$3:$P$3,$H$3,$I$3,$Q$3,$J$3)</f>
        <v>204.02162197767848</v>
      </c>
      <c r="L93">
        <f ca="1"/>
        <v>2.790976715209581E-2</v>
      </c>
    </row>
    <row r="94" spans="2:12" x14ac:dyDescent="0.15">
      <c r="B94">
        <f t="shared" ca="1" si="10"/>
        <v>-1.1184074418720988</v>
      </c>
      <c r="C94">
        <f t="shared" ca="1" si="10"/>
        <v>-1.5593468339106151</v>
      </c>
      <c r="D94">
        <f t="shared" ca="1" si="10"/>
        <v>0.2062319756958233</v>
      </c>
      <c r="E94">
        <f t="shared" ca="1" si="11"/>
        <v>-8.4881156841556879E-3</v>
      </c>
      <c r="F94">
        <f t="shared" ca="1" si="12"/>
        <v>-2.5777568537433335E-2</v>
      </c>
      <c r="G94">
        <f t="shared" ca="1" si="16"/>
        <v>-7.9914776708607336E-3</v>
      </c>
      <c r="H94">
        <f t="shared" ca="1" si="13"/>
        <v>3981.911727412431</v>
      </c>
      <c r="I94">
        <f t="shared" ca="1" si="14"/>
        <v>529.97700271563633</v>
      </c>
      <c r="J94">
        <f t="shared" ca="1" si="15"/>
        <v>2218.1310559279555</v>
      </c>
      <c r="K94">
        <f t="array" aca="1" ref="K94:L94" ca="1">Opt3Spd(H94:J94,$E$3:$G$3,$K$3:$M$3,$N$3:$P$3,$H$3,$I$3,$Q$3,$J$3)</f>
        <v>199.91510656226001</v>
      </c>
      <c r="L94">
        <f ca="1"/>
        <v>3.2111458825056616E-2</v>
      </c>
    </row>
    <row r="95" spans="2:12" x14ac:dyDescent="0.15">
      <c r="B95">
        <f t="shared" ca="1" si="10"/>
        <v>1.7538724856282415</v>
      </c>
      <c r="C95">
        <f t="shared" ca="1" si="10"/>
        <v>1.1242458590479205</v>
      </c>
      <c r="D95">
        <f t="shared" ca="1" si="10"/>
        <v>-0.29696744263322133</v>
      </c>
      <c r="E95">
        <f t="shared" ca="1" si="11"/>
        <v>1.331095627220682E-2</v>
      </c>
      <c r="F95">
        <f t="shared" ca="1" si="12"/>
        <v>3.0300673825770005E-2</v>
      </c>
      <c r="G95">
        <f t="shared" ca="1" si="16"/>
        <v>1.1347660394582867E-2</v>
      </c>
      <c r="H95">
        <f t="shared" ca="1" si="13"/>
        <v>4069.4568003891827</v>
      </c>
      <c r="I95">
        <f t="shared" ca="1" si="14"/>
        <v>560.48356656121894</v>
      </c>
      <c r="J95">
        <f t="shared" ca="1" si="15"/>
        <v>2261.373368642287</v>
      </c>
      <c r="K95">
        <f t="array" aca="1" ref="K95:L95" ca="1">Opt3Spd(H95:J95,$E$3:$G$3,$K$3:$M$3,$N$3:$P$3,$H$3,$I$3,$Q$3,$J$3)</f>
        <v>217.01096666434569</v>
      </c>
      <c r="L95">
        <f ca="1"/>
        <v>1.4557094256588243E-2</v>
      </c>
    </row>
    <row r="96" spans="2:12" x14ac:dyDescent="0.15">
      <c r="B96">
        <f t="shared" ca="1" si="10"/>
        <v>1.3033555709757938</v>
      </c>
      <c r="C96">
        <f t="shared" ca="1" si="10"/>
        <v>2.5360991044245833</v>
      </c>
      <c r="D96">
        <f t="shared" ca="1" si="10"/>
        <v>1.3081383371480202</v>
      </c>
      <c r="E96">
        <f t="shared" ca="1" si="11"/>
        <v>9.8917732928466128E-3</v>
      </c>
      <c r="F96">
        <f t="shared" ca="1" si="12"/>
        <v>3.5549049645306509E-2</v>
      </c>
      <c r="G96">
        <f t="shared" ca="1" si="16"/>
        <v>1.550730420500035E-2</v>
      </c>
      <c r="H96">
        <f t="shared" ca="1" si="13"/>
        <v>4055.7253615440718</v>
      </c>
      <c r="I96">
        <f t="shared" ca="1" si="14"/>
        <v>563.33868300704682</v>
      </c>
      <c r="J96">
        <f t="shared" ca="1" si="15"/>
        <v>2270.6743322023804</v>
      </c>
      <c r="K96">
        <f t="array" aca="1" ref="K96:L96" ca="1">Opt3Spd(H96:J96,$E$3:$G$3,$K$3:$M$3,$N$3:$P$3,$H$3,$I$3,$Q$3,$J$3)</f>
        <v>194.09256042956849</v>
      </c>
      <c r="L96">
        <f ca="1"/>
        <v>4.6257797961970937E-2</v>
      </c>
    </row>
    <row r="97" spans="2:12" x14ac:dyDescent="0.15">
      <c r="B97">
        <f t="shared" ca="1" si="10"/>
        <v>1.0836249558179034</v>
      </c>
      <c r="C97">
        <f t="shared" ca="1" si="10"/>
        <v>1.8583113342637068</v>
      </c>
      <c r="D97">
        <f t="shared" ca="1" si="10"/>
        <v>1.2328956341943516</v>
      </c>
      <c r="E97">
        <f t="shared" ca="1" si="11"/>
        <v>8.2241351754813678E-3</v>
      </c>
      <c r="F97">
        <f t="shared" ca="1" si="12"/>
        <v>2.7638415144189448E-2</v>
      </c>
      <c r="G97">
        <f t="shared" ca="1" si="16"/>
        <v>1.3166757547299537E-2</v>
      </c>
      <c r="H97">
        <f t="shared" ca="1" si="13"/>
        <v>4049.0281268647327</v>
      </c>
      <c r="I97">
        <f t="shared" ca="1" si="14"/>
        <v>559.03529783843908</v>
      </c>
      <c r="J97">
        <f t="shared" ca="1" si="15"/>
        <v>2265.440869875762</v>
      </c>
      <c r="K97">
        <f t="array" aca="1" ref="K97:L97" ca="1">Opt3Spd(H97:J97,$E$3:$G$3,$K$3:$M$3,$N$3:$P$3,$H$3,$I$3,$Q$3,$J$3)</f>
        <v>196.89124905946665</v>
      </c>
      <c r="L97">
        <f ca="1"/>
        <v>4.0033674117466944E-2</v>
      </c>
    </row>
    <row r="98" spans="2:12" x14ac:dyDescent="0.15">
      <c r="B98">
        <f t="shared" ca="1" si="10"/>
        <v>-0.29364652656101947</v>
      </c>
      <c r="C98">
        <f t="shared" ca="1" si="10"/>
        <v>1.1337628212587614</v>
      </c>
      <c r="D98">
        <f t="shared" ca="1" si="10"/>
        <v>0.33965035250700232</v>
      </c>
      <c r="E98">
        <f t="shared" ca="1" si="11"/>
        <v>-2.2286204422318863E-3</v>
      </c>
      <c r="F98">
        <f t="shared" ca="1" si="12"/>
        <v>5.0570403146332609E-3</v>
      </c>
      <c r="G98">
        <f t="shared" ca="1" si="16"/>
        <v>4.0887067181656178E-4</v>
      </c>
      <c r="H98">
        <f t="shared" ca="1" si="13"/>
        <v>4007.0498603039964</v>
      </c>
      <c r="I98">
        <f t="shared" ca="1" si="14"/>
        <v>546.75102993116047</v>
      </c>
      <c r="J98">
        <f t="shared" ca="1" si="15"/>
        <v>2236.9142348221822</v>
      </c>
      <c r="K98">
        <f t="array" aca="1" ref="K98:L98" ca="1">Opt3Spd(H98:J98,$E$3:$G$3,$K$3:$M$3,$N$3:$P$3,$H$3,$I$3,$Q$3,$J$3)</f>
        <v>188.84774408249268</v>
      </c>
      <c r="L98">
        <f ca="1"/>
        <v>5.6649079444014205E-2</v>
      </c>
    </row>
    <row r="99" spans="2:12" x14ac:dyDescent="0.15">
      <c r="B99">
        <f t="shared" ca="1" si="10"/>
        <v>-0.45433934645105067</v>
      </c>
      <c r="C99">
        <f t="shared" ca="1" si="10"/>
        <v>0.17949493407345829</v>
      </c>
      <c r="D99">
        <f t="shared" ca="1" si="10"/>
        <v>-2.1337001352366713</v>
      </c>
      <c r="E99">
        <f t="shared" ca="1" si="11"/>
        <v>-3.4481931970023823E-3</v>
      </c>
      <c r="F99">
        <f t="shared" ca="1" si="12"/>
        <v>-4.2422418249025229E-3</v>
      </c>
      <c r="G99">
        <f t="shared" ca="1" si="16"/>
        <v>-1.033408254972925E-2</v>
      </c>
      <c r="H99">
        <f t="shared" ca="1" si="13"/>
        <v>4002.1520561208386</v>
      </c>
      <c r="I99">
        <f t="shared" ca="1" si="14"/>
        <v>541.69222044725302</v>
      </c>
      <c r="J99">
        <f t="shared" ca="1" si="15"/>
        <v>2212.8929914188057</v>
      </c>
      <c r="K99">
        <f t="array" aca="1" ref="K99:L99" ca="1">Opt3Spd(H99:J99,$E$3:$G$3,$K$3:$M$3,$N$3:$P$3,$H$3,$I$3,$Q$3,$J$3)</f>
        <v>204.02424222197556</v>
      </c>
      <c r="L99">
        <f ca="1"/>
        <v>2.6234526144662595E-2</v>
      </c>
    </row>
    <row r="100" spans="2:12" x14ac:dyDescent="0.15">
      <c r="B100">
        <f t="shared" ca="1" si="10"/>
        <v>-0.78233868319670752</v>
      </c>
      <c r="C100">
        <f t="shared" ca="1" si="10"/>
        <v>0.70861069228585361</v>
      </c>
      <c r="D100">
        <f t="shared" ca="1" si="10"/>
        <v>-0.72295799036438979</v>
      </c>
      <c r="E100">
        <f t="shared" ca="1" si="11"/>
        <v>-5.9375331373403891E-3</v>
      </c>
      <c r="F100">
        <f t="shared" ca="1" si="12"/>
        <v>-4.2432661158042688E-3</v>
      </c>
      <c r="G100">
        <f t="shared" ca="1" si="16"/>
        <v>-6.9284480235486919E-3</v>
      </c>
      <c r="H100">
        <f t="shared" ca="1" si="13"/>
        <v>3992.1548669204412</v>
      </c>
      <c r="I100">
        <f t="shared" ca="1" si="14"/>
        <v>541.69166323300249</v>
      </c>
      <c r="J100">
        <f t="shared" ca="1" si="15"/>
        <v>2220.5079902193452</v>
      </c>
      <c r="K100">
        <f t="array" aca="1" ref="K100:L100" ca="1">Opt3Spd(H100:J100,$E$3:$G$3,$K$3:$M$3,$N$3:$P$3,$H$3,$I$3,$Q$3,$J$3)</f>
        <v>190.24616160546998</v>
      </c>
      <c r="L100">
        <f ca="1"/>
        <v>5.1950967505490553E-2</v>
      </c>
    </row>
    <row r="101" spans="2:12" x14ac:dyDescent="0.15">
      <c r="B101">
        <f t="shared" ca="1" si="10"/>
        <v>1.3992281882022539</v>
      </c>
      <c r="C101">
        <f t="shared" ca="1" si="10"/>
        <v>-1.3283026302691543</v>
      </c>
      <c r="D101">
        <f t="shared" ca="1" si="10"/>
        <v>0.40091129624840632</v>
      </c>
      <c r="E101">
        <f t="shared" ca="1" si="11"/>
        <v>1.0619395298471675E-2</v>
      </c>
      <c r="F101">
        <f t="shared" ca="1" si="12"/>
        <v>7.1222044420395135E-3</v>
      </c>
      <c r="G101">
        <f t="shared" ca="1" si="16"/>
        <v>9.1647879930204981E-3</v>
      </c>
      <c r="H101">
        <f t="shared" ca="1" si="13"/>
        <v>4058.6474915186623</v>
      </c>
      <c r="I101">
        <f t="shared" ca="1" si="14"/>
        <v>547.87447921646958</v>
      </c>
      <c r="J101">
        <f t="shared" ca="1" si="15"/>
        <v>2256.492465952394</v>
      </c>
      <c r="K101">
        <f t="array" aca="1" ref="K101:L101" ca="1">Opt3Spd(H101:J101,$E$3:$G$3,$K$3:$M$3,$N$3:$P$3,$H$3,$I$3,$Q$3,$J$3)</f>
        <v>228.80975851314383</v>
      </c>
      <c r="L101">
        <f ca="1"/>
        <v>7.6667170299060672E-3</v>
      </c>
    </row>
    <row r="102" spans="2:12" x14ac:dyDescent="0.15">
      <c r="B102">
        <f t="shared" ca="1" si="10"/>
        <v>-1.6052920244469526</v>
      </c>
      <c r="C102">
        <f t="shared" ca="1" si="10"/>
        <v>-6.3972855217357072E-2</v>
      </c>
      <c r="D102">
        <f t="shared" ca="1" si="10"/>
        <v>1.6651352449605798E-2</v>
      </c>
      <c r="E102">
        <f t="shared" ca="1" si="11"/>
        <v>-1.2183309856692168E-2</v>
      </c>
      <c r="F102">
        <f t="shared" ca="1" si="12"/>
        <v>-2.0338855574244405E-2</v>
      </c>
      <c r="G102">
        <f t="shared" ca="1" si="16"/>
        <v>-1.0358587902679557E-2</v>
      </c>
      <c r="H102">
        <f t="shared" ca="1" si="13"/>
        <v>3967.0718276155244</v>
      </c>
      <c r="I102">
        <f t="shared" ca="1" si="14"/>
        <v>532.93566256761108</v>
      </c>
      <c r="J102">
        <f t="shared" ca="1" si="15"/>
        <v>2212.8381974496087</v>
      </c>
      <c r="K102">
        <f t="array" aca="1" ref="K102:L102" ca="1">Opt3Spd(H102:J102,$E$3:$G$3,$K$3:$M$3,$N$3:$P$3,$H$3,$I$3,$Q$3,$J$3)</f>
        <v>183.02783492815252</v>
      </c>
      <c r="L102">
        <f ca="1"/>
        <v>7.216614561048118E-2</v>
      </c>
    </row>
    <row r="103" spans="2:12" x14ac:dyDescent="0.15">
      <c r="B103">
        <f t="shared" ca="1" si="10"/>
        <v>-0.56889530325716242</v>
      </c>
      <c r="C103">
        <f t="shared" ca="1" si="10"/>
        <v>-0.84012685666388709</v>
      </c>
      <c r="D103">
        <f t="shared" ca="1" si="10"/>
        <v>-1.1383498904925642</v>
      </c>
      <c r="E103">
        <f t="shared" ca="1" si="11"/>
        <v>-4.3176117803156167E-3</v>
      </c>
      <c r="F103">
        <f t="shared" ca="1" si="12"/>
        <v>-1.3471860468045735E-2</v>
      </c>
      <c r="G103">
        <f t="shared" ca="1" si="16"/>
        <v>-8.525225711408865E-3</v>
      </c>
      <c r="H103">
        <f t="shared" ca="1" si="13"/>
        <v>3998.6604710902525</v>
      </c>
      <c r="I103">
        <f t="shared" ca="1" si="14"/>
        <v>536.67130790538317</v>
      </c>
      <c r="J103">
        <f t="shared" ca="1" si="15"/>
        <v>2216.9375953092899</v>
      </c>
      <c r="K103">
        <f t="array" aca="1" ref="K103:L103" ca="1">Opt3Spd(H103:J103,$E$3:$G$3,$K$3:$M$3,$N$3:$P$3,$H$3,$I$3,$Q$3,$J$3)</f>
        <v>206.54071002678825</v>
      </c>
      <c r="L103">
        <f ca="1"/>
        <v>2.3129239793888701E-2</v>
      </c>
    </row>
    <row r="104" spans="2:12" x14ac:dyDescent="0.15">
      <c r="B104">
        <f t="shared" ca="1" si="10"/>
        <v>-2.1368530766314797</v>
      </c>
      <c r="C104">
        <f t="shared" ca="1" si="10"/>
        <v>0.67268851203997171</v>
      </c>
      <c r="D104">
        <f t="shared" ca="1" si="10"/>
        <v>0.14238784381947514</v>
      </c>
      <c r="E104">
        <f t="shared" ca="1" si="11"/>
        <v>-1.6217574593505115E-2</v>
      </c>
      <c r="F104">
        <f t="shared" ca="1" si="12"/>
        <v>-2.126643263389081E-2</v>
      </c>
      <c r="G104">
        <f t="shared" ca="1" si="16"/>
        <v>-1.2628384866897392E-2</v>
      </c>
      <c r="H104">
        <f t="shared" ca="1" si="13"/>
        <v>3950.8702204324832</v>
      </c>
      <c r="I104">
        <f t="shared" ca="1" si="14"/>
        <v>532.43106064716335</v>
      </c>
      <c r="J104">
        <f t="shared" ca="1" si="15"/>
        <v>2207.7629314376172</v>
      </c>
      <c r="K104">
        <f t="array" aca="1" ref="K104:L104" ca="1">Opt3Spd(H104:J104,$E$3:$G$3,$K$3:$M$3,$N$3:$P$3,$H$3,$I$3,$Q$3,$J$3)</f>
        <v>170.22820942033104</v>
      </c>
      <c r="L104">
        <f ca="1"/>
        <v>0.12915174211775593</v>
      </c>
    </row>
    <row r="105" spans="2:12" x14ac:dyDescent="0.15">
      <c r="B105">
        <f t="shared" ca="1" si="10"/>
        <v>0.76642981386661979</v>
      </c>
      <c r="C105">
        <f t="shared" ca="1" si="10"/>
        <v>0.39797199264413857</v>
      </c>
      <c r="D105">
        <f t="shared" ca="1" si="10"/>
        <v>-0.18915484100017402</v>
      </c>
      <c r="E105">
        <f t="shared" ca="1" si="11"/>
        <v>5.8167933083458105E-3</v>
      </c>
      <c r="F105">
        <f t="shared" ca="1" si="12"/>
        <v>1.252611843423267E-2</v>
      </c>
      <c r="G105">
        <f t="shared" ca="1" si="16"/>
        <v>4.6576824132839572E-3</v>
      </c>
      <c r="H105">
        <f t="shared" ca="1" si="13"/>
        <v>4039.3602419263166</v>
      </c>
      <c r="I105">
        <f t="shared" ca="1" si="14"/>
        <v>550.81420842822263</v>
      </c>
      <c r="J105">
        <f t="shared" ca="1" si="15"/>
        <v>2246.4145778761031</v>
      </c>
      <c r="K105">
        <f t="array" aca="1" ref="K105:L105" ca="1">Opt3Spd(H105:J105,$E$3:$G$3,$K$3:$M$3,$N$3:$P$3,$H$3,$I$3,$Q$3,$J$3)</f>
        <v>209.87065234084184</v>
      </c>
      <c r="L105">
        <f ca="1"/>
        <v>2.0432837733096676E-2</v>
      </c>
    </row>
    <row r="106" spans="2:12" x14ac:dyDescent="0.15">
      <c r="B106">
        <f t="shared" ref="B106:D137" ca="1" si="17">NORMINV(RAND(),0,1)</f>
        <v>-0.54294318070633218</v>
      </c>
      <c r="C106">
        <f t="shared" ca="1" si="17"/>
        <v>0.24287946331237686</v>
      </c>
      <c r="D106">
        <f t="shared" ca="1" si="17"/>
        <v>0.9404992322127913</v>
      </c>
      <c r="E106">
        <f t="shared" ca="1" si="11"/>
        <v>-4.1206490186121549E-3</v>
      </c>
      <c r="F106">
        <f t="shared" ca="1" si="12"/>
        <v>-4.8520794115793821E-3</v>
      </c>
      <c r="G106">
        <f t="shared" ca="1" si="16"/>
        <v>7.2202159153850822E-5</v>
      </c>
      <c r="H106">
        <f t="shared" ca="1" si="13"/>
        <v>3999.4514735412536</v>
      </c>
      <c r="I106">
        <f t="shared" ca="1" si="14"/>
        <v>541.36046880010076</v>
      </c>
      <c r="J106">
        <f t="shared" ca="1" si="15"/>
        <v>2236.1614440278681</v>
      </c>
      <c r="K106">
        <f t="array" aca="1" ref="K106:L106" ca="1">Opt3Spd(H106:J106,$E$3:$G$3,$K$3:$M$3,$N$3:$P$3,$H$3,$I$3,$Q$3,$J$3)</f>
        <v>190.24674685871059</v>
      </c>
      <c r="L106">
        <f ca="1"/>
        <v>5.2745411552223231E-2</v>
      </c>
    </row>
    <row r="107" spans="2:12" x14ac:dyDescent="0.15">
      <c r="B107">
        <f t="shared" ca="1" si="17"/>
        <v>1.944207648064739</v>
      </c>
      <c r="C107">
        <f t="shared" ca="1" si="17"/>
        <v>1.6262953390873638</v>
      </c>
      <c r="D107">
        <f t="shared" ca="1" si="17"/>
        <v>-0.99096181462049204</v>
      </c>
      <c r="E107">
        <f t="shared" ca="1" si="11"/>
        <v>1.4755498589288714E-2</v>
      </c>
      <c r="F107">
        <f t="shared" ca="1" si="12"/>
        <v>3.6501195026606703E-2</v>
      </c>
      <c r="G107">
        <f t="shared" ca="1" si="16"/>
        <v>1.0596946445613993E-2</v>
      </c>
      <c r="H107">
        <f t="shared" ca="1" si="13"/>
        <v>4075.2580823345838</v>
      </c>
      <c r="I107">
        <f t="shared" ca="1" si="14"/>
        <v>563.85665009447405</v>
      </c>
      <c r="J107">
        <f t="shared" ca="1" si="15"/>
        <v>2259.6947722523928</v>
      </c>
      <c r="K107">
        <f t="array" aca="1" ref="K107:L107" ca="1">Opt3Spd(H107:J107,$E$3:$G$3,$K$3:$M$3,$N$3:$P$3,$H$3,$I$3,$Q$3,$J$3)</f>
        <v>218.25372725778743</v>
      </c>
      <c r="L107">
        <f ca="1"/>
        <v>1.3671200558746932E-2</v>
      </c>
    </row>
    <row r="108" spans="2:12" x14ac:dyDescent="0.15">
      <c r="B108">
        <f t="shared" ca="1" si="17"/>
        <v>-1.3151661094377658</v>
      </c>
      <c r="C108">
        <f t="shared" ca="1" si="17"/>
        <v>0.35258431231071768</v>
      </c>
      <c r="D108">
        <f t="shared" ca="1" si="17"/>
        <v>-9.5352705982924783E-3</v>
      </c>
      <c r="E108">
        <f t="shared" ca="1" si="11"/>
        <v>-9.9814089774854613E-3</v>
      </c>
      <c r="F108">
        <f t="shared" ca="1" si="12"/>
        <v>-1.3559584309364105E-2</v>
      </c>
      <c r="G108">
        <f t="shared" ca="1" si="16"/>
        <v>-8.1768768843828651E-3</v>
      </c>
      <c r="H108">
        <f t="shared" ca="1" si="13"/>
        <v>3975.9146615464183</v>
      </c>
      <c r="I108">
        <f t="shared" ca="1" si="14"/>
        <v>536.62358613570598</v>
      </c>
      <c r="J108">
        <f t="shared" ca="1" si="15"/>
        <v>2217.71650328652</v>
      </c>
      <c r="K108">
        <f t="array" aca="1" ref="K108:L108" ca="1">Opt3Spd(H108:J108,$E$3:$G$3,$K$3:$M$3,$N$3:$P$3,$H$3,$I$3,$Q$3,$J$3)</f>
        <v>183.5296477623649</v>
      </c>
      <c r="L108">
        <f ca="1"/>
        <v>7.0975676336274773E-2</v>
      </c>
    </row>
    <row r="109" spans="2:12" x14ac:dyDescent="0.15">
      <c r="B109">
        <f t="shared" ca="1" si="17"/>
        <v>-7.0469526301212448E-2</v>
      </c>
      <c r="C109">
        <f t="shared" ca="1" si="17"/>
        <v>0.64470404945360871</v>
      </c>
      <c r="D109">
        <f t="shared" ca="1" si="17"/>
        <v>-1.9624783863027273</v>
      </c>
      <c r="E109">
        <f t="shared" ca="1" si="11"/>
        <v>-5.3482610098793326E-4</v>
      </c>
      <c r="F109">
        <f t="shared" ca="1" si="12"/>
        <v>4.0689382059447598E-3</v>
      </c>
      <c r="G109">
        <f t="shared" ca="1" si="16"/>
        <v>-6.799546143902848E-3</v>
      </c>
      <c r="H109">
        <f t="shared" ca="1" si="13"/>
        <v>4013.8521383784323</v>
      </c>
      <c r="I109">
        <f t="shared" ca="1" si="14"/>
        <v>546.21350238403386</v>
      </c>
      <c r="J109">
        <f t="shared" ca="1" si="15"/>
        <v>2220.7962148222332</v>
      </c>
      <c r="K109">
        <f t="array" aca="1" ref="K109:L109" ca="1">Opt3Spd(H109:J109,$E$3:$G$3,$K$3:$M$3,$N$3:$P$3,$H$3,$I$3,$Q$3,$J$3)</f>
        <v>204.53831004298627</v>
      </c>
      <c r="L109">
        <f ca="1"/>
        <v>2.5882890124648839E-2</v>
      </c>
    </row>
    <row r="110" spans="2:12" x14ac:dyDescent="0.15">
      <c r="B110">
        <f t="shared" ca="1" si="17"/>
        <v>0.79985366723525397</v>
      </c>
      <c r="C110">
        <f t="shared" ca="1" si="17"/>
        <v>1.0487925770543396</v>
      </c>
      <c r="D110">
        <f t="shared" ca="1" si="17"/>
        <v>0.8122734312814115</v>
      </c>
      <c r="E110">
        <f t="shared" ca="1" si="11"/>
        <v>6.0704625199243115E-3</v>
      </c>
      <c r="F110">
        <f t="shared" ca="1" si="12"/>
        <v>1.7926516902318841E-2</v>
      </c>
      <c r="G110">
        <f t="shared" ca="1" si="16"/>
        <v>9.0591622605084646E-3</v>
      </c>
      <c r="H110">
        <f t="shared" ca="1" si="13"/>
        <v>4040.3789774800161</v>
      </c>
      <c r="I110">
        <f t="shared" ca="1" si="14"/>
        <v>553.7520251948614</v>
      </c>
      <c r="J110">
        <f t="shared" ca="1" si="15"/>
        <v>2256.2562868144969</v>
      </c>
      <c r="K110">
        <f t="array" aca="1" ref="K110:L110" ca="1">Opt3Spd(H110:J110,$E$3:$G$3,$K$3:$M$3,$N$3:$P$3,$H$3,$I$3,$Q$3,$J$3)</f>
        <v>201.2794292085739</v>
      </c>
      <c r="L110">
        <f ca="1"/>
        <v>3.1835447584626309E-2</v>
      </c>
    </row>
    <row r="111" spans="2:12" x14ac:dyDescent="0.15">
      <c r="B111">
        <f t="shared" ca="1" si="17"/>
        <v>-0.41129553033807281</v>
      </c>
      <c r="C111">
        <f t="shared" ca="1" si="17"/>
        <v>-1.0380789677348328</v>
      </c>
      <c r="D111">
        <f t="shared" ca="1" si="17"/>
        <v>-1.2340051488675214</v>
      </c>
      <c r="E111">
        <f t="shared" ca="1" si="11"/>
        <v>-3.1215136015564646E-3</v>
      </c>
      <c r="F111">
        <f t="shared" ca="1" si="12"/>
        <v>-1.3040091030469743E-2</v>
      </c>
      <c r="G111">
        <f t="shared" ca="1" si="16"/>
        <v>-8.0397655545993152E-3</v>
      </c>
      <c r="H111">
        <f t="shared" ca="1" si="13"/>
        <v>4003.4640013761496</v>
      </c>
      <c r="I111">
        <f t="shared" ca="1" si="14"/>
        <v>536.90619047942448</v>
      </c>
      <c r="J111">
        <f t="shared" ca="1" si="15"/>
        <v>2218.0230842199162</v>
      </c>
      <c r="K111">
        <f t="array" aca="1" ref="K111:L111" ca="1">Opt3Spd(H111:J111,$E$3:$G$3,$K$3:$M$3,$N$3:$P$3,$H$3,$I$3,$Q$3,$J$3)</f>
        <v>210.42156851096797</v>
      </c>
      <c r="L111">
        <f ca="1"/>
        <v>1.9014011855688295E-2</v>
      </c>
    </row>
    <row r="112" spans="2:12" x14ac:dyDescent="0.15">
      <c r="B112">
        <f t="shared" ca="1" si="17"/>
        <v>-0.91118521646742034</v>
      </c>
      <c r="C112">
        <f t="shared" ca="1" si="17"/>
        <v>0.2062066579057549</v>
      </c>
      <c r="D112">
        <f t="shared" ca="1" si="17"/>
        <v>-0.69350824513443632</v>
      </c>
      <c r="E112">
        <f t="shared" ca="1" si="11"/>
        <v>-6.9154095703454696E-3</v>
      </c>
      <c r="F112">
        <f t="shared" ca="1" si="12"/>
        <v>-9.6862277043125947E-3</v>
      </c>
      <c r="G112">
        <f t="shared" ca="1" si="16"/>
        <v>-8.1412211751067665E-3</v>
      </c>
      <c r="H112">
        <f t="shared" ca="1" si="13"/>
        <v>3988.227715165493</v>
      </c>
      <c r="I112">
        <f t="shared" ca="1" si="14"/>
        <v>538.73069212885389</v>
      </c>
      <c r="J112">
        <f t="shared" ca="1" si="15"/>
        <v>2217.7962294524614</v>
      </c>
      <c r="K112">
        <f t="array" aca="1" ref="K112:L112" ca="1">Opt3Spd(H112:J112,$E$3:$G$3,$K$3:$M$3,$N$3:$P$3,$H$3,$I$3,$Q$3,$J$3)</f>
        <v>192.40709395175327</v>
      </c>
      <c r="L112">
        <f ca="1"/>
        <v>4.6600918657077273E-2</v>
      </c>
    </row>
    <row r="113" spans="2:12" x14ac:dyDescent="0.15">
      <c r="B113">
        <f t="shared" ca="1" si="17"/>
        <v>0.248742386463117</v>
      </c>
      <c r="C113">
        <f t="shared" ca="1" si="17"/>
        <v>-0.2845558499449487</v>
      </c>
      <c r="D113">
        <f t="shared" ca="1" si="17"/>
        <v>-0.6137236725907852</v>
      </c>
      <c r="E113">
        <f t="shared" ca="1" si="11"/>
        <v>1.8878219804382825E-3</v>
      </c>
      <c r="F113">
        <f t="shared" ca="1" si="12"/>
        <v>8.9507286381334194E-4</v>
      </c>
      <c r="G113">
        <f t="shared" ca="1" si="16"/>
        <v>-8.5004765207670366E-4</v>
      </c>
      <c r="H113">
        <f t="shared" ca="1" si="13"/>
        <v>4023.5814930734405</v>
      </c>
      <c r="I113">
        <f t="shared" ca="1" si="14"/>
        <v>544.48691963791441</v>
      </c>
      <c r="J113">
        <f t="shared" ca="1" si="15"/>
        <v>2234.0992934499563</v>
      </c>
      <c r="K113">
        <f t="array" aca="1" ref="K113:L113" ca="1">Opt3Spd(H113:J113,$E$3:$G$3,$K$3:$M$3,$N$3:$P$3,$H$3,$I$3,$Q$3,$J$3)</f>
        <v>210.37230704934518</v>
      </c>
      <c r="L113">
        <f ca="1"/>
        <v>1.9532121546035341E-2</v>
      </c>
    </row>
    <row r="114" spans="2:12" x14ac:dyDescent="0.15">
      <c r="B114">
        <f t="shared" ca="1" si="17"/>
        <v>-1.8671894325050917</v>
      </c>
      <c r="C114">
        <f t="shared" ca="1" si="17"/>
        <v>-1.7566376016628555</v>
      </c>
      <c r="D114">
        <f t="shared" ca="1" si="17"/>
        <v>1.0917256514263085</v>
      </c>
      <c r="E114">
        <f t="shared" ca="1" si="11"/>
        <v>-1.4170971431311982E-2</v>
      </c>
      <c r="F114">
        <f t="shared" ca="1" si="12"/>
        <v>-3.6547693774501344E-2</v>
      </c>
      <c r="G114">
        <f t="shared" ca="1" si="16"/>
        <v>-9.8684107484977874E-3</v>
      </c>
      <c r="H114">
        <f t="shared" ca="1" si="13"/>
        <v>3959.089378731851</v>
      </c>
      <c r="I114">
        <f t="shared" ca="1" si="14"/>
        <v>524.11805458667129</v>
      </c>
      <c r="J114">
        <f t="shared" ca="1" si="15"/>
        <v>2213.9342335663591</v>
      </c>
      <c r="K114">
        <f t="array" aca="1" ref="K114:L114" ca="1">Opt3Spd(H114:J114,$E$3:$G$3,$K$3:$M$3,$N$3:$P$3,$H$3,$I$3,$Q$3,$J$3)</f>
        <v>188.58863508276363</v>
      </c>
      <c r="L114">
        <f ca="1"/>
        <v>5.5260472766121893E-2</v>
      </c>
    </row>
    <row r="115" spans="2:12" x14ac:dyDescent="0.15">
      <c r="B115">
        <f t="shared" ca="1" si="17"/>
        <v>-0.28629073279234546</v>
      </c>
      <c r="C115">
        <f t="shared" ca="1" si="17"/>
        <v>1.293008668098619</v>
      </c>
      <c r="D115">
        <f t="shared" ca="1" si="17"/>
        <v>-0.81104167400903504</v>
      </c>
      <c r="E115">
        <f t="shared" ca="1" si="11"/>
        <v>-2.1727938926939254E-3</v>
      </c>
      <c r="F115">
        <f t="shared" ca="1" si="12"/>
        <v>6.368265298927922E-3</v>
      </c>
      <c r="G115">
        <f t="shared" ca="1" si="16"/>
        <v>-3.4757096517587282E-3</v>
      </c>
      <c r="H115">
        <f t="shared" ca="1" si="13"/>
        <v>4007.2740597269408</v>
      </c>
      <c r="I115">
        <f t="shared" ca="1" si="14"/>
        <v>547.46433632261676</v>
      </c>
      <c r="J115">
        <f t="shared" ca="1" si="15"/>
        <v>2228.2283132186676</v>
      </c>
      <c r="K115">
        <f t="array" aca="1" ref="K115:L115" ca="1">Opt3Spd(H115:J115,$E$3:$G$3,$K$3:$M$3,$N$3:$P$3,$H$3,$I$3,$Q$3,$J$3)</f>
        <v>192.26468909700293</v>
      </c>
      <c r="L115">
        <f ca="1"/>
        <v>4.7724095582680093E-2</v>
      </c>
    </row>
    <row r="116" spans="2:12" x14ac:dyDescent="0.15">
      <c r="B116">
        <f t="shared" ca="1" si="17"/>
        <v>0.99348650095226321</v>
      </c>
      <c r="C116">
        <f t="shared" ca="1" si="17"/>
        <v>1.2123835120632005</v>
      </c>
      <c r="D116">
        <f t="shared" ca="1" si="17"/>
        <v>0.56481344585229776</v>
      </c>
      <c r="E116">
        <f t="shared" ca="1" si="11"/>
        <v>7.540032402336464E-3</v>
      </c>
      <c r="F116">
        <f t="shared" ca="1" si="12"/>
        <v>2.1574261082045958E-2</v>
      </c>
      <c r="G116">
        <f t="shared" ca="1" si="16"/>
        <v>9.5878616744013503E-3</v>
      </c>
      <c r="H116">
        <f t="shared" ca="1" si="13"/>
        <v>4046.2807701277834</v>
      </c>
      <c r="I116">
        <f t="shared" ca="1" si="14"/>
        <v>555.73639802863295</v>
      </c>
      <c r="J116">
        <f t="shared" ca="1" si="15"/>
        <v>2257.4384587039617</v>
      </c>
      <c r="K116">
        <f t="array" aca="1" ref="K116:L116" ca="1">Opt3Spd(H116:J116,$E$3:$G$3,$K$3:$M$3,$N$3:$P$3,$H$3,$I$3,$Q$3,$J$3)</f>
        <v>203.41204042396157</v>
      </c>
      <c r="L116">
        <f ca="1"/>
        <v>2.8736493971564414E-2</v>
      </c>
    </row>
    <row r="117" spans="2:12" x14ac:dyDescent="0.15">
      <c r="B117">
        <f t="shared" ca="1" si="17"/>
        <v>-4.3819523843217231E-2</v>
      </c>
      <c r="C117">
        <f t="shared" ca="1" si="17"/>
        <v>0.16574579717334059</v>
      </c>
      <c r="D117">
        <f t="shared" ca="1" si="17"/>
        <v>1.2275730201664352</v>
      </c>
      <c r="E117">
        <f t="shared" ca="1" si="11"/>
        <v>-3.3256680318869157E-4</v>
      </c>
      <c r="F117">
        <f t="shared" ca="1" si="12"/>
        <v>7.2827551032567843E-4</v>
      </c>
      <c r="G117">
        <f t="shared" ca="1" si="16"/>
        <v>4.2368373375288419E-3</v>
      </c>
      <c r="H117">
        <f t="shared" ca="1" si="13"/>
        <v>4014.6644117183941</v>
      </c>
      <c r="I117">
        <f t="shared" ca="1" si="14"/>
        <v>544.39618187761721</v>
      </c>
      <c r="J117">
        <f t="shared" ca="1" si="15"/>
        <v>2245.4735682867145</v>
      </c>
      <c r="K117">
        <f t="array" aca="1" ref="K117:L117" ca="1">Opt3Spd(H117:J117,$E$3:$G$3,$K$3:$M$3,$N$3:$P$3,$H$3,$I$3,$Q$3,$J$3)</f>
        <v>195.93430940501457</v>
      </c>
      <c r="L117">
        <f ca="1"/>
        <v>4.0572834165004679E-2</v>
      </c>
    </row>
    <row r="118" spans="2:12" x14ac:dyDescent="0.15">
      <c r="B118">
        <f t="shared" ca="1" si="17"/>
        <v>-1.1959211289564655</v>
      </c>
      <c r="C118">
        <f t="shared" ca="1" si="17"/>
        <v>-0.41322981295356892</v>
      </c>
      <c r="D118">
        <f t="shared" ca="1" si="17"/>
        <v>-0.37058717231940674</v>
      </c>
      <c r="E118">
        <f t="shared" ca="1" si="11"/>
        <v>-9.076403206613709E-3</v>
      </c>
      <c r="F118">
        <f t="shared" ca="1" si="12"/>
        <v>-1.7953484346259176E-2</v>
      </c>
      <c r="G118">
        <f t="shared" ca="1" si="16"/>
        <v>-9.430769197956948E-3</v>
      </c>
      <c r="H118">
        <f t="shared" ca="1" si="13"/>
        <v>3979.5491647222393</v>
      </c>
      <c r="I118">
        <f t="shared" ca="1" si="14"/>
        <v>534.23330451563504</v>
      </c>
      <c r="J118">
        <f t="shared" ca="1" si="15"/>
        <v>2214.9128000733681</v>
      </c>
      <c r="K118">
        <f t="array" aca="1" ref="K118:L118" ca="1">Opt3Spd(H118:J118,$E$3:$G$3,$K$3:$M$3,$N$3:$P$3,$H$3,$I$3,$Q$3,$J$3)</f>
        <v>192.36589528752165</v>
      </c>
      <c r="L118">
        <f ca="1"/>
        <v>4.6417826982633414E-2</v>
      </c>
    </row>
    <row r="119" spans="2:12" x14ac:dyDescent="0.15">
      <c r="B119">
        <f t="shared" ca="1" si="17"/>
        <v>0.63346358401125802</v>
      </c>
      <c r="C119">
        <f t="shared" ca="1" si="17"/>
        <v>0.409962471974959</v>
      </c>
      <c r="D119">
        <f t="shared" ca="1" si="17"/>
        <v>-1.1108960164856931</v>
      </c>
      <c r="E119">
        <f t="shared" ca="1" si="11"/>
        <v>4.8076505765975918E-3</v>
      </c>
      <c r="F119">
        <f t="shared" ca="1" si="12"/>
        <v>1.0973937766961761E-2</v>
      </c>
      <c r="G119">
        <f t="shared" ca="1" si="16"/>
        <v>5.3839414068294531E-4</v>
      </c>
      <c r="H119">
        <f t="shared" ca="1" si="13"/>
        <v>4035.3075247156157</v>
      </c>
      <c r="I119">
        <f t="shared" ca="1" si="14"/>
        <v>549.96982214522723</v>
      </c>
      <c r="J119">
        <f t="shared" ca="1" si="15"/>
        <v>2237.2038492985671</v>
      </c>
      <c r="K119">
        <f t="array" aca="1" ref="K119:L119" ca="1">Opt3Spd(H119:J119,$E$3:$G$3,$K$3:$M$3,$N$3:$P$3,$H$3,$I$3,$Q$3,$J$3)</f>
        <v>211.77222122398871</v>
      </c>
      <c r="L119">
        <f ca="1"/>
        <v>1.8336590019998766E-2</v>
      </c>
    </row>
    <row r="120" spans="2:12" x14ac:dyDescent="0.15">
      <c r="B120">
        <f t="shared" ca="1" si="17"/>
        <v>0.98948548601631003</v>
      </c>
      <c r="C120">
        <f t="shared" ca="1" si="17"/>
        <v>1.5194224352140464</v>
      </c>
      <c r="D120">
        <f t="shared" ca="1" si="17"/>
        <v>-1.1755139109411936</v>
      </c>
      <c r="E120">
        <f t="shared" ca="1" si="11"/>
        <v>7.5096668339765483E-3</v>
      </c>
      <c r="F120">
        <f t="shared" ca="1" si="12"/>
        <v>2.3877578310817819E-2</v>
      </c>
      <c r="G120">
        <f t="shared" ca="1" si="16"/>
        <v>3.6792253047130932E-3</v>
      </c>
      <c r="H120">
        <f t="shared" ca="1" si="13"/>
        <v>4046.1588220052495</v>
      </c>
      <c r="I120">
        <f t="shared" ca="1" si="14"/>
        <v>556.98940260108486</v>
      </c>
      <c r="J120">
        <f t="shared" ca="1" si="15"/>
        <v>2244.2267477813384</v>
      </c>
      <c r="K120">
        <f t="array" aca="1" ref="K120:L120" ca="1">Opt3Spd(H120:J120,$E$3:$G$3,$K$3:$M$3,$N$3:$P$3,$H$3,$I$3,$Q$3,$J$3)</f>
        <v>207.88507183829529</v>
      </c>
      <c r="L120">
        <f ca="1"/>
        <v>2.2667885450800895E-2</v>
      </c>
    </row>
    <row r="121" spans="2:12" x14ac:dyDescent="0.15">
      <c r="B121">
        <f t="shared" ca="1" si="17"/>
        <v>0.41706222395515913</v>
      </c>
      <c r="C121">
        <f t="shared" ca="1" si="17"/>
        <v>0.49232103451577058</v>
      </c>
      <c r="D121">
        <f t="shared" ca="1" si="17"/>
        <v>-0.92264838660105442</v>
      </c>
      <c r="E121">
        <f t="shared" ca="1" si="11"/>
        <v>3.1652797289124989E-3</v>
      </c>
      <c r="F121">
        <f t="shared" ca="1" si="12"/>
        <v>8.9293417869648357E-3</v>
      </c>
      <c r="G121">
        <f t="shared" ca="1" si="16"/>
        <v>-1.0945549740235284E-4</v>
      </c>
      <c r="H121">
        <f t="shared" ca="1" si="13"/>
        <v>4028.7117633913131</v>
      </c>
      <c r="I121">
        <f t="shared" ca="1" si="14"/>
        <v>548.85756193210887</v>
      </c>
      <c r="J121">
        <f t="shared" ca="1" si="15"/>
        <v>2235.7552575078084</v>
      </c>
      <c r="K121">
        <f t="array" aca="1" ref="K121:L121" ca="1">Opt3Spd(H121:J121,$E$3:$G$3,$K$3:$M$3,$N$3:$P$3,$H$3,$I$3,$Q$3,$J$3)</f>
        <v>207.68454817811198</v>
      </c>
      <c r="L121">
        <f ca="1"/>
        <v>2.2512632077223316E-2</v>
      </c>
    </row>
    <row r="122" spans="2:12" x14ac:dyDescent="0.15">
      <c r="B122">
        <f t="shared" ca="1" si="17"/>
        <v>-0.95181336871614453</v>
      </c>
      <c r="C122">
        <f t="shared" ca="1" si="17"/>
        <v>0.85000832705105356</v>
      </c>
      <c r="D122">
        <f t="shared" ca="1" si="17"/>
        <v>-1.4914875397140774</v>
      </c>
      <c r="E122">
        <f t="shared" ca="1" si="11"/>
        <v>-7.2237555660976142E-3</v>
      </c>
      <c r="F122">
        <f t="shared" ca="1" si="12"/>
        <v>-5.2552304492951771E-3</v>
      </c>
      <c r="G122">
        <f t="shared" ca="1" si="16"/>
        <v>-1.0613975041967387E-2</v>
      </c>
      <c r="H122">
        <f t="shared" ca="1" si="13"/>
        <v>3986.9893976465519</v>
      </c>
      <c r="I122">
        <f t="shared" ca="1" si="14"/>
        <v>541.14115463558346</v>
      </c>
      <c r="J122">
        <f t="shared" ca="1" si="15"/>
        <v>2212.2671518061611</v>
      </c>
      <c r="K122">
        <f t="array" aca="1" ref="K122:L122" ca="1">Opt3Spd(H122:J122,$E$3:$G$3,$K$3:$M$3,$N$3:$P$3,$H$3,$I$3,$Q$3,$J$3)</f>
        <v>190.08189090259998</v>
      </c>
      <c r="L122">
        <f ca="1"/>
        <v>5.1916576062012609E-2</v>
      </c>
    </row>
    <row r="123" spans="2:12" x14ac:dyDescent="0.15">
      <c r="B123">
        <f t="shared" ca="1" si="17"/>
        <v>0.80676297665003927</v>
      </c>
      <c r="C123">
        <f t="shared" ca="1" si="17"/>
        <v>0.67584937245858845</v>
      </c>
      <c r="D123">
        <f t="shared" ca="1" si="17"/>
        <v>-1.1343107097792944</v>
      </c>
      <c r="E123">
        <f t="shared" ca="1" si="11"/>
        <v>6.1229004914672711E-3</v>
      </c>
      <c r="F123">
        <f t="shared" ca="1" si="12"/>
        <v>1.5154145835590488E-2</v>
      </c>
      <c r="G123">
        <f t="shared" ca="1" si="16"/>
        <v>1.8304978789190705E-3</v>
      </c>
      <c r="H123">
        <f t="shared" ca="1" si="13"/>
        <v>4040.5895683737331</v>
      </c>
      <c r="I123">
        <f t="shared" ca="1" si="14"/>
        <v>552.2438553345612</v>
      </c>
      <c r="J123">
        <f t="shared" ca="1" si="15"/>
        <v>2240.0929932572631</v>
      </c>
      <c r="K123">
        <f t="array" aca="1" ref="K123:L123" ca="1">Opt3Spd(H123:J123,$E$3:$G$3,$K$3:$M$3,$N$3:$P$3,$H$3,$I$3,$Q$3,$J$3)</f>
        <v>211.97115295047411</v>
      </c>
      <c r="L123">
        <f ca="1"/>
        <v>1.8249740670398751E-2</v>
      </c>
    </row>
    <row r="124" spans="2:12" x14ac:dyDescent="0.15">
      <c r="B124">
        <f t="shared" ca="1" si="17"/>
        <v>0.57995231909687162</v>
      </c>
      <c r="C124">
        <f t="shared" ca="1" si="17"/>
        <v>-0.64023186763352236</v>
      </c>
      <c r="D124">
        <f t="shared" ca="1" si="17"/>
        <v>-0.2936367733506049</v>
      </c>
      <c r="E124">
        <f t="shared" ca="1" si="11"/>
        <v>4.4015286303429133E-3</v>
      </c>
      <c r="F124">
        <f t="shared" ca="1" si="12"/>
        <v>2.2648342444317616E-3</v>
      </c>
      <c r="G124">
        <f t="shared" ca="1" si="16"/>
        <v>2.079065005925626E-3</v>
      </c>
      <c r="H124">
        <f t="shared" ca="1" si="13"/>
        <v>4033.6765389794573</v>
      </c>
      <c r="I124">
        <f t="shared" ca="1" si="14"/>
        <v>545.23206982897091</v>
      </c>
      <c r="J124">
        <f t="shared" ca="1" si="15"/>
        <v>2240.6487893532499</v>
      </c>
      <c r="K124">
        <f t="array" aca="1" ref="K124:L124" ca="1">Opt3Spd(H124:J124,$E$3:$G$3,$K$3:$M$3,$N$3:$P$3,$H$3,$I$3,$Q$3,$J$3)</f>
        <v>215.99558269981958</v>
      </c>
      <c r="L124">
        <f ca="1"/>
        <v>1.4750123340490973E-2</v>
      </c>
    </row>
    <row r="125" spans="2:12" x14ac:dyDescent="0.15">
      <c r="B125">
        <f t="shared" ca="1" si="17"/>
        <v>-0.59390524772879316</v>
      </c>
      <c r="C125">
        <f t="shared" ca="1" si="17"/>
        <v>-0.81752212214113695</v>
      </c>
      <c r="D125">
        <f t="shared" ca="1" si="17"/>
        <v>0.66713982558385732</v>
      </c>
      <c r="E125">
        <f t="shared" ca="1" si="11"/>
        <v>-4.5074239131588714E-3</v>
      </c>
      <c r="F125">
        <f t="shared" ca="1" si="12"/>
        <v>-1.3607879776284497E-2</v>
      </c>
      <c r="G125">
        <f t="shared" ca="1" si="16"/>
        <v>-2.2533656878199197E-3</v>
      </c>
      <c r="H125">
        <f t="shared" ca="1" si="13"/>
        <v>3997.8981855647539</v>
      </c>
      <c r="I125">
        <f t="shared" ca="1" si="14"/>
        <v>536.59731340170117</v>
      </c>
      <c r="J125">
        <f t="shared" ca="1" si="15"/>
        <v>2230.9614743220345</v>
      </c>
      <c r="K125">
        <f t="array" aca="1" ref="K125:L125" ca="1">Opt3Spd(H125:J125,$E$3:$G$3,$K$3:$M$3,$N$3:$P$3,$H$3,$I$3,$Q$3,$J$3)</f>
        <v>198.89612581459255</v>
      </c>
      <c r="L125">
        <f ca="1"/>
        <v>3.4378853577663904E-2</v>
      </c>
    </row>
    <row r="126" spans="2:12" x14ac:dyDescent="0.15">
      <c r="B126">
        <f t="shared" ca="1" si="17"/>
        <v>-0.62611597877875247</v>
      </c>
      <c r="C126">
        <f t="shared" ca="1" si="17"/>
        <v>-0.86726375142577938</v>
      </c>
      <c r="D126">
        <f t="shared" ca="1" si="17"/>
        <v>-1.6364416119421208</v>
      </c>
      <c r="E126">
        <f t="shared" ca="1" si="11"/>
        <v>-4.7518861736796196E-3</v>
      </c>
      <c r="F126">
        <f t="shared" ca="1" si="12"/>
        <v>-1.4387311309626638E-2</v>
      </c>
      <c r="G126">
        <f t="shared" ca="1" si="16"/>
        <v>-1.0689350882142427E-2</v>
      </c>
      <c r="H126">
        <f t="shared" ca="1" si="13"/>
        <v>3996.9164251265029</v>
      </c>
      <c r="I126">
        <f t="shared" ca="1" si="14"/>
        <v>536.1733026475631</v>
      </c>
      <c r="J126">
        <f t="shared" ca="1" si="15"/>
        <v>2212.0986114275297</v>
      </c>
      <c r="K126">
        <f t="array" aca="1" ref="K126:L126" ca="1">Opt3Spd(H126:J126,$E$3:$G$3,$K$3:$M$3,$N$3:$P$3,$H$3,$I$3,$Q$3,$J$3)</f>
        <v>208.01117982911205</v>
      </c>
      <c r="L126">
        <f ca="1"/>
        <v>2.1344652474908798E-2</v>
      </c>
    </row>
    <row r="127" spans="2:12" x14ac:dyDescent="0.15">
      <c r="B127">
        <f t="shared" ca="1" si="17"/>
        <v>-0.2631962052051085</v>
      </c>
      <c r="C127">
        <f t="shared" ca="1" si="17"/>
        <v>2.4317040110011442E-2</v>
      </c>
      <c r="D127">
        <f t="shared" ca="1" si="17"/>
        <v>1.2142066885083445</v>
      </c>
      <c r="E127">
        <f t="shared" ca="1" si="11"/>
        <v>-1.9975187519068972E-3</v>
      </c>
      <c r="F127">
        <f t="shared" ca="1" si="12"/>
        <v>-3.0679535644408096E-3</v>
      </c>
      <c r="G127">
        <f t="shared" ca="1" si="16"/>
        <v>2.637309573441265E-3</v>
      </c>
      <c r="H127">
        <f t="shared" ca="1" si="13"/>
        <v>4007.9779646923421</v>
      </c>
      <c r="I127">
        <f t="shared" ca="1" si="14"/>
        <v>542.3310332609442</v>
      </c>
      <c r="J127">
        <f t="shared" ca="1" si="15"/>
        <v>2241.8970242062146</v>
      </c>
      <c r="K127">
        <f t="array" aca="1" ref="K127:L127" ca="1">Opt3Spd(H127:J127,$E$3:$G$3,$K$3:$M$3,$N$3:$P$3,$H$3,$I$3,$Q$3,$J$3)</f>
        <v>194.34339693807169</v>
      </c>
      <c r="L127">
        <f ca="1"/>
        <v>4.3597566347898464E-2</v>
      </c>
    </row>
    <row r="128" spans="2:12" x14ac:dyDescent="0.15">
      <c r="B128">
        <f t="shared" ca="1" si="17"/>
        <v>1.1216811044433654</v>
      </c>
      <c r="C128">
        <f t="shared" ca="1" si="17"/>
        <v>0.40189479323296246</v>
      </c>
      <c r="D128">
        <f t="shared" ca="1" si="17"/>
        <v>-0.30335814378187292</v>
      </c>
      <c r="E128">
        <f t="shared" ca="1" si="11"/>
        <v>8.5129610361941981E-3</v>
      </c>
      <c r="F128">
        <f t="shared" ca="1" si="12"/>
        <v>1.6948684787536496E-2</v>
      </c>
      <c r="G128">
        <f t="shared" ca="1" si="16"/>
        <v>6.5476829090597424E-3</v>
      </c>
      <c r="H128">
        <f t="shared" ca="1" si="13"/>
        <v>4050.1880515213561</v>
      </c>
      <c r="I128">
        <f t="shared" ca="1" si="14"/>
        <v>553.2200845244198</v>
      </c>
      <c r="J128">
        <f t="shared" ca="1" si="15"/>
        <v>2250.640618984658</v>
      </c>
      <c r="K128">
        <f t="array" aca="1" ref="K128:L128" ca="1">Opt3Spd(H128:J128,$E$3:$G$3,$K$3:$M$3,$N$3:$P$3,$H$3,$I$3,$Q$3,$J$3)</f>
        <v>214.73165635363807</v>
      </c>
      <c r="L128">
        <f ca="1"/>
        <v>1.6049563682827284E-2</v>
      </c>
    </row>
    <row r="129" spans="2:12" x14ac:dyDescent="0.15">
      <c r="B129">
        <f t="shared" ca="1" si="17"/>
        <v>0.31151995947015743</v>
      </c>
      <c r="C129">
        <f t="shared" ca="1" si="17"/>
        <v>1.3513325350905054</v>
      </c>
      <c r="D129">
        <f t="shared" ca="1" si="17"/>
        <v>0.69937344251863642</v>
      </c>
      <c r="E129">
        <f t="shared" ca="1" si="11"/>
        <v>2.3642702604696909E-3</v>
      </c>
      <c r="F129">
        <f t="shared" ca="1" si="12"/>
        <v>1.4206824997982972E-2</v>
      </c>
      <c r="G129">
        <f t="shared" ca="1" si="16"/>
        <v>5.800743830758741E-3</v>
      </c>
      <c r="H129">
        <f t="shared" ca="1" si="13"/>
        <v>4025.4949093660457</v>
      </c>
      <c r="I129">
        <f t="shared" ca="1" si="14"/>
        <v>551.72851279890278</v>
      </c>
      <c r="J129">
        <f t="shared" ca="1" si="15"/>
        <v>2248.9704632055768</v>
      </c>
      <c r="K129">
        <f t="array" aca="1" ref="K129:L129" ca="1">Opt3Spd(H129:J129,$E$3:$G$3,$K$3:$M$3,$N$3:$P$3,$H$3,$I$3,$Q$3,$J$3)</f>
        <v>193.29060104147425</v>
      </c>
      <c r="L129">
        <f ca="1"/>
        <v>4.6543756461687735E-2</v>
      </c>
    </row>
    <row r="130" spans="2:12" x14ac:dyDescent="0.15">
      <c r="B130">
        <f t="shared" ca="1" si="17"/>
        <v>1.6349219342209935</v>
      </c>
      <c r="C130">
        <f t="shared" ca="1" si="17"/>
        <v>-0.407114381940478</v>
      </c>
      <c r="D130">
        <f t="shared" ca="1" si="17"/>
        <v>1.4242833066719274</v>
      </c>
      <c r="E130">
        <f t="shared" ca="1" si="11"/>
        <v>1.2408185060895178E-2</v>
      </c>
      <c r="F130">
        <f t="shared" ca="1" si="12"/>
        <v>1.7095352228975316E-2</v>
      </c>
      <c r="G130">
        <f t="shared" ca="1" si="16"/>
        <v>1.5210666073187227E-2</v>
      </c>
      <c r="H130">
        <f t="shared" ca="1" si="13"/>
        <v>4065.8312712045554</v>
      </c>
      <c r="I130">
        <f t="shared" ca="1" si="14"/>
        <v>553.29987161256258</v>
      </c>
      <c r="J130">
        <f t="shared" ca="1" si="15"/>
        <v>2270.0110493396464</v>
      </c>
      <c r="K130">
        <f t="array" aca="1" ref="K130:L130" ca="1">Opt3Spd(H130:J130,$E$3:$G$3,$K$3:$M$3,$N$3:$P$3,$H$3,$I$3,$Q$3,$J$3)</f>
        <v>220.55809372348676</v>
      </c>
      <c r="L130">
        <f ca="1"/>
        <v>1.2141768854917245E-2</v>
      </c>
    </row>
    <row r="131" spans="2:12" x14ac:dyDescent="0.15">
      <c r="B131">
        <f t="shared" ca="1" si="17"/>
        <v>2.0964440593918154</v>
      </c>
      <c r="C131">
        <f t="shared" ca="1" si="17"/>
        <v>-1.8614844323532405</v>
      </c>
      <c r="D131">
        <f t="shared" ca="1" si="17"/>
        <v>-0.12379020162365754</v>
      </c>
      <c r="E131">
        <f t="shared" ca="1" si="11"/>
        <v>1.5910891715537879E-2</v>
      </c>
      <c r="F131">
        <f t="shared" ca="1" si="12"/>
        <v>1.1657251246994734E-2</v>
      </c>
      <c r="G131">
        <f t="shared" ca="1" si="16"/>
        <v>1.1283398334080028E-2</v>
      </c>
      <c r="H131">
        <f t="shared" ca="1" si="13"/>
        <v>4079.8981411296004</v>
      </c>
      <c r="I131">
        <f t="shared" ca="1" si="14"/>
        <v>550.34154467836515</v>
      </c>
      <c r="J131">
        <f t="shared" ca="1" si="15"/>
        <v>2261.229678675003</v>
      </c>
      <c r="K131">
        <f t="array" aca="1" ref="K131:L131" ca="1">Opt3Spd(H131:J131,$E$3:$G$3,$K$3:$M$3,$N$3:$P$3,$H$3,$I$3,$Q$3,$J$3)</f>
        <v>243.74023739430413</v>
      </c>
      <c r="L131">
        <f ca="1"/>
        <v>3.40708758949404E-3</v>
      </c>
    </row>
    <row r="132" spans="2:12" x14ac:dyDescent="0.15">
      <c r="B132">
        <f t="shared" ca="1" si="17"/>
        <v>-1.5072891771628365</v>
      </c>
      <c r="C132">
        <f t="shared" ca="1" si="17"/>
        <v>-0.9728311030317941</v>
      </c>
      <c r="D132">
        <f t="shared" ca="1" si="17"/>
        <v>-1.8355859069156</v>
      </c>
      <c r="E132">
        <f t="shared" ca="1" si="11"/>
        <v>-1.1439520541653479E-2</v>
      </c>
      <c r="F132">
        <f t="shared" ca="1" si="12"/>
        <v>-2.6091527220363016E-2</v>
      </c>
      <c r="G132">
        <f t="shared" ca="1" si="16"/>
        <v>-1.7183158078973658E-2</v>
      </c>
      <c r="H132">
        <f t="shared" ca="1" si="13"/>
        <v>3970.0588855047199</v>
      </c>
      <c r="I132">
        <f t="shared" ca="1" si="14"/>
        <v>529.80620919212254</v>
      </c>
      <c r="J132">
        <f t="shared" ca="1" si="15"/>
        <v>2197.5784585354149</v>
      </c>
      <c r="K132">
        <f t="array" aca="1" ref="K132:L132" ca="1">Opt3Spd(H132:J132,$E$3:$G$3,$K$3:$M$3,$N$3:$P$3,$H$3,$I$3,$Q$3,$J$3)</f>
        <v>198.6132298389341</v>
      </c>
      <c r="L132">
        <f ca="1"/>
        <v>3.3508309317539897E-2</v>
      </c>
    </row>
    <row r="133" spans="2:12" x14ac:dyDescent="0.15">
      <c r="B133">
        <f t="shared" ca="1" si="17"/>
        <v>-1.7253558686942705</v>
      </c>
      <c r="C133">
        <f t="shared" ca="1" si="17"/>
        <v>-0.63928355318380525</v>
      </c>
      <c r="D133">
        <f t="shared" ca="1" si="17"/>
        <v>5.668887440926982E-2</v>
      </c>
      <c r="E133">
        <f t="shared" ca="1" si="11"/>
        <v>-1.3094530366589519E-2</v>
      </c>
      <c r="F133">
        <f t="shared" ca="1" si="12"/>
        <v>-2.6231895096737477E-2</v>
      </c>
      <c r="G133">
        <f t="shared" ca="1" si="16"/>
        <v>-1.1547654773259157E-2</v>
      </c>
      <c r="H133">
        <f t="shared" ca="1" si="13"/>
        <v>3963.4123660477767</v>
      </c>
      <c r="I133">
        <f t="shared" ca="1" si="14"/>
        <v>529.72984906737474</v>
      </c>
      <c r="J133">
        <f t="shared" ca="1" si="15"/>
        <v>2210.1794439269925</v>
      </c>
      <c r="K133">
        <f t="array" aca="1" ref="K133:L133" ca="1">Opt3Spd(H133:J133,$E$3:$G$3,$K$3:$M$3,$N$3:$P$3,$H$3,$I$3,$Q$3,$J$3)</f>
        <v>185.81789194660678</v>
      </c>
      <c r="L133">
        <f ca="1"/>
        <v>6.3006370126004185E-2</v>
      </c>
    </row>
    <row r="134" spans="2:12" x14ac:dyDescent="0.15">
      <c r="B134">
        <f t="shared" ca="1" si="17"/>
        <v>-0.29433441596164134</v>
      </c>
      <c r="C134">
        <f t="shared" ca="1" si="17"/>
        <v>-0.9914039197250164</v>
      </c>
      <c r="D134">
        <f t="shared" ca="1" si="17"/>
        <v>-2.5562020805831738</v>
      </c>
      <c r="E134">
        <f t="shared" ca="1" si="11"/>
        <v>-2.2338411557140934E-3</v>
      </c>
      <c r="F134">
        <f t="shared" ca="1" si="12"/>
        <v>-1.123626160181296E-2</v>
      </c>
      <c r="G134">
        <f t="shared" ca="1" si="16"/>
        <v>-1.1935223810774793E-2</v>
      </c>
      <c r="H134">
        <f t="shared" ca="1" si="13"/>
        <v>4007.0288939186521</v>
      </c>
      <c r="I134">
        <f t="shared" ca="1" si="14"/>
        <v>537.88747368861368</v>
      </c>
      <c r="J134">
        <f t="shared" ca="1" si="15"/>
        <v>2209.3128395591075</v>
      </c>
      <c r="K134">
        <f t="array" aca="1" ref="K134:L134" ca="1">Opt3Spd(H134:J134,$E$3:$G$3,$K$3:$M$3,$N$3:$P$3,$H$3,$I$3,$Q$3,$J$3)</f>
        <v>216.76608427416795</v>
      </c>
      <c r="L134">
        <f ca="1"/>
        <v>1.3568036851665966E-2</v>
      </c>
    </row>
    <row r="135" spans="2:12" x14ac:dyDescent="0.15">
      <c r="B135">
        <f t="shared" ca="1" si="17"/>
        <v>0.49856064032922892</v>
      </c>
      <c r="C135">
        <f t="shared" ca="1" si="17"/>
        <v>-0.13890903737869201</v>
      </c>
      <c r="D135">
        <f t="shared" ca="1" si="17"/>
        <v>-0.26952702581638988</v>
      </c>
      <c r="E135">
        <f t="shared" ca="1" si="11"/>
        <v>3.7838092203656714E-3</v>
      </c>
      <c r="F135">
        <f t="shared" ca="1" si="12"/>
        <v>5.1000191861068156E-3</v>
      </c>
      <c r="G135">
        <f t="shared" ca="1" si="16"/>
        <v>2.1247261858613809E-3</v>
      </c>
      <c r="H135">
        <f t="shared" ca="1" si="13"/>
        <v>4031.1957778289889</v>
      </c>
      <c r="I135">
        <f t="shared" ca="1" si="14"/>
        <v>546.77441043724207</v>
      </c>
      <c r="J135">
        <f t="shared" ca="1" si="15"/>
        <v>2240.7508877515861</v>
      </c>
      <c r="K135">
        <f t="array" aca="1" ref="K135:L135" ca="1">Opt3Spd(H135:J135,$E$3:$G$3,$K$3:$M$3,$N$3:$P$3,$H$3,$I$3,$Q$3,$J$3)</f>
        <v>211.00037536987975</v>
      </c>
      <c r="L135">
        <f ca="1"/>
        <v>1.9098116271152321E-2</v>
      </c>
    </row>
    <row r="136" spans="2:12" x14ac:dyDescent="0.15">
      <c r="B136">
        <f t="shared" ca="1" si="17"/>
        <v>0.53919376710970635</v>
      </c>
      <c r="C136">
        <f t="shared" ca="1" si="17"/>
        <v>0.99016028121737132</v>
      </c>
      <c r="D136">
        <f t="shared" ca="1" si="17"/>
        <v>-0.90005816656710369</v>
      </c>
      <c r="E136">
        <f t="shared" ca="1" si="11"/>
        <v>4.0921929701593354E-3</v>
      </c>
      <c r="F136">
        <f t="shared" ca="1" si="12"/>
        <v>1.4254296639428081E-2</v>
      </c>
      <c r="G136">
        <f t="shared" ca="1" si="16"/>
        <v>1.2403766524927851E-3</v>
      </c>
      <c r="H136">
        <f t="shared" ca="1" si="13"/>
        <v>4032.4342469681601</v>
      </c>
      <c r="I136">
        <f t="shared" ca="1" si="14"/>
        <v>551.75433737184892</v>
      </c>
      <c r="J136">
        <f t="shared" ca="1" si="15"/>
        <v>2238.7734821949739</v>
      </c>
      <c r="K136">
        <f t="array" aca="1" ref="K136:L136" ca="1">Opt3Spd(H136:J136,$E$3:$G$3,$K$3:$M$3,$N$3:$P$3,$H$3,$I$3,$Q$3,$J$3)</f>
        <v>205.26614217910605</v>
      </c>
      <c r="L136">
        <f ca="1"/>
        <v>2.5576103391358629E-2</v>
      </c>
    </row>
    <row r="137" spans="2:12" x14ac:dyDescent="0.15">
      <c r="B137">
        <f t="shared" ca="1" si="17"/>
        <v>3.6364894484015572E-2</v>
      </c>
      <c r="C137">
        <f t="shared" ca="1" si="17"/>
        <v>-0.5614695372940921</v>
      </c>
      <c r="D137">
        <f t="shared" ca="1" si="17"/>
        <v>1.1481837071988803</v>
      </c>
      <c r="E137">
        <f t="shared" ca="1" si="11"/>
        <v>2.7599014425883864E-4</v>
      </c>
      <c r="F137">
        <f t="shared" ca="1" si="12"/>
        <v>-3.8528130043292094E-3</v>
      </c>
      <c r="G137">
        <f t="shared" ca="1" si="16"/>
        <v>3.7685028707836053E-3</v>
      </c>
      <c r="H137">
        <f t="shared" ca="1" si="13"/>
        <v>4017.1083764193436</v>
      </c>
      <c r="I137">
        <f t="shared" ca="1" si="14"/>
        <v>541.90406972564494</v>
      </c>
      <c r="J137">
        <f t="shared" ca="1" si="15"/>
        <v>2244.4263724190723</v>
      </c>
      <c r="K137">
        <f t="array" aca="1" ref="K137:L137" ca="1">Opt3Spd(H137:J137,$E$3:$G$3,$K$3:$M$3,$N$3:$P$3,$H$3,$I$3,$Q$3,$J$3)</f>
        <v>202.87743371213742</v>
      </c>
      <c r="L137">
        <f ca="1"/>
        <v>2.8755063361813882E-2</v>
      </c>
    </row>
    <row r="138" spans="2:12" x14ac:dyDescent="0.15">
      <c r="B138">
        <f t="shared" ref="B138:D169" ca="1" si="18">NORMINV(RAND(),0,1)</f>
        <v>-3.0885712562469747</v>
      </c>
      <c r="C138">
        <f t="shared" ca="1" si="18"/>
        <v>-1.4181337164775192</v>
      </c>
      <c r="D138">
        <f t="shared" ca="1" si="18"/>
        <v>1.0328588466081359</v>
      </c>
      <c r="E138">
        <f t="shared" ref="E138:E201" ca="1" si="19">B138*$S$3*$C$5</f>
        <v>-2.3440607725123189E-2</v>
      </c>
      <c r="F138">
        <f t="shared" ref="F138:F201" ca="1" si="20">($N$3*B138+C138*SQRT(1-$N$3^2))*$T$3*$C$5</f>
        <v>-4.9055577706202926E-2</v>
      </c>
      <c r="G138">
        <f t="shared" ca="1" si="16"/>
        <v>-1.7629083047309774E-2</v>
      </c>
      <c r="H138">
        <f t="shared" ref="H138:H201" ca="1" si="21">B$3*(1+E138)</f>
        <v>3921.8625193759049</v>
      </c>
      <c r="I138">
        <f t="shared" ref="I138:I201" ca="1" si="22">C$3*(1+F138)</f>
        <v>517.31376572782563</v>
      </c>
      <c r="J138">
        <f t="shared" ref="J138:J201" ca="1" si="23">D$3*(1+G138)</f>
        <v>2196.5813703062154</v>
      </c>
      <c r="K138">
        <f t="array" aca="1" ref="K138:L138" ca="1">Opt3Spd(H138:J138,$E$3:$G$3,$K$3:$M$3,$N$3:$P$3,$H$3,$I$3,$Q$3,$J$3)</f>
        <v>170.99249644846759</v>
      </c>
      <c r="L138">
        <f ca="1"/>
        <v>0.12268739019168606</v>
      </c>
    </row>
    <row r="139" spans="2:12" x14ac:dyDescent="0.15">
      <c r="B139">
        <f t="shared" ca="1" si="18"/>
        <v>0.76522259574390472</v>
      </c>
      <c r="C139">
        <f t="shared" ca="1" si="18"/>
        <v>-7.3076900564004094E-2</v>
      </c>
      <c r="D139">
        <f t="shared" ca="1" si="18"/>
        <v>9.3652007358937986E-2</v>
      </c>
      <c r="E139">
        <f t="shared" ca="1" si="19"/>
        <v>5.8076311669848207E-3</v>
      </c>
      <c r="F139">
        <f t="shared" ca="1" si="20"/>
        <v>8.9016230700746362E-3</v>
      </c>
      <c r="G139">
        <f t="shared" ca="1" si="16"/>
        <v>5.1983330958467041E-3</v>
      </c>
      <c r="H139">
        <f t="shared" ca="1" si="21"/>
        <v>4039.3234467666111</v>
      </c>
      <c r="I139">
        <f t="shared" ca="1" si="22"/>
        <v>548.8424829501206</v>
      </c>
      <c r="J139">
        <f t="shared" ca="1" si="23"/>
        <v>2247.6234728023132</v>
      </c>
      <c r="K139">
        <f t="array" aca="1" ref="K139:L139" ca="1">Opt3Spd(H139:J139,$E$3:$G$3,$K$3:$M$3,$N$3:$P$3,$H$3,$I$3,$Q$3,$J$3)</f>
        <v>212.38170846962021</v>
      </c>
      <c r="L139">
        <f ca="1"/>
        <v>1.7970824358826576E-2</v>
      </c>
    </row>
    <row r="140" spans="2:12" x14ac:dyDescent="0.15">
      <c r="B140">
        <f t="shared" ca="1" si="18"/>
        <v>0.53704196914394675</v>
      </c>
      <c r="C140">
        <f t="shared" ca="1" si="18"/>
        <v>1.984841532247819</v>
      </c>
      <c r="D140">
        <f t="shared" ca="1" si="18"/>
        <v>-0.66354065902963177</v>
      </c>
      <c r="E140">
        <f t="shared" ca="1" si="19"/>
        <v>4.0758619718321738E-3</v>
      </c>
      <c r="F140">
        <f t="shared" ca="1" si="20"/>
        <v>2.1849766414044781E-2</v>
      </c>
      <c r="G140">
        <f t="shared" ref="G140:G203" ca="1" si="24">(D140/$R$3+($P$3-$N$3*$O$3)*C140+$O$3*B140*SQRT(1/(1-N134^2)))*$U$3*$C$5</f>
        <v>3.0288834997795949E-3</v>
      </c>
      <c r="H140">
        <f t="shared" ca="1" si="21"/>
        <v>4032.3686616788782</v>
      </c>
      <c r="I140">
        <f t="shared" ca="1" si="22"/>
        <v>555.88627292924025</v>
      </c>
      <c r="J140">
        <f t="shared" ca="1" si="23"/>
        <v>2242.7725835055071</v>
      </c>
      <c r="K140">
        <f t="array" aca="1" ref="K140:L140" ca="1">Opt3Spd(H140:J140,$E$3:$G$3,$K$3:$M$3,$N$3:$P$3,$H$3,$I$3,$Q$3,$J$3)</f>
        <v>196.60387495553164</v>
      </c>
      <c r="L140">
        <f ca="1"/>
        <v>3.9541716191479281E-2</v>
      </c>
    </row>
    <row r="141" spans="2:12" x14ac:dyDescent="0.15">
      <c r="B141">
        <f t="shared" ca="1" si="18"/>
        <v>1.3507958576813248</v>
      </c>
      <c r="C141">
        <f t="shared" ca="1" si="18"/>
        <v>-5.886000542810807E-2</v>
      </c>
      <c r="D141">
        <f t="shared" ca="1" si="18"/>
        <v>0.76697318703914696</v>
      </c>
      <c r="E141">
        <f t="shared" ca="1" si="19"/>
        <v>1.0251819754064733E-2</v>
      </c>
      <c r="F141">
        <f t="shared" ca="1" si="20"/>
        <v>1.6250888660838167E-2</v>
      </c>
      <c r="G141">
        <f t="shared" ca="1" si="24"/>
        <v>1.138062618597608E-2</v>
      </c>
      <c r="H141">
        <f t="shared" ca="1" si="21"/>
        <v>4057.1713081323237</v>
      </c>
      <c r="I141">
        <f t="shared" ca="1" si="22"/>
        <v>552.84048343149595</v>
      </c>
      <c r="J141">
        <f t="shared" ca="1" si="23"/>
        <v>2261.4470801518428</v>
      </c>
      <c r="K141">
        <f t="array" aca="1" ref="K141:L141" ca="1">Opt3Spd(H141:J141,$E$3:$G$3,$K$3:$M$3,$N$3:$P$3,$H$3,$I$3,$Q$3,$J$3)</f>
        <v>216.91751061106379</v>
      </c>
      <c r="L141">
        <f ca="1"/>
        <v>1.4516045055188442E-2</v>
      </c>
    </row>
    <row r="142" spans="2:12" x14ac:dyDescent="0.15">
      <c r="B142">
        <f t="shared" ca="1" si="18"/>
        <v>0.55410480520161687</v>
      </c>
      <c r="C142">
        <f t="shared" ca="1" si="18"/>
        <v>1.3087002651382897</v>
      </c>
      <c r="D142">
        <f t="shared" ca="1" si="18"/>
        <v>1.0935213727647342</v>
      </c>
      <c r="E142">
        <f t="shared" ca="1" si="19"/>
        <v>4.2053597925144591E-3</v>
      </c>
      <c r="F142">
        <f t="shared" ca="1" si="20"/>
        <v>1.6879582755550102E-2</v>
      </c>
      <c r="G142">
        <f t="shared" ca="1" si="24"/>
        <v>8.7240429646346738E-3</v>
      </c>
      <c r="H142">
        <f t="shared" ca="1" si="21"/>
        <v>4032.8887249267382</v>
      </c>
      <c r="I142">
        <f t="shared" ca="1" si="22"/>
        <v>553.18249301901926</v>
      </c>
      <c r="J142">
        <f t="shared" ca="1" si="23"/>
        <v>2255.506960068923</v>
      </c>
      <c r="K142">
        <f t="array" aca="1" ref="K142:L142" ca="1">Opt3Spd(H142:J142,$E$3:$G$3,$K$3:$M$3,$N$3:$P$3,$H$3,$I$3,$Q$3,$J$3)</f>
        <v>195.0862761750243</v>
      </c>
      <c r="L142">
        <f ca="1"/>
        <v>4.3020113178272368E-2</v>
      </c>
    </row>
    <row r="143" spans="2:12" x14ac:dyDescent="0.15">
      <c r="B143">
        <f t="shared" ca="1" si="18"/>
        <v>0.66901877104936447</v>
      </c>
      <c r="C143">
        <f t="shared" ca="1" si="18"/>
        <v>-0.70336357480699485</v>
      </c>
      <c r="D143">
        <f t="shared" ca="1" si="18"/>
        <v>-1.1112514212623612</v>
      </c>
      <c r="E143">
        <f t="shared" ca="1" si="19"/>
        <v>5.0774954734145016E-3</v>
      </c>
      <c r="F143">
        <f t="shared" ca="1" si="20"/>
        <v>2.8823292033482556E-3</v>
      </c>
      <c r="G143">
        <f t="shared" ca="1" si="24"/>
        <v>-3.1081744821060282E-4</v>
      </c>
      <c r="H143">
        <f t="shared" ca="1" si="21"/>
        <v>4036.3912218212326</v>
      </c>
      <c r="I143">
        <f t="shared" ca="1" si="22"/>
        <v>545.56798708662143</v>
      </c>
      <c r="J143">
        <f t="shared" ca="1" si="23"/>
        <v>2235.3050121858009</v>
      </c>
      <c r="K143">
        <f t="array" aca="1" ref="K143:L143" ca="1">Opt3Spd(H143:J143,$E$3:$G$3,$K$3:$M$3,$N$3:$P$3,$H$3,$I$3,$Q$3,$J$3)</f>
        <v>220.8413172298267</v>
      </c>
      <c r="L143">
        <f ca="1"/>
        <v>1.1380840088804689E-2</v>
      </c>
    </row>
    <row r="144" spans="2:12" x14ac:dyDescent="0.15">
      <c r="B144">
        <f t="shared" ca="1" si="18"/>
        <v>-0.65688475740460828</v>
      </c>
      <c r="C144">
        <f t="shared" ca="1" si="18"/>
        <v>-0.56508399757541417</v>
      </c>
      <c r="D144">
        <f t="shared" ca="1" si="18"/>
        <v>0.75744082106104393</v>
      </c>
      <c r="E144">
        <f t="shared" ca="1" si="19"/>
        <v>-4.9854047847497232E-3</v>
      </c>
      <c r="F144">
        <f t="shared" ca="1" si="20"/>
        <v>-1.2452199246099124E-2</v>
      </c>
      <c r="G144">
        <f t="shared" ca="1" si="24"/>
        <v>-2.0947154477372267E-3</v>
      </c>
      <c r="H144">
        <f t="shared" ca="1" si="21"/>
        <v>3995.9786143844449</v>
      </c>
      <c r="I144">
        <f t="shared" ca="1" si="22"/>
        <v>537.22600361012212</v>
      </c>
      <c r="J144">
        <f t="shared" ca="1" si="23"/>
        <v>2231.3162162588596</v>
      </c>
      <c r="K144">
        <f t="array" aca="1" ref="K144:L144" ca="1">Opt3Spd(H144:J144,$E$3:$G$3,$K$3:$M$3,$N$3:$P$3,$H$3,$I$3,$Q$3,$J$3)</f>
        <v>195.79893979209805</v>
      </c>
      <c r="L144">
        <f ca="1"/>
        <v>4.0039313278384725E-2</v>
      </c>
    </row>
    <row r="145" spans="2:12" x14ac:dyDescent="0.15">
      <c r="B145">
        <f t="shared" ca="1" si="18"/>
        <v>-1.1360192845214656</v>
      </c>
      <c r="C145">
        <f t="shared" ca="1" si="18"/>
        <v>0.35255037224798591</v>
      </c>
      <c r="D145">
        <f t="shared" ca="1" si="18"/>
        <v>-0.10618381618508169</v>
      </c>
      <c r="E145">
        <f t="shared" ca="1" si="19"/>
        <v>-8.6217801719104727E-3</v>
      </c>
      <c r="F145">
        <f t="shared" ca="1" si="20"/>
        <v>-1.1344782457293012E-2</v>
      </c>
      <c r="G145">
        <f t="shared" ca="1" si="24"/>
        <v>-7.3644259791926688E-3</v>
      </c>
      <c r="H145">
        <f t="shared" ca="1" si="21"/>
        <v>3981.3749308296074</v>
      </c>
      <c r="I145">
        <f t="shared" ca="1" si="22"/>
        <v>537.82843834323262</v>
      </c>
      <c r="J145">
        <f t="shared" ca="1" si="23"/>
        <v>2219.5331435105254</v>
      </c>
      <c r="K145">
        <f t="array" aca="1" ref="K145:L145" ca="1">Opt3Spd(H145:J145,$E$3:$G$3,$K$3:$M$3,$N$3:$P$3,$H$3,$I$3,$Q$3,$J$3)</f>
        <v>186.14576958078737</v>
      </c>
      <c r="L145">
        <f ca="1"/>
        <v>6.2911855615084278E-2</v>
      </c>
    </row>
    <row r="146" spans="2:12" x14ac:dyDescent="0.15">
      <c r="B146">
        <f t="shared" ca="1" si="18"/>
        <v>-2.3186512139146087</v>
      </c>
      <c r="C146">
        <f t="shared" ca="1" si="18"/>
        <v>-0.12047866064259553</v>
      </c>
      <c r="D146">
        <f t="shared" ca="1" si="18"/>
        <v>-0.37523451978259081</v>
      </c>
      <c r="E146">
        <f t="shared" ca="1" si="19"/>
        <v>-1.7597325445162706E-2</v>
      </c>
      <c r="F146">
        <f t="shared" ca="1" si="20"/>
        <v>-2.9592183818955203E-2</v>
      </c>
      <c r="G146">
        <f t="shared" ca="1" si="24"/>
        <v>-1.6406773224546121E-2</v>
      </c>
      <c r="H146">
        <f t="shared" ca="1" si="21"/>
        <v>3945.3291410122265</v>
      </c>
      <c r="I146">
        <f t="shared" ca="1" si="22"/>
        <v>527.90185200248834</v>
      </c>
      <c r="J146">
        <f t="shared" ca="1" si="23"/>
        <v>2199.3144550699149</v>
      </c>
      <c r="K146">
        <f t="array" aca="1" ref="K146:L146" ca="1">Opt3Spd(H146:J146,$E$3:$G$3,$K$3:$M$3,$N$3:$P$3,$H$3,$I$3,$Q$3,$J$3)</f>
        <v>176.12681767707454</v>
      </c>
      <c r="L146">
        <f ca="1"/>
        <v>9.7867403786722207E-2</v>
      </c>
    </row>
    <row r="147" spans="2:12" x14ac:dyDescent="0.15">
      <c r="B147">
        <f t="shared" ca="1" si="18"/>
        <v>-4.6654466156211334E-2</v>
      </c>
      <c r="C147">
        <f t="shared" ca="1" si="18"/>
        <v>0.33699579449840489</v>
      </c>
      <c r="D147">
        <f t="shared" ca="1" si="18"/>
        <v>0.32580671134825467</v>
      </c>
      <c r="E147">
        <f t="shared" ca="1" si="19"/>
        <v>-3.5408250257488517E-4</v>
      </c>
      <c r="F147">
        <f t="shared" ca="1" si="20"/>
        <v>2.0054828737147289E-3</v>
      </c>
      <c r="G147">
        <f t="shared" ca="1" si="24"/>
        <v>1.182071737703872E-3</v>
      </c>
      <c r="H147">
        <f t="shared" ca="1" si="21"/>
        <v>4014.5780046696595</v>
      </c>
      <c r="I147">
        <f t="shared" ca="1" si="22"/>
        <v>545.09098268330081</v>
      </c>
      <c r="J147">
        <f t="shared" ca="1" si="23"/>
        <v>2238.6431124055057</v>
      </c>
      <c r="K147">
        <f t="array" aca="1" ref="K147:L147" ca="1">Opt3Spd(H147:J147,$E$3:$G$3,$K$3:$M$3,$N$3:$P$3,$H$3,$I$3,$Q$3,$J$3)</f>
        <v>198.14705969451666</v>
      </c>
      <c r="L147">
        <f ca="1"/>
        <v>3.6183520891427179E-2</v>
      </c>
    </row>
    <row r="148" spans="2:12" x14ac:dyDescent="0.15">
      <c r="B148">
        <f t="shared" ca="1" si="18"/>
        <v>-0.34342784373163715</v>
      </c>
      <c r="C148">
        <f t="shared" ca="1" si="18"/>
        <v>-0.12316049670331972</v>
      </c>
      <c r="D148">
        <f t="shared" ca="1" si="18"/>
        <v>1.1588549066144489</v>
      </c>
      <c r="E148">
        <f t="shared" ca="1" si="19"/>
        <v>-2.6064340754696482E-3</v>
      </c>
      <c r="F148">
        <f t="shared" ca="1" si="20"/>
        <v>-5.1900737560195299E-3</v>
      </c>
      <c r="G148">
        <f t="shared" ca="1" si="24"/>
        <v>1.7804687020799273E-3</v>
      </c>
      <c r="H148">
        <f t="shared" ca="1" si="21"/>
        <v>4005.5325607529139</v>
      </c>
      <c r="I148">
        <f t="shared" ca="1" si="22"/>
        <v>541.17659987672539</v>
      </c>
      <c r="J148">
        <f t="shared" ca="1" si="23"/>
        <v>2239.9811280178506</v>
      </c>
      <c r="K148">
        <f t="array" aca="1" ref="K148:L148" ca="1">Opt3Spd(H148:J148,$E$3:$G$3,$K$3:$M$3,$N$3:$P$3,$H$3,$I$3,$Q$3,$J$3)</f>
        <v>194.70216390456085</v>
      </c>
      <c r="L148">
        <f ca="1"/>
        <v>4.2726963332825107E-2</v>
      </c>
    </row>
    <row r="149" spans="2:12" x14ac:dyDescent="0.15">
      <c r="B149">
        <f t="shared" ca="1" si="18"/>
        <v>0.81207905274400172</v>
      </c>
      <c r="C149">
        <f t="shared" ca="1" si="18"/>
        <v>0.61172904544845552</v>
      </c>
      <c r="D149">
        <f t="shared" ca="1" si="18"/>
        <v>-1.168702860177439</v>
      </c>
      <c r="E149">
        <f t="shared" ca="1" si="19"/>
        <v>6.1632466722793336E-3</v>
      </c>
      <c r="F149">
        <f t="shared" ca="1" si="20"/>
        <v>1.4728533170818717E-2</v>
      </c>
      <c r="G149">
        <f t="shared" ca="1" si="24"/>
        <v>1.6806185021943673E-3</v>
      </c>
      <c r="H149">
        <f t="shared" ca="1" si="21"/>
        <v>4040.751598635874</v>
      </c>
      <c r="I149">
        <f t="shared" ca="1" si="22"/>
        <v>552.01232204492533</v>
      </c>
      <c r="J149">
        <f t="shared" ca="1" si="23"/>
        <v>2239.7578629709069</v>
      </c>
      <c r="K149">
        <f t="array" aca="1" ref="K149:L149" ca="1">Opt3Spd(H149:J149,$E$3:$G$3,$K$3:$M$3,$N$3:$P$3,$H$3,$I$3,$Q$3,$J$3)</f>
        <v>212.67054884852791</v>
      </c>
      <c r="L149">
        <f ca="1"/>
        <v>1.7596969987835109E-2</v>
      </c>
    </row>
    <row r="150" spans="2:12" x14ac:dyDescent="0.15">
      <c r="B150">
        <f t="shared" ca="1" si="18"/>
        <v>1.1470434994009056</v>
      </c>
      <c r="C150">
        <f t="shared" ca="1" si="18"/>
        <v>1.9673739391132457</v>
      </c>
      <c r="D150">
        <f t="shared" ca="1" si="18"/>
        <v>1.0508017798724218</v>
      </c>
      <c r="E150">
        <f t="shared" ca="1" si="19"/>
        <v>8.7054480801524291E-3</v>
      </c>
      <c r="F150">
        <f t="shared" ca="1" si="20"/>
        <v>2.9258282544006638E-2</v>
      </c>
      <c r="G150">
        <f t="shared" ca="1" si="24"/>
        <v>1.3034790128072654E-2</v>
      </c>
      <c r="H150">
        <f t="shared" ca="1" si="21"/>
        <v>4050.9610794898927</v>
      </c>
      <c r="I150">
        <f t="shared" ca="1" si="22"/>
        <v>559.91650570393961</v>
      </c>
      <c r="J150">
        <f t="shared" ca="1" si="23"/>
        <v>2265.1457907263707</v>
      </c>
      <c r="K150">
        <f t="array" aca="1" ref="K150:L150" ca="1">Opt3Spd(H150:J150,$E$3:$G$3,$K$3:$M$3,$N$3:$P$3,$H$3,$I$3,$Q$3,$J$3)</f>
        <v>197.56054848386793</v>
      </c>
      <c r="L150">
        <f ca="1"/>
        <v>3.87734834641833E-2</v>
      </c>
    </row>
    <row r="151" spans="2:12" x14ac:dyDescent="0.15">
      <c r="B151">
        <f t="shared" ca="1" si="18"/>
        <v>0.57817422604262869</v>
      </c>
      <c r="C151">
        <f t="shared" ca="1" si="18"/>
        <v>-0.79708912121633146</v>
      </c>
      <c r="D151">
        <f t="shared" ca="1" si="18"/>
        <v>-0.42779251455386075</v>
      </c>
      <c r="E151">
        <f t="shared" ca="1" si="19"/>
        <v>4.3880338528793942E-3</v>
      </c>
      <c r="F151">
        <f t="shared" ca="1" si="20"/>
        <v>1.0408781618813845E-3</v>
      </c>
      <c r="G151">
        <f t="shared" ca="1" si="24"/>
        <v>1.4394209626041867E-3</v>
      </c>
      <c r="H151">
        <f t="shared" ca="1" si="21"/>
        <v>4033.6223439531636</v>
      </c>
      <c r="I151">
        <f t="shared" ca="1" si="22"/>
        <v>544.56623772006344</v>
      </c>
      <c r="J151">
        <f t="shared" ca="1" si="23"/>
        <v>2239.2185452723829</v>
      </c>
      <c r="K151">
        <f t="array" aca="1" ref="K151:L151" ca="1">Opt3Spd(H151:J151,$E$3:$G$3,$K$3:$M$3,$N$3:$P$3,$H$3,$I$3,$Q$3,$J$3)</f>
        <v>217.72054534895665</v>
      </c>
      <c r="L151">
        <f ca="1"/>
        <v>1.3454384085889615E-2</v>
      </c>
    </row>
    <row r="152" spans="2:12" x14ac:dyDescent="0.15">
      <c r="B152">
        <f t="shared" ca="1" si="18"/>
        <v>0.54142668899578994</v>
      </c>
      <c r="C152">
        <f t="shared" ca="1" si="18"/>
        <v>0.65443702113842184</v>
      </c>
      <c r="D152">
        <f t="shared" ca="1" si="18"/>
        <v>-0.78266811867174535</v>
      </c>
      <c r="E152">
        <f t="shared" ca="1" si="19"/>
        <v>4.1091396557527667E-3</v>
      </c>
      <c r="F152">
        <f t="shared" ca="1" si="20"/>
        <v>1.1709314548494828E-2</v>
      </c>
      <c r="G152">
        <f t="shared" ca="1" si="24"/>
        <v>1.3467705725155996E-3</v>
      </c>
      <c r="H152">
        <f t="shared" ca="1" si="21"/>
        <v>4032.5023048575026</v>
      </c>
      <c r="I152">
        <f t="shared" ca="1" si="22"/>
        <v>550.36986711438112</v>
      </c>
      <c r="J152">
        <f t="shared" ca="1" si="23"/>
        <v>2239.0113790001451</v>
      </c>
      <c r="K152">
        <f t="array" aca="1" ref="K152:L152" ca="1">Opt3Spd(H152:J152,$E$3:$G$3,$K$3:$M$3,$N$3:$P$3,$H$3,$I$3,$Q$3,$J$3)</f>
        <v>207.42774827198423</v>
      </c>
      <c r="L152">
        <f ca="1"/>
        <v>2.2920297564041903E-2</v>
      </c>
    </row>
    <row r="153" spans="2:12" x14ac:dyDescent="0.15">
      <c r="B153">
        <f t="shared" ca="1" si="18"/>
        <v>1.1606637245926856</v>
      </c>
      <c r="C153">
        <f t="shared" ca="1" si="18"/>
        <v>0.28194749616141729</v>
      </c>
      <c r="D153">
        <f t="shared" ca="1" si="18"/>
        <v>-1.53127240836033</v>
      </c>
      <c r="E153">
        <f t="shared" ca="1" si="19"/>
        <v>8.8088183213934582E-3</v>
      </c>
      <c r="F153">
        <f t="shared" ca="1" si="20"/>
        <v>1.6511549583437556E-2</v>
      </c>
      <c r="G153">
        <f t="shared" ca="1" si="24"/>
        <v>2.3227479537122507E-3</v>
      </c>
      <c r="H153">
        <f t="shared" ca="1" si="21"/>
        <v>4051.3762143787162</v>
      </c>
      <c r="I153">
        <f t="shared" ca="1" si="22"/>
        <v>552.98228297339006</v>
      </c>
      <c r="J153">
        <f t="shared" ca="1" si="23"/>
        <v>2241.1936644245006</v>
      </c>
      <c r="K153">
        <f t="array" aca="1" ref="K153:L153" ca="1">Opt3Spd(H153:J153,$E$3:$G$3,$K$3:$M$3,$N$3:$P$3,$H$3,$I$3,$Q$3,$J$3)</f>
        <v>221.01916563393979</v>
      </c>
      <c r="L153">
        <f ca="1"/>
        <v>1.1436224897806824E-2</v>
      </c>
    </row>
    <row r="154" spans="2:12" x14ac:dyDescent="0.15">
      <c r="B154">
        <f t="shared" ca="1" si="18"/>
        <v>0.92898045206719182</v>
      </c>
      <c r="C154">
        <f t="shared" ca="1" si="18"/>
        <v>-1.2567406500967992</v>
      </c>
      <c r="D154">
        <f t="shared" ca="1" si="18"/>
        <v>1.4287358435966815</v>
      </c>
      <c r="E154">
        <f t="shared" ca="1" si="19"/>
        <v>7.0504659127324865E-3</v>
      </c>
      <c r="F154">
        <f t="shared" ca="1" si="20"/>
        <v>1.8561911095556058E-3</v>
      </c>
      <c r="G154">
        <f t="shared" ca="1" si="24"/>
        <v>9.8502690613859294E-3</v>
      </c>
      <c r="H154">
        <f t="shared" ca="1" si="21"/>
        <v>4044.3146711055333</v>
      </c>
      <c r="I154">
        <f t="shared" ca="1" si="22"/>
        <v>545.00976796359828</v>
      </c>
      <c r="J154">
        <f t="shared" ca="1" si="23"/>
        <v>2258.0252016212589</v>
      </c>
      <c r="K154">
        <f t="array" aca="1" ref="K154:L154" ca="1">Opt3Spd(H154:J154,$E$3:$G$3,$K$3:$M$3,$N$3:$P$3,$H$3,$I$3,$Q$3,$J$3)</f>
        <v>218.29980018080528</v>
      </c>
      <c r="L154">
        <f ca="1"/>
        <v>1.3358627658590194E-2</v>
      </c>
    </row>
    <row r="155" spans="2:12" x14ac:dyDescent="0.15">
      <c r="B155">
        <f t="shared" ca="1" si="18"/>
        <v>0.90175753669119985</v>
      </c>
      <c r="C155">
        <f t="shared" ca="1" si="18"/>
        <v>0.45474653602624926</v>
      </c>
      <c r="D155">
        <f t="shared" ca="1" si="18"/>
        <v>-0.978242971753013</v>
      </c>
      <c r="E155">
        <f t="shared" ca="1" si="19"/>
        <v>6.8438585116009174E-3</v>
      </c>
      <c r="F155">
        <f t="shared" ca="1" si="20"/>
        <v>1.4634432636946176E-2</v>
      </c>
      <c r="G155">
        <f t="shared" ca="1" si="24"/>
        <v>2.783559863179479E-3</v>
      </c>
      <c r="H155">
        <f t="shared" ca="1" si="21"/>
        <v>4043.4849357825892</v>
      </c>
      <c r="I155">
        <f t="shared" ca="1" si="22"/>
        <v>551.96113135449866</v>
      </c>
      <c r="J155">
        <f t="shared" ca="1" si="23"/>
        <v>2242.2240398540694</v>
      </c>
      <c r="K155">
        <f t="array" aca="1" ref="K155:L155" ca="1">Opt3Spd(H155:J155,$E$3:$G$3,$K$3:$M$3,$N$3:$P$3,$H$3,$I$3,$Q$3,$J$3)</f>
        <v>214.25137567869501</v>
      </c>
      <c r="L155">
        <f ca="1"/>
        <v>1.6269990338514617E-2</v>
      </c>
    </row>
    <row r="156" spans="2:12" x14ac:dyDescent="0.15">
      <c r="B156">
        <f t="shared" ca="1" si="18"/>
        <v>0.18223339850257284</v>
      </c>
      <c r="C156">
        <f t="shared" ca="1" si="18"/>
        <v>0.24574669627256404</v>
      </c>
      <c r="D156">
        <f t="shared" ca="1" si="18"/>
        <v>-1.07222550962109</v>
      </c>
      <c r="E156">
        <f t="shared" ca="1" si="19"/>
        <v>1.383054252050995E-3</v>
      </c>
      <c r="F156">
        <f t="shared" ca="1" si="20"/>
        <v>4.1363416257619483E-3</v>
      </c>
      <c r="G156">
        <f t="shared" ca="1" si="24"/>
        <v>-2.3940976033307256E-3</v>
      </c>
      <c r="H156">
        <f t="shared" ca="1" si="21"/>
        <v>4021.5543458762368</v>
      </c>
      <c r="I156">
        <f t="shared" ca="1" si="22"/>
        <v>546.25016984441459</v>
      </c>
      <c r="J156">
        <f t="shared" ca="1" si="23"/>
        <v>2230.6467977589523</v>
      </c>
      <c r="K156">
        <f t="array" aca="1" ref="K156:L156" ca="1">Opt3Spd(H156:J156,$E$3:$G$3,$K$3:$M$3,$N$3:$P$3,$H$3,$I$3,$Q$3,$J$3)</f>
        <v>207.25350105609618</v>
      </c>
      <c r="L156">
        <f ca="1"/>
        <v>2.2825810398899193E-2</v>
      </c>
    </row>
    <row r="157" spans="2:12" x14ac:dyDescent="0.15">
      <c r="B157">
        <f t="shared" ca="1" si="18"/>
        <v>0.46356068800809963</v>
      </c>
      <c r="C157">
        <f t="shared" ca="1" si="18"/>
        <v>-0.19866353828902469</v>
      </c>
      <c r="D157">
        <f t="shared" ca="1" si="18"/>
        <v>0.51771162639665957</v>
      </c>
      <c r="E157">
        <f t="shared" ca="1" si="19"/>
        <v>3.5181782587687138E-3</v>
      </c>
      <c r="F157">
        <f t="shared" ca="1" si="20"/>
        <v>4.2093733537394255E-3</v>
      </c>
      <c r="G157">
        <f t="shared" ca="1" si="24"/>
        <v>4.6366167329025812E-3</v>
      </c>
      <c r="H157">
        <f t="shared" ca="1" si="21"/>
        <v>4030.1290038872153</v>
      </c>
      <c r="I157">
        <f t="shared" ca="1" si="22"/>
        <v>546.2898991044342</v>
      </c>
      <c r="J157">
        <f t="shared" ca="1" si="23"/>
        <v>2246.3674750147702</v>
      </c>
      <c r="K157">
        <f t="array" aca="1" ref="K157:L157" ca="1">Opt3Spd(H157:J157,$E$3:$G$3,$K$3:$M$3,$N$3:$P$3,$H$3,$I$3,$Q$3,$J$3)</f>
        <v>207.90390943055877</v>
      </c>
      <c r="L157">
        <f ca="1"/>
        <v>2.248161782358693E-2</v>
      </c>
    </row>
    <row r="158" spans="2:12" x14ac:dyDescent="0.15">
      <c r="B158">
        <f t="shared" ca="1" si="18"/>
        <v>-0.53192320135711424</v>
      </c>
      <c r="C158">
        <f t="shared" ca="1" si="18"/>
        <v>0.89914690301657241</v>
      </c>
      <c r="D158">
        <f t="shared" ca="1" si="18"/>
        <v>0.59075464200342631</v>
      </c>
      <c r="E158">
        <f t="shared" ca="1" si="19"/>
        <v>-4.0370132557844378E-3</v>
      </c>
      <c r="F158">
        <f t="shared" ca="1" si="20"/>
        <v>3.1304456866978797E-4</v>
      </c>
      <c r="G158">
        <f t="shared" ca="1" si="24"/>
        <v>-4.6361506339126274E-4</v>
      </c>
      <c r="H158">
        <f t="shared" ca="1" si="21"/>
        <v>3999.7873547647696</v>
      </c>
      <c r="I158">
        <f t="shared" ca="1" si="22"/>
        <v>544.17029624535644</v>
      </c>
      <c r="J158">
        <f t="shared" ca="1" si="23"/>
        <v>2234.9633567182573</v>
      </c>
      <c r="K158">
        <f t="array" aca="1" ref="K158:L158" ca="1">Opt3Spd(H158:J158,$E$3:$G$3,$K$3:$M$3,$N$3:$P$3,$H$3,$I$3,$Q$3,$J$3)</f>
        <v>186.69569081778263</v>
      </c>
      <c r="L158">
        <f ca="1"/>
        <v>6.2488404711984913E-2</v>
      </c>
    </row>
    <row r="159" spans="2:12" x14ac:dyDescent="0.15">
      <c r="B159">
        <f t="shared" ca="1" si="18"/>
        <v>1.1706188155122308</v>
      </c>
      <c r="C159">
        <f t="shared" ca="1" si="18"/>
        <v>0.53576733040372881</v>
      </c>
      <c r="D159">
        <f t="shared" ca="1" si="18"/>
        <v>0.82719218132095595</v>
      </c>
      <c r="E159">
        <f t="shared" ca="1" si="19"/>
        <v>8.8843721492810335E-3</v>
      </c>
      <c r="F159">
        <f t="shared" ca="1" si="20"/>
        <v>1.8579618204498483E-2</v>
      </c>
      <c r="G159">
        <f t="shared" ca="1" si="24"/>
        <v>1.1007529744631124E-2</v>
      </c>
      <c r="H159">
        <f t="shared" ca="1" si="21"/>
        <v>4051.6796385515127</v>
      </c>
      <c r="I159">
        <f t="shared" ca="1" si="22"/>
        <v>554.10731230324711</v>
      </c>
      <c r="J159">
        <f t="shared" ca="1" si="23"/>
        <v>2260.6128365089949</v>
      </c>
      <c r="K159">
        <f t="array" aca="1" ref="K159:L159" ca="1">Opt3Spd(H159:J159,$E$3:$G$3,$K$3:$M$3,$N$3:$P$3,$H$3,$I$3,$Q$3,$J$3)</f>
        <v>209.8224005640468</v>
      </c>
      <c r="L159">
        <f ca="1"/>
        <v>2.0879952226778187E-2</v>
      </c>
    </row>
    <row r="160" spans="2:12" x14ac:dyDescent="0.15">
      <c r="B160">
        <f t="shared" ca="1" si="18"/>
        <v>-0.98906845415853106</v>
      </c>
      <c r="C160">
        <f t="shared" ca="1" si="18"/>
        <v>1.027711057747813</v>
      </c>
      <c r="D160">
        <f t="shared" ca="1" si="18"/>
        <v>-0.45485866240510392</v>
      </c>
      <c r="E160">
        <f t="shared" ca="1" si="19"/>
        <v>-7.5065017847107092E-3</v>
      </c>
      <c r="F160">
        <f t="shared" ca="1" si="20"/>
        <v>-4.3541649259618469E-3</v>
      </c>
      <c r="G160">
        <f t="shared" ca="1" si="24"/>
        <v>-7.0012661098585024E-3</v>
      </c>
      <c r="H160">
        <f t="shared" ca="1" si="21"/>
        <v>3985.853888832602</v>
      </c>
      <c r="I160">
        <f t="shared" ca="1" si="22"/>
        <v>541.63133428027675</v>
      </c>
      <c r="J160">
        <f t="shared" ca="1" si="23"/>
        <v>2220.3451689783565</v>
      </c>
      <c r="K160">
        <f t="array" aca="1" ref="K160:L160" ca="1">Opt3Spd(H160:J160,$E$3:$G$3,$K$3:$M$3,$N$3:$P$3,$H$3,$I$3,$Q$3,$J$3)</f>
        <v>184.14054401769727</v>
      </c>
      <c r="L160">
        <f ca="1"/>
        <v>6.9374522716088904E-2</v>
      </c>
    </row>
    <row r="161" spans="2:12" x14ac:dyDescent="0.15">
      <c r="B161">
        <f t="shared" ca="1" si="18"/>
        <v>-1.6929806140654313</v>
      </c>
      <c r="C161">
        <f t="shared" ca="1" si="18"/>
        <v>-0.35648943280155732</v>
      </c>
      <c r="D161">
        <f t="shared" ca="1" si="18"/>
        <v>-0.57466021670101175</v>
      </c>
      <c r="E161">
        <f t="shared" ca="1" si="19"/>
        <v>-1.284881945989742E-2</v>
      </c>
      <c r="F161">
        <f t="shared" ca="1" si="20"/>
        <v>-2.3664587136929115E-2</v>
      </c>
      <c r="G161">
        <f t="shared" ca="1" si="24"/>
        <v>-1.3307084868838741E-2</v>
      </c>
      <c r="H161">
        <f t="shared" ca="1" si="21"/>
        <v>3964.3991410490517</v>
      </c>
      <c r="I161">
        <f t="shared" ca="1" si="22"/>
        <v>531.12646459751056</v>
      </c>
      <c r="J161">
        <f t="shared" ca="1" si="23"/>
        <v>2206.2453582332769</v>
      </c>
      <c r="K161">
        <f t="array" aca="1" ref="K161:L161" ca="1">Opt3Spd(H161:J161,$E$3:$G$3,$K$3:$M$3,$N$3:$P$3,$H$3,$I$3,$Q$3,$J$3)</f>
        <v>186.53484239042768</v>
      </c>
      <c r="L161">
        <f ca="1"/>
        <v>6.0723814031462098E-2</v>
      </c>
    </row>
    <row r="162" spans="2:12" x14ac:dyDescent="0.15">
      <c r="B162">
        <f t="shared" ca="1" si="18"/>
        <v>1.4079368870209612</v>
      </c>
      <c r="C162">
        <f t="shared" ca="1" si="18"/>
        <v>0.71915390575533</v>
      </c>
      <c r="D162">
        <f t="shared" ca="1" si="18"/>
        <v>-0.51962656749075653</v>
      </c>
      <c r="E162">
        <f t="shared" ca="1" si="19"/>
        <v>1.0685489675408152E-2</v>
      </c>
      <c r="F162">
        <f t="shared" ca="1" si="20"/>
        <v>2.2919199427470616E-2</v>
      </c>
      <c r="G162">
        <f t="shared" ca="1" si="24"/>
        <v>7.9333571493924726E-3</v>
      </c>
      <c r="H162">
        <f t="shared" ca="1" si="21"/>
        <v>4058.9129265364386</v>
      </c>
      <c r="I162">
        <f t="shared" ca="1" si="22"/>
        <v>556.46804448854402</v>
      </c>
      <c r="J162">
        <f t="shared" ca="1" si="23"/>
        <v>2253.7389865860414</v>
      </c>
      <c r="K162">
        <f t="array" aca="1" ref="K162:L162" ca="1">Opt3Spd(H162:J162,$E$3:$G$3,$K$3:$M$3,$N$3:$P$3,$H$3,$I$3,$Q$3,$J$3)</f>
        <v>216.70915334108668</v>
      </c>
      <c r="L162">
        <f ca="1"/>
        <v>1.459127933912896E-2</v>
      </c>
    </row>
    <row r="163" spans="2:12" x14ac:dyDescent="0.15">
      <c r="B163">
        <f t="shared" ca="1" si="18"/>
        <v>0.37324251489419269</v>
      </c>
      <c r="C163">
        <f t="shared" ca="1" si="18"/>
        <v>-0.63716266093575791</v>
      </c>
      <c r="D163">
        <f t="shared" ca="1" si="18"/>
        <v>0.197082240819068</v>
      </c>
      <c r="E163">
        <f t="shared" ca="1" si="19"/>
        <v>2.8327115200199259E-3</v>
      </c>
      <c r="F163">
        <f t="shared" ca="1" si="20"/>
        <v>-2.6751148135504746E-4</v>
      </c>
      <c r="G163">
        <f t="shared" ca="1" si="24"/>
        <v>2.4910925153752844E-3</v>
      </c>
      <c r="H163">
        <f t="shared" ca="1" si="21"/>
        <v>4027.3761694643999</v>
      </c>
      <c r="I163">
        <f t="shared" ca="1" si="22"/>
        <v>543.85447375414287</v>
      </c>
      <c r="J163">
        <f t="shared" ca="1" si="23"/>
        <v>2241.5700828643794</v>
      </c>
      <c r="K163">
        <f t="array" aca="1" ref="K163:L163" ca="1">Opt3Spd(H163:J163,$E$3:$G$3,$K$3:$M$3,$N$3:$P$3,$H$3,$I$3,$Q$3,$J$3)</f>
        <v>211.44261308048544</v>
      </c>
      <c r="L163">
        <f ca="1"/>
        <v>1.8643054903805023E-2</v>
      </c>
    </row>
    <row r="164" spans="2:12" x14ac:dyDescent="0.15">
      <c r="B164">
        <f t="shared" ca="1" si="18"/>
        <v>-0.35764635715765591</v>
      </c>
      <c r="C164">
        <f t="shared" ca="1" si="18"/>
        <v>-0.59122025825783975</v>
      </c>
      <c r="D164">
        <f t="shared" ca="1" si="18"/>
        <v>0.89186844298069468</v>
      </c>
      <c r="E164">
        <f t="shared" ca="1" si="19"/>
        <v>-2.7143450051526161E-3</v>
      </c>
      <c r="F164">
        <f t="shared" ca="1" si="20"/>
        <v>-8.9525421396783704E-3</v>
      </c>
      <c r="G164">
        <f t="shared" ca="1" si="24"/>
        <v>2.8774935230203857E-4</v>
      </c>
      <c r="H164">
        <f t="shared" ca="1" si="21"/>
        <v>4005.099190459307</v>
      </c>
      <c r="I164">
        <f t="shared" ca="1" si="22"/>
        <v>539.129817076015</v>
      </c>
      <c r="J164">
        <f t="shared" ca="1" si="23"/>
        <v>2236.6434075517477</v>
      </c>
      <c r="K164">
        <f t="array" aca="1" ref="K164:L164" ca="1">Opt3Spd(H164:J164,$E$3:$G$3,$K$3:$M$3,$N$3:$P$3,$H$3,$I$3,$Q$3,$J$3)</f>
        <v>199.20390640786354</v>
      </c>
      <c r="L164">
        <f ca="1"/>
        <v>3.4127046054663879E-2</v>
      </c>
    </row>
    <row r="165" spans="2:12" x14ac:dyDescent="0.15">
      <c r="B165">
        <f t="shared" ca="1" si="18"/>
        <v>0.54368661646954475</v>
      </c>
      <c r="C165">
        <f t="shared" ca="1" si="18"/>
        <v>-6.7622784059695101E-2</v>
      </c>
      <c r="D165">
        <f t="shared" ca="1" si="18"/>
        <v>-1.2670397174718417</v>
      </c>
      <c r="E165">
        <f t="shared" ca="1" si="19"/>
        <v>4.12629129934602E-3</v>
      </c>
      <c r="F165">
        <f t="shared" ca="1" si="20"/>
        <v>6.2042341829033811E-3</v>
      </c>
      <c r="G165">
        <f t="shared" ca="1" si="24"/>
        <v>-1.0573690563226918E-3</v>
      </c>
      <c r="H165">
        <f t="shared" ca="1" si="21"/>
        <v>4032.5711858581735</v>
      </c>
      <c r="I165">
        <f t="shared" ca="1" si="22"/>
        <v>547.37510339549942</v>
      </c>
      <c r="J165">
        <f t="shared" ca="1" si="23"/>
        <v>2233.6357227900626</v>
      </c>
      <c r="K165">
        <f t="array" aca="1" ref="K165:L165" ca="1">Opt3Spd(H165:J165,$E$3:$G$3,$K$3:$M$3,$N$3:$P$3,$H$3,$I$3,$Q$3,$J$3)</f>
        <v>214.96861492995686</v>
      </c>
      <c r="L165">
        <f ca="1"/>
        <v>1.5455899613698421E-2</v>
      </c>
    </row>
    <row r="166" spans="2:12" x14ac:dyDescent="0.15">
      <c r="B166">
        <f t="shared" ca="1" si="18"/>
        <v>0.91982591272387015</v>
      </c>
      <c r="C166">
        <f t="shared" ca="1" si="18"/>
        <v>0.7654794020820147</v>
      </c>
      <c r="D166">
        <f t="shared" ca="1" si="18"/>
        <v>0.20190256053370514</v>
      </c>
      <c r="E166">
        <f t="shared" ca="1" si="19"/>
        <v>6.9809878441216416E-3</v>
      </c>
      <c r="F166">
        <f t="shared" ca="1" si="20"/>
        <v>1.7238933040350859E-2</v>
      </c>
      <c r="G166">
        <f t="shared" ca="1" si="24"/>
        <v>7.3915207938351889E-3</v>
      </c>
      <c r="H166">
        <f t="shared" ca="1" si="21"/>
        <v>4044.0356471819923</v>
      </c>
      <c r="I166">
        <f t="shared" ca="1" si="22"/>
        <v>553.37797957395082</v>
      </c>
      <c r="J166">
        <f t="shared" ca="1" si="23"/>
        <v>2252.5274404950151</v>
      </c>
      <c r="K166">
        <f t="array" aca="1" ref="K166:L166" ca="1">Opt3Spd(H166:J166,$E$3:$G$3,$K$3:$M$3,$N$3:$P$3,$H$3,$I$3,$Q$3,$J$3)</f>
        <v>207.39053649624248</v>
      </c>
      <c r="L166">
        <f ca="1"/>
        <v>2.3376880079013063E-2</v>
      </c>
    </row>
    <row r="167" spans="2:12" x14ac:dyDescent="0.15">
      <c r="B167">
        <f t="shared" ca="1" si="18"/>
        <v>1.3013982268298407</v>
      </c>
      <c r="C167">
        <f t="shared" ca="1" si="18"/>
        <v>-0.9256180111562704</v>
      </c>
      <c r="D167">
        <f t="shared" ca="1" si="18"/>
        <v>0.13778828860731712</v>
      </c>
      <c r="E167">
        <f t="shared" ca="1" si="19"/>
        <v>9.8769180952481914E-3</v>
      </c>
      <c r="F167">
        <f t="shared" ca="1" si="20"/>
        <v>8.9982900678476033E-3</v>
      </c>
      <c r="G167">
        <f t="shared" ca="1" si="24"/>
        <v>7.9889883768180566E-3</v>
      </c>
      <c r="H167">
        <f t="shared" ca="1" si="21"/>
        <v>4055.6657030705169</v>
      </c>
      <c r="I167">
        <f t="shared" ca="1" si="22"/>
        <v>548.89506979690907</v>
      </c>
      <c r="J167">
        <f t="shared" ca="1" si="23"/>
        <v>2253.8633780105652</v>
      </c>
      <c r="K167">
        <f t="array" aca="1" ref="K167:L167" ca="1">Opt3Spd(H167:J167,$E$3:$G$3,$K$3:$M$3,$N$3:$P$3,$H$3,$I$3,$Q$3,$J$3)</f>
        <v>225.51102674795538</v>
      </c>
      <c r="L167">
        <f ca="1"/>
        <v>9.1243577758177707E-3</v>
      </c>
    </row>
    <row r="168" spans="2:12" x14ac:dyDescent="0.15">
      <c r="B168">
        <f t="shared" ca="1" si="18"/>
        <v>0.32316819868314817</v>
      </c>
      <c r="C168">
        <f t="shared" ca="1" si="18"/>
        <v>-1.1673024275465158</v>
      </c>
      <c r="D168">
        <f t="shared" ca="1" si="18"/>
        <v>0.23774939031136091</v>
      </c>
      <c r="E168">
        <f t="shared" ca="1" si="19"/>
        <v>2.4526741804141816E-3</v>
      </c>
      <c r="F168">
        <f t="shared" ca="1" si="20"/>
        <v>-4.9490278137350819E-3</v>
      </c>
      <c r="G168">
        <f t="shared" ca="1" si="24"/>
        <v>1.7994771246216345E-3</v>
      </c>
      <c r="H168">
        <f t="shared" ca="1" si="21"/>
        <v>4025.8499395085437</v>
      </c>
      <c r="I168">
        <f t="shared" ca="1" si="22"/>
        <v>541.30772886932812</v>
      </c>
      <c r="J168">
        <f t="shared" ca="1" si="23"/>
        <v>2240.0236308506542</v>
      </c>
      <c r="K168">
        <f t="array" aca="1" ref="K168:L168" ca="1">Opt3Spd(H168:J168,$E$3:$G$3,$K$3:$M$3,$N$3:$P$3,$H$3,$I$3,$Q$3,$J$3)</f>
        <v>214.76141725152934</v>
      </c>
      <c r="L168">
        <f ca="1"/>
        <v>1.5659359237815806E-2</v>
      </c>
    </row>
    <row r="169" spans="2:12" x14ac:dyDescent="0.15">
      <c r="B169">
        <f t="shared" ca="1" si="18"/>
        <v>-0.1717845855456917</v>
      </c>
      <c r="C169">
        <f t="shared" ca="1" si="18"/>
        <v>-0.2943305859496077</v>
      </c>
      <c r="D169">
        <f t="shared" ca="1" si="18"/>
        <v>-1.3144286639043825</v>
      </c>
      <c r="E169">
        <f t="shared" ca="1" si="19"/>
        <v>-1.3037533373578194E-3</v>
      </c>
      <c r="F169">
        <f t="shared" ca="1" si="20"/>
        <v>-4.3794374216050338E-3</v>
      </c>
      <c r="G169">
        <f t="shared" ca="1" si="24"/>
        <v>-6.0605613885597884E-3</v>
      </c>
      <c r="H169">
        <f t="shared" ca="1" si="21"/>
        <v>4010.7641265971711</v>
      </c>
      <c r="I169">
        <f t="shared" ca="1" si="22"/>
        <v>541.61758604264685</v>
      </c>
      <c r="J169">
        <f t="shared" ca="1" si="23"/>
        <v>2222.4485847351802</v>
      </c>
      <c r="K169">
        <f t="array" aca="1" ref="K169:L169" ca="1">Opt3Spd(H169:J169,$E$3:$G$3,$K$3:$M$3,$N$3:$P$3,$H$3,$I$3,$Q$3,$J$3)</f>
        <v>207.97342207464044</v>
      </c>
      <c r="L169">
        <f ca="1"/>
        <v>2.1725513294541088E-2</v>
      </c>
    </row>
    <row r="170" spans="2:12" x14ac:dyDescent="0.15">
      <c r="B170">
        <f t="shared" ref="B170:D201" ca="1" si="25">NORMINV(RAND(),0,1)</f>
        <v>-0.51495373738354289</v>
      </c>
      <c r="C170">
        <f t="shared" ca="1" si="25"/>
        <v>-1.3346960997316444E-2</v>
      </c>
      <c r="D170">
        <f t="shared" ca="1" si="25"/>
        <v>0.63452007509440378</v>
      </c>
      <c r="E170">
        <f t="shared" ca="1" si="19"/>
        <v>-3.9082240793956611E-3</v>
      </c>
      <c r="F170">
        <f t="shared" ca="1" si="20"/>
        <v>-6.4694239208471314E-3</v>
      </c>
      <c r="G170">
        <f t="shared" ca="1" si="24"/>
        <v>-1.0817134594022664E-3</v>
      </c>
      <c r="H170">
        <f t="shared" ca="1" si="21"/>
        <v>4000.3045720971472</v>
      </c>
      <c r="I170">
        <f t="shared" ca="1" si="22"/>
        <v>540.48063338705913</v>
      </c>
      <c r="J170">
        <f t="shared" ca="1" si="23"/>
        <v>2233.5812887047769</v>
      </c>
      <c r="K170">
        <f t="array" aca="1" ref="K170:L170" ca="1">Opt3Spd(H170:J170,$E$3:$G$3,$K$3:$M$3,$N$3:$P$3,$H$3,$I$3,$Q$3,$J$3)</f>
        <v>193.78925969216289</v>
      </c>
      <c r="L170">
        <f ca="1"/>
        <v>4.4345366698962607E-2</v>
      </c>
    </row>
    <row r="171" spans="2:12" x14ac:dyDescent="0.15">
      <c r="B171">
        <f t="shared" ca="1" si="25"/>
        <v>0.36766435137967091</v>
      </c>
      <c r="C171">
        <f t="shared" ca="1" si="25"/>
        <v>3.6636216288791252</v>
      </c>
      <c r="D171">
        <f t="shared" ca="1" si="25"/>
        <v>1.5049335144697717</v>
      </c>
      <c r="E171">
        <f t="shared" ca="1" si="19"/>
        <v>2.7903762355397533E-3</v>
      </c>
      <c r="F171">
        <f t="shared" ca="1" si="20"/>
        <v>3.2619706376168803E-2</v>
      </c>
      <c r="G171">
        <f t="shared" ca="1" si="24"/>
        <v>1.1260994970896535E-2</v>
      </c>
      <c r="H171">
        <f t="shared" ca="1" si="21"/>
        <v>4027.2061509619275</v>
      </c>
      <c r="I171">
        <f t="shared" ca="1" si="22"/>
        <v>561.7451202686359</v>
      </c>
      <c r="J171">
        <f t="shared" ca="1" si="23"/>
        <v>2261.1795847549247</v>
      </c>
      <c r="K171">
        <f t="array" aca="1" ref="K171:L171" ca="1">Opt3Spd(H171:J171,$E$3:$G$3,$K$3:$M$3,$N$3:$P$3,$H$3,$I$3,$Q$3,$J$3)</f>
        <v>172.94629191649051</v>
      </c>
      <c r="L171">
        <f ca="1"/>
        <v>0.12212576184288082</v>
      </c>
    </row>
    <row r="172" spans="2:12" x14ac:dyDescent="0.15">
      <c r="B172">
        <f t="shared" ca="1" si="25"/>
        <v>-0.39158332947174995</v>
      </c>
      <c r="C172">
        <f t="shared" ca="1" si="25"/>
        <v>-0.68901854176166455</v>
      </c>
      <c r="D172">
        <f t="shared" ca="1" si="25"/>
        <v>-9.6217709260691467E-2</v>
      </c>
      <c r="E172">
        <f t="shared" ca="1" si="19"/>
        <v>-2.9719085157188857E-3</v>
      </c>
      <c r="F172">
        <f t="shared" ca="1" si="20"/>
        <v>-1.0121567878648232E-2</v>
      </c>
      <c r="G172">
        <f t="shared" ca="1" si="24"/>
        <v>-3.5345266582370509E-3</v>
      </c>
      <c r="H172">
        <f t="shared" ca="1" si="21"/>
        <v>4004.0648154008727</v>
      </c>
      <c r="I172">
        <f t="shared" ca="1" si="22"/>
        <v>538.49386707401538</v>
      </c>
      <c r="J172">
        <f t="shared" ca="1" si="23"/>
        <v>2228.0967983921819</v>
      </c>
      <c r="K172">
        <f t="array" aca="1" ref="K172:L172" ca="1">Opt3Spd(H172:J172,$E$3:$G$3,$K$3:$M$3,$N$3:$P$3,$H$3,$I$3,$Q$3,$J$3)</f>
        <v>203.45360887557104</v>
      </c>
      <c r="L172">
        <f ca="1"/>
        <v>2.7379989214068701E-2</v>
      </c>
    </row>
    <row r="173" spans="2:12" x14ac:dyDescent="0.15">
      <c r="B173">
        <f t="shared" ca="1" si="25"/>
        <v>0.52794631230760536</v>
      </c>
      <c r="C173">
        <f t="shared" ca="1" si="25"/>
        <v>-1.1772815119761622</v>
      </c>
      <c r="D173">
        <f t="shared" ca="1" si="25"/>
        <v>0.20391828888065697</v>
      </c>
      <c r="E173">
        <f t="shared" ca="1" si="19"/>
        <v>4.0068307900286851E-3</v>
      </c>
      <c r="F173">
        <f t="shared" ca="1" si="20"/>
        <v>-2.4935157218070212E-3</v>
      </c>
      <c r="G173">
        <f t="shared" ca="1" si="24"/>
        <v>2.990719057855092E-3</v>
      </c>
      <c r="H173">
        <f t="shared" ca="1" si="21"/>
        <v>4032.0914324527553</v>
      </c>
      <c r="I173">
        <f t="shared" ca="1" si="22"/>
        <v>542.64352744733696</v>
      </c>
      <c r="J173">
        <f t="shared" ca="1" si="23"/>
        <v>2242.6872478133641</v>
      </c>
      <c r="K173">
        <f t="array" aca="1" ref="K173:L173" ca="1">Opt3Spd(H173:J173,$E$3:$G$3,$K$3:$M$3,$N$3:$P$3,$H$3,$I$3,$Q$3,$J$3)</f>
        <v>217.53178633157472</v>
      </c>
      <c r="L173">
        <f ca="1"/>
        <v>1.362170124093609E-2</v>
      </c>
    </row>
    <row r="174" spans="2:12" x14ac:dyDescent="0.15">
      <c r="B174">
        <f t="shared" ca="1" si="25"/>
        <v>0.25468456349951263</v>
      </c>
      <c r="C174">
        <f t="shared" ca="1" si="25"/>
        <v>3.2600709399846313</v>
      </c>
      <c r="D174">
        <f t="shared" ca="1" si="25"/>
        <v>-1.1806851506256455</v>
      </c>
      <c r="E174">
        <f t="shared" ca="1" si="19"/>
        <v>1.9329199333061851E-3</v>
      </c>
      <c r="F174">
        <f t="shared" ca="1" si="20"/>
        <v>2.813042586682582E-2</v>
      </c>
      <c r="G174">
        <f t="shared" ca="1" si="24"/>
        <v>6.0497792082846679E-4</v>
      </c>
      <c r="H174">
        <f t="shared" ca="1" si="21"/>
        <v>4023.7626064521578</v>
      </c>
      <c r="I174">
        <f t="shared" ca="1" si="22"/>
        <v>559.30295167155327</v>
      </c>
      <c r="J174">
        <f t="shared" ca="1" si="23"/>
        <v>2237.352730630972</v>
      </c>
      <c r="K174">
        <f t="array" aca="1" ref="K174:L174" ca="1">Opt3Spd(H174:J174,$E$3:$G$3,$K$3:$M$3,$N$3:$P$3,$H$3,$I$3,$Q$3,$J$3)</f>
        <v>185.2693157899007</v>
      </c>
      <c r="L174">
        <f ca="1"/>
        <v>6.7797327714060884E-2</v>
      </c>
    </row>
    <row r="175" spans="2:12" x14ac:dyDescent="0.15">
      <c r="B175">
        <f t="shared" ca="1" si="25"/>
        <v>-0.29173728352138156</v>
      </c>
      <c r="C175">
        <f t="shared" ca="1" si="25"/>
        <v>-2.6944805820927638</v>
      </c>
      <c r="D175">
        <f t="shared" ca="1" si="25"/>
        <v>1.3527785602388107</v>
      </c>
      <c r="E175">
        <f t="shared" ca="1" si="19"/>
        <v>-2.2141303063628968E-3</v>
      </c>
      <c r="F175">
        <f t="shared" ca="1" si="20"/>
        <v>-2.4254540327760251E-2</v>
      </c>
      <c r="G175">
        <f t="shared" ca="1" si="24"/>
        <v>3.1439752753150199E-4</v>
      </c>
      <c r="H175">
        <f t="shared" ca="1" si="21"/>
        <v>4007.1080526896467</v>
      </c>
      <c r="I175">
        <f t="shared" ca="1" si="22"/>
        <v>530.80553006169851</v>
      </c>
      <c r="J175">
        <f t="shared" ca="1" si="23"/>
        <v>2236.7029928715606</v>
      </c>
      <c r="K175">
        <f t="array" aca="1" ref="K175:L175" ca="1">Opt3Spd(H175:J175,$E$3:$G$3,$K$3:$M$3,$N$3:$P$3,$H$3,$I$3,$Q$3,$J$3)</f>
        <v>214.4834078304807</v>
      </c>
      <c r="L175">
        <f ca="1"/>
        <v>1.5699675331916296E-2</v>
      </c>
    </row>
    <row r="176" spans="2:12" x14ac:dyDescent="0.15">
      <c r="B176">
        <f t="shared" ca="1" si="25"/>
        <v>-0.21060377106603714</v>
      </c>
      <c r="C176">
        <f t="shared" ca="1" si="25"/>
        <v>-1.9096464319837219</v>
      </c>
      <c r="D176">
        <f t="shared" ca="1" si="25"/>
        <v>-0.95224941884423775</v>
      </c>
      <c r="E176">
        <f t="shared" ca="1" si="19"/>
        <v>-1.598370240934428E-3</v>
      </c>
      <c r="F176">
        <f t="shared" ca="1" si="20"/>
        <v>-1.7237312020414831E-2</v>
      </c>
      <c r="G176">
        <f t="shared" ca="1" si="24"/>
        <v>-6.5879523200974002E-3</v>
      </c>
      <c r="H176">
        <f t="shared" ca="1" si="21"/>
        <v>4009.5809451124073</v>
      </c>
      <c r="I176">
        <f t="shared" ca="1" si="22"/>
        <v>534.62290226089431</v>
      </c>
      <c r="J176">
        <f t="shared" ca="1" si="23"/>
        <v>2221.2693386122623</v>
      </c>
      <c r="K176">
        <f t="array" aca="1" ref="K176:L176" ca="1">Opt3Spd(H176:J176,$E$3:$G$3,$K$3:$M$3,$N$3:$P$3,$H$3,$I$3,$Q$3,$J$3)</f>
        <v>218.5621309313924</v>
      </c>
      <c r="L176">
        <f ca="1"/>
        <v>1.2498742547222719E-2</v>
      </c>
    </row>
    <row r="177" spans="2:12" x14ac:dyDescent="0.15">
      <c r="B177">
        <f t="shared" ca="1" si="25"/>
        <v>-0.26506321484056772</v>
      </c>
      <c r="C177">
        <f t="shared" ca="1" si="25"/>
        <v>-1.1018470999677759</v>
      </c>
      <c r="D177">
        <f t="shared" ca="1" si="25"/>
        <v>1.2993443880435602</v>
      </c>
      <c r="E177">
        <f t="shared" ca="1" si="19"/>
        <v>-2.0116883587745736E-3</v>
      </c>
      <c r="F177">
        <f t="shared" ca="1" si="20"/>
        <v>-1.1720645247241548E-2</v>
      </c>
      <c r="G177">
        <f t="shared" ca="1" si="24"/>
        <v>1.8378503490755207E-3</v>
      </c>
      <c r="H177">
        <f t="shared" ca="1" si="21"/>
        <v>4007.9210595511613</v>
      </c>
      <c r="I177">
        <f t="shared" ca="1" si="22"/>
        <v>537.6239689855006</v>
      </c>
      <c r="J177">
        <f t="shared" ca="1" si="23"/>
        <v>2240.1094333805327</v>
      </c>
      <c r="K177">
        <f t="array" aca="1" ref="K177:L177" ca="1">Opt3Spd(H177:J177,$E$3:$G$3,$K$3:$M$3,$N$3:$P$3,$H$3,$I$3,$Q$3,$J$3)</f>
        <v>202.69677924192683</v>
      </c>
      <c r="L177">
        <f ca="1"/>
        <v>2.8786757832904186E-2</v>
      </c>
    </row>
    <row r="178" spans="2:12" x14ac:dyDescent="0.15">
      <c r="B178">
        <f t="shared" ca="1" si="25"/>
        <v>-0.52847597242008271</v>
      </c>
      <c r="C178">
        <f t="shared" ca="1" si="25"/>
        <v>-0.90665743072203708</v>
      </c>
      <c r="D178">
        <f t="shared" ca="1" si="25"/>
        <v>-1.0526616595100649</v>
      </c>
      <c r="E178">
        <f t="shared" ca="1" si="19"/>
        <v>-4.010850627647492E-3</v>
      </c>
      <c r="F178">
        <f t="shared" ca="1" si="20"/>
        <v>-1.3481908060278809E-2</v>
      </c>
      <c r="G178">
        <f t="shared" ca="1" si="24"/>
        <v>-8.0245770435617859E-3</v>
      </c>
      <c r="H178">
        <f t="shared" ca="1" si="21"/>
        <v>3999.8924238793675</v>
      </c>
      <c r="I178">
        <f t="shared" ca="1" si="22"/>
        <v>536.66584201520834</v>
      </c>
      <c r="J178">
        <f t="shared" ca="1" si="23"/>
        <v>2218.0570457305957</v>
      </c>
      <c r="K178">
        <f t="array" aca="1" ref="K178:L178" ca="1">Opt3Spd(H178:J178,$E$3:$G$3,$K$3:$M$3,$N$3:$P$3,$H$3,$I$3,$Q$3,$J$3)</f>
        <v>207.2209285384065</v>
      </c>
      <c r="L178">
        <f ca="1"/>
        <v>2.2374748670245026E-2</v>
      </c>
    </row>
    <row r="179" spans="2:12" x14ac:dyDescent="0.15">
      <c r="B179">
        <f t="shared" ca="1" si="25"/>
        <v>-0.78637222746224134</v>
      </c>
      <c r="C179">
        <f t="shared" ca="1" si="25"/>
        <v>-1.7749484547138075</v>
      </c>
      <c r="D179">
        <f t="shared" ca="1" si="25"/>
        <v>-1.1078624409123827</v>
      </c>
      <c r="E179">
        <f t="shared" ca="1" si="19"/>
        <v>-5.9681455859536634E-3</v>
      </c>
      <c r="F179">
        <f t="shared" ca="1" si="20"/>
        <v>-2.3324236332335675E-2</v>
      </c>
      <c r="G179">
        <f t="shared" ca="1" si="24"/>
        <v>-1.0724504589594085E-2</v>
      </c>
      <c r="H179">
        <f t="shared" ca="1" si="21"/>
        <v>3992.0319273268101</v>
      </c>
      <c r="I179">
        <f t="shared" ca="1" si="22"/>
        <v>531.31161543520932</v>
      </c>
      <c r="J179">
        <f t="shared" ca="1" si="23"/>
        <v>2212.0200077376676</v>
      </c>
      <c r="K179">
        <f t="array" aca="1" ref="K179:L179" ca="1">Opt3Spd(H179:J179,$E$3:$G$3,$K$3:$M$3,$N$3:$P$3,$H$3,$I$3,$Q$3,$J$3)</f>
        <v>210.94165300539498</v>
      </c>
      <c r="L179">
        <f ca="1"/>
        <v>1.8314243753593473E-2</v>
      </c>
    </row>
    <row r="180" spans="2:12" x14ac:dyDescent="0.15">
      <c r="B180">
        <f t="shared" ca="1" si="25"/>
        <v>-0.62924152304098413</v>
      </c>
      <c r="C180">
        <f t="shared" ca="1" si="25"/>
        <v>-1.0605169439433639</v>
      </c>
      <c r="D180">
        <f t="shared" ca="1" si="25"/>
        <v>-0.80990791861869071</v>
      </c>
      <c r="E180">
        <f t="shared" ca="1" si="19"/>
        <v>-4.7756073867907933E-3</v>
      </c>
      <c r="F180">
        <f t="shared" ca="1" si="20"/>
        <v>-1.590682393942346E-2</v>
      </c>
      <c r="G180">
        <f t="shared" ca="1" si="24"/>
        <v>-7.9614805842716432E-3</v>
      </c>
      <c r="H180">
        <f t="shared" ca="1" si="21"/>
        <v>3996.8211607346479</v>
      </c>
      <c r="I180">
        <f t="shared" ca="1" si="22"/>
        <v>535.34668777695367</v>
      </c>
      <c r="J180">
        <f t="shared" ca="1" si="23"/>
        <v>2218.1981294135685</v>
      </c>
      <c r="K180">
        <f t="array" aca="1" ref="K180:L180" ca="1">Opt3Spd(H180:J180,$E$3:$G$3,$K$3:$M$3,$N$3:$P$3,$H$3,$I$3,$Q$3,$J$3)</f>
        <v>206.19094765298155</v>
      </c>
      <c r="L180">
        <f ca="1"/>
        <v>2.3552068243816393E-2</v>
      </c>
    </row>
    <row r="181" spans="2:12" x14ac:dyDescent="0.15">
      <c r="B181">
        <f t="shared" ca="1" si="25"/>
        <v>0.67815814805971575</v>
      </c>
      <c r="C181">
        <f t="shared" ca="1" si="25"/>
        <v>-1.507771068549685</v>
      </c>
      <c r="D181">
        <f t="shared" ca="1" si="25"/>
        <v>-1.2081489047733422</v>
      </c>
      <c r="E181">
        <f t="shared" ca="1" si="19"/>
        <v>5.1468584680089587E-3</v>
      </c>
      <c r="F181">
        <f t="shared" ca="1" si="20"/>
        <v>-3.1687067033166873E-3</v>
      </c>
      <c r="G181">
        <f t="shared" ca="1" si="24"/>
        <v>-1.3743341363199714E-3</v>
      </c>
      <c r="H181">
        <f t="shared" ca="1" si="21"/>
        <v>4036.6697836075241</v>
      </c>
      <c r="I181">
        <f t="shared" ca="1" si="22"/>
        <v>542.27622355339577</v>
      </c>
      <c r="J181">
        <f t="shared" ca="1" si="23"/>
        <v>2232.9269888711888</v>
      </c>
      <c r="K181">
        <f t="array" aca="1" ref="K181:L181" ca="1">Opt3Spd(H181:J181,$E$3:$G$3,$K$3:$M$3,$N$3:$P$3,$H$3,$I$3,$Q$3,$J$3)</f>
        <v>227.57223923097467</v>
      </c>
      <c r="L181">
        <f ca="1"/>
        <v>7.9077444781887607E-3</v>
      </c>
    </row>
    <row r="182" spans="2:12" x14ac:dyDescent="0.15">
      <c r="B182">
        <f t="shared" ca="1" si="25"/>
        <v>-0.27050568570620243</v>
      </c>
      <c r="C182">
        <f t="shared" ca="1" si="25"/>
        <v>1.7086809367477098</v>
      </c>
      <c r="D182">
        <f t="shared" ca="1" si="25"/>
        <v>-0.31020372587405837</v>
      </c>
      <c r="E182">
        <f t="shared" ca="1" si="19"/>
        <v>-2.0529938084574068E-3</v>
      </c>
      <c r="F182">
        <f t="shared" ca="1" si="20"/>
        <v>9.7486665202245679E-3</v>
      </c>
      <c r="G182">
        <f t="shared" ca="1" si="24"/>
        <v>-1.1931667827392866E-3</v>
      </c>
      <c r="H182">
        <f t="shared" ca="1" si="21"/>
        <v>4007.7551768652352</v>
      </c>
      <c r="I182">
        <f t="shared" ca="1" si="22"/>
        <v>549.30327458700219</v>
      </c>
      <c r="J182">
        <f t="shared" ca="1" si="23"/>
        <v>2233.3320790737948</v>
      </c>
      <c r="K182">
        <f t="array" aca="1" ref="K182:L182" ca="1">Opt3Spd(H182:J182,$E$3:$G$3,$K$3:$M$3,$N$3:$P$3,$H$3,$I$3,$Q$3,$J$3)</f>
        <v>187.26486993048093</v>
      </c>
      <c r="L182">
        <f ca="1"/>
        <v>6.0971941346679159E-2</v>
      </c>
    </row>
    <row r="183" spans="2:12" x14ac:dyDescent="0.15">
      <c r="B183">
        <f t="shared" ca="1" si="25"/>
        <v>-0.4839680620194719</v>
      </c>
      <c r="C183">
        <f t="shared" ca="1" si="25"/>
        <v>1.0860500157327551</v>
      </c>
      <c r="D183">
        <f t="shared" ca="1" si="25"/>
        <v>0.11208791963104586</v>
      </c>
      <c r="E183">
        <f t="shared" ca="1" si="19"/>
        <v>-3.6730593378219859E-3</v>
      </c>
      <c r="F183">
        <f t="shared" ca="1" si="20"/>
        <v>2.3381933830371729E-3</v>
      </c>
      <c r="G183">
        <f t="shared" ca="1" si="24"/>
        <v>-1.673150341867484E-3</v>
      </c>
      <c r="H183">
        <f t="shared" ca="1" si="21"/>
        <v>4001.2489936993065</v>
      </c>
      <c r="I183">
        <f t="shared" ca="1" si="22"/>
        <v>545.27197720037213</v>
      </c>
      <c r="J183">
        <f t="shared" ca="1" si="23"/>
        <v>2232.2588358355843</v>
      </c>
      <c r="K183">
        <f t="array" aca="1" ref="K183:L183" ca="1">Opt3Spd(H183:J183,$E$3:$G$3,$K$3:$M$3,$N$3:$P$3,$H$3,$I$3,$Q$3,$J$3)</f>
        <v>187.74377217227675</v>
      </c>
      <c r="L183">
        <f ca="1"/>
        <v>5.9359911357660167E-2</v>
      </c>
    </row>
    <row r="184" spans="2:12" x14ac:dyDescent="0.15">
      <c r="B184">
        <f t="shared" ca="1" si="25"/>
        <v>0.10687594459196754</v>
      </c>
      <c r="C184">
        <f t="shared" ca="1" si="25"/>
        <v>6.0837706767781469E-2</v>
      </c>
      <c r="D184">
        <f t="shared" ca="1" si="25"/>
        <v>-6.0477259367071316E-2</v>
      </c>
      <c r="E184">
        <f t="shared" ca="1" si="19"/>
        <v>8.1113138878217397E-4</v>
      </c>
      <c r="F184">
        <f t="shared" ca="1" si="20"/>
        <v>1.7876573699027014E-3</v>
      </c>
      <c r="G184">
        <f t="shared" ca="1" si="24"/>
        <v>5.3357586688226346E-4</v>
      </c>
      <c r="H184">
        <f t="shared" ca="1" si="21"/>
        <v>4019.2575036573494</v>
      </c>
      <c r="I184">
        <f t="shared" ca="1" si="22"/>
        <v>544.97248560922708</v>
      </c>
      <c r="J184">
        <f t="shared" ca="1" si="23"/>
        <v>2237.193075638349</v>
      </c>
      <c r="K184">
        <f t="array" aca="1" ref="K184:L184" ca="1">Opt3Spd(H184:J184,$E$3:$G$3,$K$3:$M$3,$N$3:$P$3,$H$3,$I$3,$Q$3,$J$3)</f>
        <v>203.73239639405915</v>
      </c>
      <c r="L184">
        <f ca="1"/>
        <v>2.7407530647678868E-2</v>
      </c>
    </row>
    <row r="185" spans="2:12" x14ac:dyDescent="0.15">
      <c r="B185">
        <f t="shared" ca="1" si="25"/>
        <v>2.5225791516013958E-2</v>
      </c>
      <c r="C185">
        <f t="shared" ca="1" si="25"/>
        <v>0.62615739441183205</v>
      </c>
      <c r="D185">
        <f t="shared" ca="1" si="25"/>
        <v>1.2326162800777682</v>
      </c>
      <c r="E185">
        <f t="shared" ca="1" si="19"/>
        <v>1.9145029673077433E-4</v>
      </c>
      <c r="F185">
        <f t="shared" ca="1" si="20"/>
        <v>5.11004359520163E-3</v>
      </c>
      <c r="G185">
        <f t="shared" ca="1" si="24"/>
        <v>5.1456810681981269E-3</v>
      </c>
      <c r="H185">
        <f t="shared" ca="1" si="21"/>
        <v>4016.7688643916713</v>
      </c>
      <c r="I185">
        <f t="shared" ca="1" si="22"/>
        <v>546.7798637157897</v>
      </c>
      <c r="J185">
        <f t="shared" ca="1" si="23"/>
        <v>2247.5057428684909</v>
      </c>
      <c r="K185">
        <f t="array" aca="1" ref="K185:L185" ca="1">Opt3Spd(H185:J185,$E$3:$G$3,$K$3:$M$3,$N$3:$P$3,$H$3,$I$3,$Q$3,$J$3)</f>
        <v>193.21466896467609</v>
      </c>
      <c r="L185">
        <f ca="1"/>
        <v>4.6457952513947021E-2</v>
      </c>
    </row>
    <row r="186" spans="2:12" x14ac:dyDescent="0.15">
      <c r="B186">
        <f t="shared" ca="1" si="25"/>
        <v>-1.2534061494518007</v>
      </c>
      <c r="C186">
        <f t="shared" ca="1" si="25"/>
        <v>-0.75987450583968097</v>
      </c>
      <c r="D186">
        <f t="shared" ca="1" si="25"/>
        <v>1.3861742558288856</v>
      </c>
      <c r="E186">
        <f t="shared" ca="1" si="19"/>
        <v>-9.512683837269836E-3</v>
      </c>
      <c r="F186">
        <f t="shared" ca="1" si="20"/>
        <v>-2.1320538382139875E-2</v>
      </c>
      <c r="G186">
        <f t="shared" ca="1" si="24"/>
        <v>-3.8987492110701787E-3</v>
      </c>
      <c r="H186">
        <f t="shared" ca="1" si="21"/>
        <v>3977.7970617095243</v>
      </c>
      <c r="I186">
        <f t="shared" ca="1" si="22"/>
        <v>532.4016271201159</v>
      </c>
      <c r="J186">
        <f t="shared" ca="1" si="23"/>
        <v>2227.282396764047</v>
      </c>
      <c r="K186">
        <f t="array" aca="1" ref="K186:L186" ca="1">Opt3Spd(H186:J186,$E$3:$G$3,$K$3:$M$3,$N$3:$P$3,$H$3,$I$3,$Q$3,$J$3)</f>
        <v>187.3728569990833</v>
      </c>
      <c r="L186">
        <f ca="1"/>
        <v>5.9597063768023872E-2</v>
      </c>
    </row>
    <row r="187" spans="2:12" x14ac:dyDescent="0.15">
      <c r="B187">
        <f t="shared" ca="1" si="25"/>
        <v>1.2318196029397992</v>
      </c>
      <c r="C187">
        <f t="shared" ca="1" si="25"/>
        <v>-2.7953020936039019E-2</v>
      </c>
      <c r="D187">
        <f t="shared" ca="1" si="25"/>
        <v>-0.77930899429579148</v>
      </c>
      <c r="E187">
        <f t="shared" ca="1" si="19"/>
        <v>9.3488534681616248E-3</v>
      </c>
      <c r="F187">
        <f t="shared" ca="1" si="20"/>
        <v>1.5016641128085652E-2</v>
      </c>
      <c r="G187">
        <f t="shared" ca="1" si="24"/>
        <v>5.1521361482234742E-3</v>
      </c>
      <c r="H187">
        <f t="shared" ca="1" si="21"/>
        <v>4053.544995528137</v>
      </c>
      <c r="I187">
        <f t="shared" ca="1" si="22"/>
        <v>552.16905277367857</v>
      </c>
      <c r="J187">
        <f t="shared" ca="1" si="23"/>
        <v>2247.5201764274275</v>
      </c>
      <c r="K187">
        <f t="array" aca="1" ref="K187:L187" ca="1">Opt3Spd(H187:J187,$E$3:$G$3,$K$3:$M$3,$N$3:$P$3,$H$3,$I$3,$Q$3,$J$3)</f>
        <v>221.3257551854399</v>
      </c>
      <c r="L187">
        <f ca="1"/>
        <v>1.1332308902410659E-2</v>
      </c>
    </row>
    <row r="188" spans="2:12" x14ac:dyDescent="0.15">
      <c r="B188">
        <f t="shared" ca="1" si="25"/>
        <v>-6.3352992939262484E-2</v>
      </c>
      <c r="C188">
        <f t="shared" ca="1" si="25"/>
        <v>-1.7431728090755376E-2</v>
      </c>
      <c r="D188">
        <f t="shared" ca="1" si="25"/>
        <v>0.97522566585880943</v>
      </c>
      <c r="E188">
        <f t="shared" ca="1" si="19"/>
        <v>-4.8081541026392358E-4</v>
      </c>
      <c r="F188">
        <f t="shared" ca="1" si="20"/>
        <v>-9.1690484957932157E-4</v>
      </c>
      <c r="G188">
        <f t="shared" ca="1" si="24"/>
        <v>3.0374829843997221E-3</v>
      </c>
      <c r="H188">
        <f t="shared" ca="1" si="21"/>
        <v>4014.0690453123802</v>
      </c>
      <c r="I188">
        <f t="shared" ca="1" si="22"/>
        <v>543.50120376182883</v>
      </c>
      <c r="J188">
        <f t="shared" ca="1" si="23"/>
        <v>2242.7918119531178</v>
      </c>
      <c r="K188">
        <f t="array" aca="1" ref="K188:L188" ca="1">Opt3Spd(H188:J188,$E$3:$G$3,$K$3:$M$3,$N$3:$P$3,$H$3,$I$3,$Q$3,$J$3)</f>
        <v>198.10757920830883</v>
      </c>
      <c r="L188">
        <f ca="1"/>
        <v>3.6365891413879581E-2</v>
      </c>
    </row>
    <row r="189" spans="2:12" x14ac:dyDescent="0.15">
      <c r="B189">
        <f t="shared" ca="1" si="25"/>
        <v>0.23358872813751816</v>
      </c>
      <c r="C189">
        <f t="shared" ca="1" si="25"/>
        <v>1.6712134593398678</v>
      </c>
      <c r="D189">
        <f t="shared" ca="1" si="25"/>
        <v>4.3632261459058214E-2</v>
      </c>
      <c r="E189">
        <f t="shared" ca="1" si="19"/>
        <v>1.7728137999754047E-3</v>
      </c>
      <c r="F189">
        <f t="shared" ca="1" si="20"/>
        <v>1.5694437750090596E-2</v>
      </c>
      <c r="G189">
        <f t="shared" ca="1" si="24"/>
        <v>3.2789920235696815E-3</v>
      </c>
      <c r="H189">
        <f t="shared" ca="1" si="21"/>
        <v>4023.1196202207016</v>
      </c>
      <c r="I189">
        <f t="shared" ca="1" si="22"/>
        <v>552.53777413604928</v>
      </c>
      <c r="J189">
        <f t="shared" ca="1" si="23"/>
        <v>2243.3318261647019</v>
      </c>
      <c r="K189">
        <f t="array" aca="1" ref="K189:L189" ca="1">Opt3Spd(H189:J189,$E$3:$G$3,$K$3:$M$3,$N$3:$P$3,$H$3,$I$3,$Q$3,$J$3)</f>
        <v>192.4415097189576</v>
      </c>
      <c r="L189">
        <f ca="1"/>
        <v>4.824119828572293E-2</v>
      </c>
    </row>
    <row r="190" spans="2:12" x14ac:dyDescent="0.15">
      <c r="B190">
        <f t="shared" ca="1" si="25"/>
        <v>-1.9435853883126137</v>
      </c>
      <c r="C190">
        <f t="shared" ca="1" si="25"/>
        <v>-0.31851690715008479</v>
      </c>
      <c r="D190">
        <f t="shared" ca="1" si="25"/>
        <v>-4.0798775279993371E-2</v>
      </c>
      <c r="E190">
        <f t="shared" ca="1" si="19"/>
        <v>-1.4750775969817592E-2</v>
      </c>
      <c r="F190">
        <f t="shared" ca="1" si="20"/>
        <v>-2.6472214185436316E-2</v>
      </c>
      <c r="G190">
        <f t="shared" ca="1" si="24"/>
        <v>-1.2991251868233668E-2</v>
      </c>
      <c r="H190">
        <f t="shared" ca="1" si="21"/>
        <v>3956.7608837052126</v>
      </c>
      <c r="I190">
        <f t="shared" ca="1" si="22"/>
        <v>529.59911548312266</v>
      </c>
      <c r="J190">
        <f t="shared" ca="1" si="23"/>
        <v>2206.9515608226293</v>
      </c>
      <c r="K190">
        <f t="array" aca="1" ref="K190:L190" ca="1">Opt3Spd(H190:J190,$E$3:$G$3,$K$3:$M$3,$N$3:$P$3,$H$3,$I$3,$Q$3,$J$3)</f>
        <v>181.00524698378854</v>
      </c>
      <c r="L190">
        <f ca="1"/>
        <v>7.8728462887056594E-2</v>
      </c>
    </row>
    <row r="191" spans="2:12" x14ac:dyDescent="0.15">
      <c r="B191">
        <f t="shared" ca="1" si="25"/>
        <v>-2.1377796993344851</v>
      </c>
      <c r="C191">
        <f t="shared" ca="1" si="25"/>
        <v>0.39811189836256933</v>
      </c>
      <c r="D191">
        <f t="shared" ca="1" si="25"/>
        <v>-0.40552897058981352</v>
      </c>
      <c r="E191">
        <f t="shared" ca="1" si="19"/>
        <v>-1.6224607165360602E-2</v>
      </c>
      <c r="F191">
        <f t="shared" ca="1" si="20"/>
        <v>-2.3381924430112121E-2</v>
      </c>
      <c r="G191">
        <f t="shared" ca="1" si="24"/>
        <v>-1.4845721064749828E-2</v>
      </c>
      <c r="H191">
        <f t="shared" ca="1" si="21"/>
        <v>3950.841977623912</v>
      </c>
      <c r="I191">
        <f t="shared" ca="1" si="22"/>
        <v>531.28023311001903</v>
      </c>
      <c r="J191">
        <f t="shared" ca="1" si="23"/>
        <v>2202.8049676992196</v>
      </c>
      <c r="K191">
        <f t="array" aca="1" ref="K191:L191" ca="1">Opt3Spd(H191:J191,$E$3:$G$3,$K$3:$M$3,$N$3:$P$3,$H$3,$I$3,$Q$3,$J$3)</f>
        <v>174.49707923646611</v>
      </c>
      <c r="L191">
        <f ca="1"/>
        <v>0.10595843819419315</v>
      </c>
    </row>
    <row r="192" spans="2:12" x14ac:dyDescent="0.15">
      <c r="B192">
        <f t="shared" ca="1" si="25"/>
        <v>-1.9126355809007141</v>
      </c>
      <c r="C192">
        <f t="shared" ca="1" si="25"/>
        <v>-0.87225614105640559</v>
      </c>
      <c r="D192">
        <f t="shared" ca="1" si="25"/>
        <v>0.59798545484731414</v>
      </c>
      <c r="E192">
        <f t="shared" ca="1" si="19"/>
        <v>-1.4515883446861198E-2</v>
      </c>
      <c r="F192">
        <f t="shared" ca="1" si="20"/>
        <v>-3.0332746045406082E-2</v>
      </c>
      <c r="G192">
        <f t="shared" ca="1" si="24"/>
        <v>-1.1059088470002058E-2</v>
      </c>
      <c r="H192">
        <f t="shared" ca="1" si="21"/>
        <v>3957.7042120774054</v>
      </c>
      <c r="I192">
        <f t="shared" ca="1" si="22"/>
        <v>527.49898615129916</v>
      </c>
      <c r="J192">
        <f t="shared" ca="1" si="23"/>
        <v>2211.2718781810754</v>
      </c>
      <c r="K192">
        <f t="array" aca="1" ref="K192:L192" ca="1">Opt3Spd(H192:J192,$E$3:$G$3,$K$3:$M$3,$N$3:$P$3,$H$3,$I$3,$Q$3,$J$3)</f>
        <v>183.1413473716691</v>
      </c>
      <c r="L192">
        <f ca="1"/>
        <v>7.1452226880182934E-2</v>
      </c>
    </row>
    <row r="193" spans="2:12" x14ac:dyDescent="0.15">
      <c r="B193">
        <f t="shared" ca="1" si="25"/>
        <v>-0.68858335112334557</v>
      </c>
      <c r="C193">
        <f t="shared" ca="1" si="25"/>
        <v>-1.6088183916170806</v>
      </c>
      <c r="D193">
        <f t="shared" ca="1" si="25"/>
        <v>0.61642829389354925</v>
      </c>
      <c r="E193">
        <f t="shared" ca="1" si="19"/>
        <v>-5.225980196210964E-3</v>
      </c>
      <c r="F193">
        <f t="shared" ca="1" si="20"/>
        <v>-2.0842098392334453E-2</v>
      </c>
      <c r="G193">
        <f t="shared" ca="1" si="24"/>
        <v>-3.8099194423880838E-3</v>
      </c>
      <c r="H193">
        <f t="shared" ca="1" si="21"/>
        <v>3995.0124635320167</v>
      </c>
      <c r="I193">
        <f t="shared" ca="1" si="22"/>
        <v>532.66189847457008</v>
      </c>
      <c r="J193">
        <f t="shared" ca="1" si="23"/>
        <v>2227.4810201268201</v>
      </c>
      <c r="K193">
        <f t="array" aca="1" ref="K193:L193" ca="1">Opt3Spd(H193:J193,$E$3:$G$3,$K$3:$M$3,$N$3:$P$3,$H$3,$I$3,$Q$3,$J$3)</f>
        <v>204.03937855551089</v>
      </c>
      <c r="L193">
        <f ca="1"/>
        <v>2.6462646216486974E-2</v>
      </c>
    </row>
    <row r="194" spans="2:12" x14ac:dyDescent="0.15">
      <c r="B194">
        <f t="shared" ca="1" si="25"/>
        <v>0.27228638697152291</v>
      </c>
      <c r="C194">
        <f t="shared" ca="1" si="25"/>
        <v>-0.7908137842602837</v>
      </c>
      <c r="D194">
        <f t="shared" ca="1" si="25"/>
        <v>0.22084558382792263</v>
      </c>
      <c r="E194">
        <f t="shared" ca="1" si="19"/>
        <v>2.0665083808512224E-3</v>
      </c>
      <c r="F194">
        <f t="shared" ca="1" si="20"/>
        <v>-2.6931868977766835E-3</v>
      </c>
      <c r="G194">
        <f t="shared" ca="1" si="24"/>
        <v>1.7755223293226595E-3</v>
      </c>
      <c r="H194">
        <f t="shared" ca="1" si="21"/>
        <v>4024.2990976574988</v>
      </c>
      <c r="I194">
        <f t="shared" ca="1" si="22"/>
        <v>542.53490632760952</v>
      </c>
      <c r="J194">
        <f t="shared" ca="1" si="23"/>
        <v>2239.9700679283656</v>
      </c>
      <c r="K194">
        <f t="array" aca="1" ref="K194:L194" ca="1">Opt3Spd(H194:J194,$E$3:$G$3,$K$3:$M$3,$N$3:$P$3,$H$3,$I$3,$Q$3,$J$3)</f>
        <v>211.27696012257934</v>
      </c>
      <c r="L194">
        <f ca="1"/>
        <v>1.8746553438631963E-2</v>
      </c>
    </row>
    <row r="195" spans="2:12" x14ac:dyDescent="0.15">
      <c r="B195">
        <f t="shared" ca="1" si="25"/>
        <v>0.16151715583965062</v>
      </c>
      <c r="C195">
        <f t="shared" ca="1" si="25"/>
        <v>-1.6320581933999032</v>
      </c>
      <c r="D195">
        <f t="shared" ca="1" si="25"/>
        <v>-1.9727488584890369</v>
      </c>
      <c r="E195">
        <f t="shared" ca="1" si="19"/>
        <v>1.2258290247495886E-3</v>
      </c>
      <c r="F195">
        <f t="shared" ca="1" si="20"/>
        <v>-1.0509108575331738E-2</v>
      </c>
      <c r="G195">
        <f t="shared" ca="1" si="24"/>
        <v>-7.5425847596157182E-3</v>
      </c>
      <c r="H195">
        <f t="shared" ca="1" si="21"/>
        <v>4020.9229293633944</v>
      </c>
      <c r="I195">
        <f t="shared" ca="1" si="22"/>
        <v>538.28304493501957</v>
      </c>
      <c r="J195">
        <f t="shared" ca="1" si="23"/>
        <v>2219.1347804774996</v>
      </c>
      <c r="K195">
        <f t="array" aca="1" ref="K195:L195" ca="1">Opt3Spd(H195:J195,$E$3:$G$3,$K$3:$M$3,$N$3:$P$3,$H$3,$I$3,$Q$3,$J$3)</f>
        <v>225.11150337015897</v>
      </c>
      <c r="L195">
        <f ca="1"/>
        <v>8.8361415455437964E-3</v>
      </c>
    </row>
    <row r="196" spans="2:12" x14ac:dyDescent="0.15">
      <c r="B196">
        <f t="shared" ca="1" si="25"/>
        <v>0.14729280228965597</v>
      </c>
      <c r="C196">
        <f t="shared" ca="1" si="25"/>
        <v>0.71324067010131875</v>
      </c>
      <c r="D196">
        <f t="shared" ca="1" si="25"/>
        <v>-2.11362379278069</v>
      </c>
      <c r="E196">
        <f t="shared" ca="1" si="19"/>
        <v>1.1178737716420247E-3</v>
      </c>
      <c r="F196">
        <f t="shared" ca="1" si="20"/>
        <v>7.2866463839772388E-3</v>
      </c>
      <c r="G196">
        <f t="shared" ca="1" si="24"/>
        <v>-5.8651513919418174E-3</v>
      </c>
      <c r="H196">
        <f t="shared" ca="1" si="21"/>
        <v>4020.4893810669141</v>
      </c>
      <c r="I196">
        <f t="shared" ca="1" si="22"/>
        <v>547.96393563288359</v>
      </c>
      <c r="J196">
        <f t="shared" ca="1" si="23"/>
        <v>2222.885521487618</v>
      </c>
      <c r="K196">
        <f t="array" aca="1" ref="K196:L196" ca="1">Opt3Spd(H196:J196,$E$3:$G$3,$K$3:$M$3,$N$3:$P$3,$H$3,$I$3,$Q$3,$J$3)</f>
        <v>207.32690065572365</v>
      </c>
      <c r="L196">
        <f ca="1"/>
        <v>2.2577345232548396E-2</v>
      </c>
    </row>
    <row r="197" spans="2:12" x14ac:dyDescent="0.15">
      <c r="B197">
        <f t="shared" ca="1" si="25"/>
        <v>-0.6210898933129384</v>
      </c>
      <c r="C197">
        <f t="shared" ca="1" si="25"/>
        <v>0.48769067389525778</v>
      </c>
      <c r="D197">
        <f t="shared" ca="1" si="25"/>
        <v>0.22672432413345012</v>
      </c>
      <c r="E197">
        <f t="shared" ca="1" si="19"/>
        <v>-4.7137408669916817E-3</v>
      </c>
      <c r="F197">
        <f t="shared" ca="1" si="20"/>
        <v>-3.9423776111309631E-3</v>
      </c>
      <c r="G197">
        <f t="shared" ca="1" si="24"/>
        <v>-2.7296602755080444E-3</v>
      </c>
      <c r="H197">
        <f t="shared" ca="1" si="21"/>
        <v>3997.0696166781613</v>
      </c>
      <c r="I197">
        <f t="shared" ca="1" si="22"/>
        <v>541.85534657954474</v>
      </c>
      <c r="J197">
        <f t="shared" ca="1" si="23"/>
        <v>2229.8964796239638</v>
      </c>
      <c r="K197">
        <f t="array" aca="1" ref="K197:L197" ca="1">Opt3Spd(H197:J197,$E$3:$G$3,$K$3:$M$3,$N$3:$P$3,$H$3,$I$3,$Q$3,$J$3)</f>
        <v>190.20536550407201</v>
      </c>
      <c r="L197">
        <f ca="1"/>
        <v>5.2543165164479433E-2</v>
      </c>
    </row>
    <row r="198" spans="2:12" x14ac:dyDescent="0.15">
      <c r="B198">
        <f t="shared" ca="1" si="25"/>
        <v>-0.99234873807714052</v>
      </c>
      <c r="C198">
        <f t="shared" ca="1" si="25"/>
        <v>-0.48583865975476537</v>
      </c>
      <c r="D198">
        <f t="shared" ca="1" si="25"/>
        <v>-4.7663824102847509E-2</v>
      </c>
      <c r="E198">
        <f t="shared" ca="1" si="19"/>
        <v>-7.5313973892422977E-3</v>
      </c>
      <c r="F198">
        <f t="shared" ca="1" si="20"/>
        <v>-1.5992801790736394E-2</v>
      </c>
      <c r="G198">
        <f t="shared" ca="1" si="24"/>
        <v>-7.041068046687627E-3</v>
      </c>
      <c r="H198">
        <f t="shared" ca="1" si="21"/>
        <v>3985.7539080848032</v>
      </c>
      <c r="I198">
        <f t="shared" ca="1" si="22"/>
        <v>535.29991582583943</v>
      </c>
      <c r="J198">
        <f t="shared" ca="1" si="23"/>
        <v>2220.2561718476068</v>
      </c>
      <c r="K198">
        <f t="array" aca="1" ref="K198:L198" ca="1">Opt3Spd(H198:J198,$E$3:$G$3,$K$3:$M$3,$N$3:$P$3,$H$3,$I$3,$Q$3,$J$3)</f>
        <v>194.1887138371153</v>
      </c>
      <c r="L198">
        <f ca="1"/>
        <v>4.2756997458809565E-2</v>
      </c>
    </row>
    <row r="199" spans="2:12" x14ac:dyDescent="0.15">
      <c r="B199">
        <f t="shared" ca="1" si="25"/>
        <v>0.17414684887229145</v>
      </c>
      <c r="C199">
        <f t="shared" ca="1" si="25"/>
        <v>-0.28881497823829361</v>
      </c>
      <c r="D199">
        <f t="shared" ca="1" si="25"/>
        <v>-0.19177831440920434</v>
      </c>
      <c r="E199">
        <f t="shared" ca="1" si="19"/>
        <v>1.3216816554661589E-3</v>
      </c>
      <c r="F199">
        <f t="shared" ca="1" si="20"/>
        <v>-5.9901068460556534E-5</v>
      </c>
      <c r="G199">
        <f t="shared" ca="1" si="24"/>
        <v>1.6294731154147828E-4</v>
      </c>
      <c r="H199">
        <f t="shared" ca="1" si="21"/>
        <v>4021.307873528352</v>
      </c>
      <c r="I199">
        <f t="shared" ca="1" si="22"/>
        <v>543.96741381875745</v>
      </c>
      <c r="J199">
        <f t="shared" ca="1" si="23"/>
        <v>2236.3643501886067</v>
      </c>
      <c r="K199">
        <f t="array" aca="1" ref="K199:L199" ca="1">Opt3Spd(H199:J199,$E$3:$G$3,$K$3:$M$3,$N$3:$P$3,$H$3,$I$3,$Q$3,$J$3)</f>
        <v>207.80014074318728</v>
      </c>
      <c r="L199">
        <f ca="1"/>
        <v>2.2304419150714239E-2</v>
      </c>
    </row>
    <row r="200" spans="2:12" x14ac:dyDescent="0.15">
      <c r="B200">
        <f t="shared" ca="1" si="25"/>
        <v>0.25482751213498378</v>
      </c>
      <c r="C200">
        <f t="shared" ca="1" si="25"/>
        <v>1.1197119744402069</v>
      </c>
      <c r="D200">
        <f t="shared" ca="1" si="25"/>
        <v>-0.79518642317296528</v>
      </c>
      <c r="E200">
        <f t="shared" ca="1" si="19"/>
        <v>1.9340048371697899E-3</v>
      </c>
      <c r="F200">
        <f t="shared" ca="1" si="20"/>
        <v>1.1730981381767844E-2</v>
      </c>
      <c r="G200">
        <f t="shared" ca="1" si="24"/>
        <v>-9.6320200725383336E-5</v>
      </c>
      <c r="H200">
        <f t="shared" ca="1" si="21"/>
        <v>4023.7669634260742</v>
      </c>
      <c r="I200">
        <f t="shared" ca="1" si="22"/>
        <v>550.38165387168169</v>
      </c>
      <c r="J200">
        <f t="shared" ca="1" si="23"/>
        <v>2235.7846280311783</v>
      </c>
      <c r="K200">
        <f t="array" aca="1" ref="K200:L200" ca="1">Opt3Spd(H200:J200,$E$3:$G$3,$K$3:$M$3,$N$3:$P$3,$H$3,$I$3,$Q$3,$J$3)</f>
        <v>200.29660182455495</v>
      </c>
      <c r="L200">
        <f ca="1"/>
        <v>3.2598608760508796E-2</v>
      </c>
    </row>
    <row r="201" spans="2:12" x14ac:dyDescent="0.15">
      <c r="B201">
        <f t="shared" ca="1" si="25"/>
        <v>8.401217629388559E-2</v>
      </c>
      <c r="C201">
        <f t="shared" ca="1" si="25"/>
        <v>0.39783648312392633</v>
      </c>
      <c r="D201">
        <f t="shared" ca="1" si="25"/>
        <v>0.27804696202719542</v>
      </c>
      <c r="E201">
        <f t="shared" ca="1" si="19"/>
        <v>6.3760758786307657E-4</v>
      </c>
      <c r="F201">
        <f t="shared" ca="1" si="20"/>
        <v>4.087323311207678E-3</v>
      </c>
      <c r="G201">
        <f t="shared" ca="1" si="24"/>
        <v>1.9142854950973409E-3</v>
      </c>
      <c r="H201">
        <f t="shared" ca="1" si="21"/>
        <v>4018.5606320728584</v>
      </c>
      <c r="I201">
        <f t="shared" ca="1" si="22"/>
        <v>546.22350388129701</v>
      </c>
      <c r="J201">
        <f t="shared" ca="1" si="23"/>
        <v>2240.2803423670375</v>
      </c>
      <c r="K201">
        <f t="array" aca="1" ref="K201:L201" ca="1">Opt3Spd(H201:J201,$E$3:$G$3,$K$3:$M$3,$N$3:$P$3,$H$3,$I$3,$Q$3,$J$3)</f>
        <v>199.49680752937843</v>
      </c>
      <c r="L201">
        <f ca="1"/>
        <v>3.395285011379201E-2</v>
      </c>
    </row>
    <row r="202" spans="2:12" x14ac:dyDescent="0.15">
      <c r="B202">
        <f t="shared" ref="B202:D233" ca="1" si="26">NORMINV(RAND(),0,1)</f>
        <v>-0.74226460078763656</v>
      </c>
      <c r="C202">
        <f t="shared" ca="1" si="26"/>
        <v>0.93347235125477923</v>
      </c>
      <c r="D202">
        <f t="shared" ca="1" si="26"/>
        <v>-5.0706208268812829E-2</v>
      </c>
      <c r="E202">
        <f t="shared" ref="E202:E259" ca="1" si="27">B202*$S$3*$C$5</f>
        <v>-5.6333922360109045E-3</v>
      </c>
      <c r="F202">
        <f t="shared" ref="F202:F259" ca="1" si="28">($N$3*B202+C202*SQRT(1-$N$3^2))*$T$3*$C$5</f>
        <v>-2.0246926972528382E-3</v>
      </c>
      <c r="G202">
        <f t="shared" ca="1" si="24"/>
        <v>-4.0651610438582966E-3</v>
      </c>
      <c r="H202">
        <f t="shared" ref="H202:H259" ca="1" si="29">B$3*(1+E202)</f>
        <v>3993.3762967801804</v>
      </c>
      <c r="I202">
        <f t="shared" ref="I202:I259" ca="1" si="30">C$3*(1+F202)</f>
        <v>542.89856717269447</v>
      </c>
      <c r="J202">
        <f t="shared" ref="J202:J259" ca="1" si="31">D$3*(1+G202)</f>
        <v>2226.9102999059328</v>
      </c>
      <c r="K202">
        <f t="array" aca="1" ref="K202:L202" ca="1">Opt3Spd(H202:J202,$E$3:$G$3,$K$3:$M$3,$N$3:$P$3,$H$3,$I$3,$Q$3,$J$3)</f>
        <v>186.34641996495043</v>
      </c>
      <c r="L202">
        <f ca="1"/>
        <v>6.2980614047773997E-2</v>
      </c>
    </row>
    <row r="203" spans="2:12" x14ac:dyDescent="0.15">
      <c r="B203">
        <f t="shared" ca="1" si="26"/>
        <v>1.4239413359571738</v>
      </c>
      <c r="C203">
        <f t="shared" ca="1" si="26"/>
        <v>1.1891991461859541</v>
      </c>
      <c r="D203">
        <f t="shared" ca="1" si="26"/>
        <v>-0.71101703032934149</v>
      </c>
      <c r="E203">
        <f t="shared" ca="1" si="27"/>
        <v>1.080695490261045E-2</v>
      </c>
      <c r="F203">
        <f t="shared" ca="1" si="28"/>
        <v>2.6718964412648771E-2</v>
      </c>
      <c r="G203">
        <f t="shared" ca="1" si="24"/>
        <v>7.8118141401733445E-3</v>
      </c>
      <c r="H203">
        <f t="shared" ca="1" si="29"/>
        <v>4059.4007308888836</v>
      </c>
      <c r="I203">
        <f t="shared" ca="1" si="30"/>
        <v>558.53511664048096</v>
      </c>
      <c r="J203">
        <f t="shared" ca="1" si="31"/>
        <v>2253.4672164174276</v>
      </c>
      <c r="K203">
        <f t="array" aca="1" ref="K203:L203" ca="1">Opt3Spd(H203:J203,$E$3:$G$3,$K$3:$M$3,$N$3:$P$3,$H$3,$I$3,$Q$3,$J$3)</f>
        <v>214.02772069337357</v>
      </c>
      <c r="L203">
        <f ca="1"/>
        <v>1.6784637973614736E-2</v>
      </c>
    </row>
    <row r="204" spans="2:12" x14ac:dyDescent="0.15">
      <c r="B204">
        <f t="shared" ca="1" si="26"/>
        <v>1.2857040052966864</v>
      </c>
      <c r="C204">
        <f t="shared" ca="1" si="26"/>
        <v>-1.1939366913957965</v>
      </c>
      <c r="D204">
        <f t="shared" ca="1" si="26"/>
        <v>-0.78599618475023181</v>
      </c>
      <c r="E204">
        <f t="shared" ca="1" si="27"/>
        <v>9.7578073284929259E-3</v>
      </c>
      <c r="F204">
        <f t="shared" ca="1" si="28"/>
        <v>6.7481577073807489E-3</v>
      </c>
      <c r="G204">
        <f t="shared" ref="G204:G259" ca="1" si="32">(D204/$R$3+($P$3-$N$3*$O$3)*C204+$O$3*B204*SQRT(1/(1-N198^2)))*$U$3*$C$5</f>
        <v>4.3477283763466105E-3</v>
      </c>
      <c r="H204">
        <f t="shared" ca="1" si="29"/>
        <v>4055.1873542312278</v>
      </c>
      <c r="I204">
        <f t="shared" ca="1" si="30"/>
        <v>547.67099779281511</v>
      </c>
      <c r="J204">
        <f t="shared" ca="1" si="31"/>
        <v>2245.7215206495111</v>
      </c>
      <c r="K204">
        <f t="array" aca="1" ref="K204:L204" ca="1">Opt3Spd(H204:J204,$E$3:$G$3,$K$3:$M$3,$N$3:$P$3,$H$3,$I$3,$Q$3,$J$3)</f>
        <v>231.05969128655283</v>
      </c>
      <c r="L204">
        <f ca="1"/>
        <v>6.6938485849732388E-3</v>
      </c>
    </row>
    <row r="205" spans="2:12" x14ac:dyDescent="0.15">
      <c r="B205">
        <f t="shared" ca="1" si="26"/>
        <v>-0.3412178595140436</v>
      </c>
      <c r="C205">
        <f t="shared" ca="1" si="26"/>
        <v>-0.64405044643793674</v>
      </c>
      <c r="D205">
        <f t="shared" ca="1" si="26"/>
        <v>-1.2387456967682673</v>
      </c>
      <c r="E205">
        <f t="shared" ca="1" si="27"/>
        <v>-2.5896614745401581E-3</v>
      </c>
      <c r="F205">
        <f t="shared" ca="1" si="28"/>
        <v>-9.1542407640607011E-3</v>
      </c>
      <c r="G205">
        <f t="shared" ca="1" si="32"/>
        <v>-7.2232405755050999E-3</v>
      </c>
      <c r="H205">
        <f t="shared" ca="1" si="29"/>
        <v>4005.5999195182467</v>
      </c>
      <c r="I205">
        <f t="shared" ca="1" si="30"/>
        <v>539.02009302435101</v>
      </c>
      <c r="J205">
        <f t="shared" ca="1" si="31"/>
        <v>2219.8488340731706</v>
      </c>
      <c r="K205">
        <f t="array" aca="1" ref="K205:L205" ca="1">Opt3Spd(H205:J205,$E$3:$G$3,$K$3:$M$3,$N$3:$P$3,$H$3,$I$3,$Q$3,$J$3)</f>
        <v>208.26465497813842</v>
      </c>
      <c r="L205">
        <f ca="1"/>
        <v>2.1301335438465685E-2</v>
      </c>
    </row>
    <row r="206" spans="2:12" x14ac:dyDescent="0.15">
      <c r="B206">
        <f t="shared" ca="1" si="26"/>
        <v>1.1421301041993626</v>
      </c>
      <c r="C206">
        <f t="shared" ca="1" si="26"/>
        <v>2.5524027734554148E-2</v>
      </c>
      <c r="D206">
        <f t="shared" ca="1" si="26"/>
        <v>0.15701390229374268</v>
      </c>
      <c r="E206">
        <f t="shared" ca="1" si="27"/>
        <v>8.6681580324370257E-3</v>
      </c>
      <c r="F206">
        <f t="shared" ca="1" si="28"/>
        <v>1.4317460473897824E-2</v>
      </c>
      <c r="G206">
        <f t="shared" ca="1" si="32"/>
        <v>7.950192043805435E-3</v>
      </c>
      <c r="H206">
        <f t="shared" ca="1" si="29"/>
        <v>4050.8113226582673</v>
      </c>
      <c r="I206">
        <f t="shared" ca="1" si="30"/>
        <v>551.7886984978004</v>
      </c>
      <c r="J206">
        <f t="shared" ca="1" si="31"/>
        <v>2253.7766294099488</v>
      </c>
      <c r="K206">
        <f t="array" aca="1" ref="K206:L206" ca="1">Opt3Spd(H206:J206,$E$3:$G$3,$K$3:$M$3,$N$3:$P$3,$H$3,$I$3,$Q$3,$J$3)</f>
        <v>216.07609925001543</v>
      </c>
      <c r="L206">
        <f ca="1"/>
        <v>1.5008893203003026E-2</v>
      </c>
    </row>
    <row r="207" spans="2:12" x14ac:dyDescent="0.15">
      <c r="B207">
        <f t="shared" ca="1" si="26"/>
        <v>-1.0474934958926676</v>
      </c>
      <c r="C207">
        <f t="shared" ca="1" si="26"/>
        <v>-1.273284950246995</v>
      </c>
      <c r="D207">
        <f t="shared" ca="1" si="26"/>
        <v>0.29026848984169834</v>
      </c>
      <c r="E207">
        <f t="shared" ca="1" si="27"/>
        <v>-7.9499166749593467E-3</v>
      </c>
      <c r="F207">
        <f t="shared" ca="1" si="28"/>
        <v>-2.270870838836371E-2</v>
      </c>
      <c r="G207">
        <f t="shared" ca="1" si="32"/>
        <v>-6.9587835542177946E-3</v>
      </c>
      <c r="H207">
        <f t="shared" ca="1" si="29"/>
        <v>3984.0731346333632</v>
      </c>
      <c r="I207">
        <f t="shared" ca="1" si="30"/>
        <v>531.64646263673012</v>
      </c>
      <c r="J207">
        <f t="shared" ca="1" si="31"/>
        <v>2220.4401599727689</v>
      </c>
      <c r="K207">
        <f t="array" aca="1" ref="K207:L207" ca="1">Opt3Spd(H207:J207,$E$3:$G$3,$K$3:$M$3,$N$3:$P$3,$H$3,$I$3,$Q$3,$J$3)</f>
        <v>198.25369117494688</v>
      </c>
      <c r="L207">
        <f ca="1"/>
        <v>3.4976746736219866E-2</v>
      </c>
    </row>
    <row r="208" spans="2:12" x14ac:dyDescent="0.15">
      <c r="B208">
        <f t="shared" ca="1" si="26"/>
        <v>0.71429069200393291</v>
      </c>
      <c r="C208">
        <f t="shared" ca="1" si="26"/>
        <v>-0.46902410082269247</v>
      </c>
      <c r="D208">
        <f t="shared" ca="1" si="26"/>
        <v>-0.54023701787992084</v>
      </c>
      <c r="E208">
        <f t="shared" ca="1" si="27"/>
        <v>5.4210851956565985E-3</v>
      </c>
      <c r="F208">
        <f t="shared" ca="1" si="28"/>
        <v>5.2377982337093645E-3</v>
      </c>
      <c r="G208">
        <f t="shared" ca="1" si="32"/>
        <v>2.235676536140362E-3</v>
      </c>
      <c r="H208">
        <f t="shared" ca="1" si="29"/>
        <v>4037.7710781457572</v>
      </c>
      <c r="I208">
        <f t="shared" ca="1" si="30"/>
        <v>546.8493622391378</v>
      </c>
      <c r="J208">
        <f t="shared" ca="1" si="31"/>
        <v>2240.9989727348102</v>
      </c>
      <c r="K208">
        <f t="array" aca="1" ref="K208:L208" ca="1">Opt3Spd(H208:J208,$E$3:$G$3,$K$3:$M$3,$N$3:$P$3,$H$3,$I$3,$Q$3,$J$3)</f>
        <v>217.32640269932199</v>
      </c>
      <c r="L208">
        <f ca="1"/>
        <v>1.3790503590371372E-2</v>
      </c>
    </row>
    <row r="209" spans="2:12" x14ac:dyDescent="0.15">
      <c r="B209">
        <f t="shared" ca="1" si="26"/>
        <v>2.4144443584229593</v>
      </c>
      <c r="C209">
        <f t="shared" ca="1" si="26"/>
        <v>-0.69098923388423295</v>
      </c>
      <c r="D209">
        <f t="shared" ca="1" si="26"/>
        <v>1.9098861981761348</v>
      </c>
      <c r="E209">
        <f t="shared" ca="1" si="27"/>
        <v>1.8324344295265201E-2</v>
      </c>
      <c r="F209">
        <f t="shared" ca="1" si="28"/>
        <v>2.4558476242516312E-2</v>
      </c>
      <c r="G209">
        <f t="shared" ca="1" si="32"/>
        <v>2.1689092614680883E-2</v>
      </c>
      <c r="H209">
        <f t="shared" ca="1" si="29"/>
        <v>4089.5905666897852</v>
      </c>
      <c r="I209">
        <f t="shared" ca="1" si="30"/>
        <v>557.35981107592897</v>
      </c>
      <c r="J209">
        <f t="shared" ca="1" si="31"/>
        <v>2284.4968110864265</v>
      </c>
      <c r="K209">
        <f t="array" aca="1" ref="K209:L209" ca="1">Opt3Spd(H209:J209,$E$3:$G$3,$K$3:$M$3,$N$3:$P$3,$H$3,$I$3,$Q$3,$J$3)</f>
        <v>230.57376646735133</v>
      </c>
      <c r="L209">
        <f ca="1"/>
        <v>7.3030422656756855E-3</v>
      </c>
    </row>
    <row r="210" spans="2:12" x14ac:dyDescent="0.15">
      <c r="B210">
        <f t="shared" ca="1" si="26"/>
        <v>-4.4715778223688954E-2</v>
      </c>
      <c r="C210">
        <f t="shared" ca="1" si="26"/>
        <v>0.99462987542197923</v>
      </c>
      <c r="D210">
        <f t="shared" ca="1" si="26"/>
        <v>-1.611961255759516</v>
      </c>
      <c r="E210">
        <f t="shared" ca="1" si="27"/>
        <v>-3.3936889568115668E-4</v>
      </c>
      <c r="F210">
        <f t="shared" ca="1" si="28"/>
        <v>7.0687935175016521E-3</v>
      </c>
      <c r="G210">
        <f t="shared" ca="1" si="32"/>
        <v>-5.05010667304546E-3</v>
      </c>
      <c r="H210">
        <f t="shared" ca="1" si="29"/>
        <v>4014.6370945149442</v>
      </c>
      <c r="I210">
        <f t="shared" ca="1" si="30"/>
        <v>547.84542367352083</v>
      </c>
      <c r="J210">
        <f t="shared" ca="1" si="31"/>
        <v>2224.70796147907</v>
      </c>
      <c r="K210">
        <f t="array" aca="1" ref="K210:L210" ca="1">Opt3Spd(H210:J210,$E$3:$G$3,$K$3:$M$3,$N$3:$P$3,$H$3,$I$3,$Q$3,$J$3)</f>
        <v>200.76185240442624</v>
      </c>
      <c r="L210">
        <f ca="1"/>
        <v>3.1416506650430165E-2</v>
      </c>
    </row>
    <row r="211" spans="2:12" x14ac:dyDescent="0.15">
      <c r="B211">
        <f t="shared" ca="1" si="26"/>
        <v>-0.50352606991570925</v>
      </c>
      <c r="C211">
        <f t="shared" ca="1" si="26"/>
        <v>1.4355020749633853</v>
      </c>
      <c r="D211">
        <f t="shared" ca="1" si="26"/>
        <v>1.453199704283081E-2</v>
      </c>
      <c r="E211">
        <f t="shared" ca="1" si="27"/>
        <v>-3.8214941812963893E-3</v>
      </c>
      <c r="F211">
        <f t="shared" ca="1" si="28"/>
        <v>4.7741608366921326E-3</v>
      </c>
      <c r="G211">
        <f t="shared" ca="1" si="32"/>
        <v>-1.8075930895075155E-3</v>
      </c>
      <c r="H211">
        <f t="shared" ca="1" si="29"/>
        <v>4000.6528793679136</v>
      </c>
      <c r="I211">
        <f t="shared" ca="1" si="30"/>
        <v>546.59714349516059</v>
      </c>
      <c r="J211">
        <f t="shared" ca="1" si="31"/>
        <v>2231.9582218518613</v>
      </c>
      <c r="K211">
        <f t="array" aca="1" ref="K211:L211" ca="1">Opt3Spd(H211:J211,$E$3:$G$3,$K$3:$M$3,$N$3:$P$3,$H$3,$I$3,$Q$3,$J$3)</f>
        <v>185.18536190385203</v>
      </c>
      <c r="L211">
        <f ca="1"/>
        <v>6.7023054126138959E-2</v>
      </c>
    </row>
    <row r="212" spans="2:12" x14ac:dyDescent="0.15">
      <c r="B212">
        <f t="shared" ca="1" si="26"/>
        <v>1.1761946976354571</v>
      </c>
      <c r="C212">
        <f t="shared" ca="1" si="26"/>
        <v>-0.16604144533983936</v>
      </c>
      <c r="D212">
        <f t="shared" ca="1" si="26"/>
        <v>0.45268381521912482</v>
      </c>
      <c r="E212">
        <f t="shared" ca="1" si="27"/>
        <v>8.9266901192186585E-3</v>
      </c>
      <c r="F212">
        <f t="shared" ca="1" si="28"/>
        <v>1.3270718223031429E-2</v>
      </c>
      <c r="G212">
        <f t="shared" ca="1" si="32"/>
        <v>9.0345038735356979E-3</v>
      </c>
      <c r="H212">
        <f t="shared" ca="1" si="29"/>
        <v>4051.8495875187823</v>
      </c>
      <c r="I212">
        <f t="shared" ca="1" si="30"/>
        <v>551.21927071332902</v>
      </c>
      <c r="J212">
        <f t="shared" ca="1" si="31"/>
        <v>2256.2011506612262</v>
      </c>
      <c r="K212">
        <f t="array" aca="1" ref="K212:L212" ca="1">Opt3Spd(H212:J212,$E$3:$G$3,$K$3:$M$3,$N$3:$P$3,$H$3,$I$3,$Q$3,$J$3)</f>
        <v>216.81266051419902</v>
      </c>
      <c r="L212">
        <f ca="1"/>
        <v>1.4481467356517896E-2</v>
      </c>
    </row>
    <row r="213" spans="2:12" x14ac:dyDescent="0.15">
      <c r="B213">
        <f t="shared" ca="1" si="26"/>
        <v>-1.4338473291410576</v>
      </c>
      <c r="C213">
        <f t="shared" ca="1" si="26"/>
        <v>2.0402997913155576</v>
      </c>
      <c r="D213">
        <f t="shared" ca="1" si="26"/>
        <v>-0.23181051302058125</v>
      </c>
      <c r="E213">
        <f t="shared" ca="1" si="27"/>
        <v>-1.0882136104883674E-2</v>
      </c>
      <c r="F213">
        <f t="shared" ca="1" si="28"/>
        <v>-2.0943381095859712E-3</v>
      </c>
      <c r="G213">
        <f t="shared" ca="1" si="32"/>
        <v>-8.0986687208994511E-3</v>
      </c>
      <c r="H213">
        <f t="shared" ca="1" si="29"/>
        <v>3972.2973414027874</v>
      </c>
      <c r="I213">
        <f t="shared" ca="1" si="30"/>
        <v>542.86068006838525</v>
      </c>
      <c r="J213">
        <f t="shared" ca="1" si="31"/>
        <v>2217.8913767400686</v>
      </c>
      <c r="K213">
        <f t="array" aca="1" ref="K213:L213" ca="1">Opt3Spd(H213:J213,$E$3:$G$3,$K$3:$M$3,$N$3:$P$3,$H$3,$I$3,$Q$3,$J$3)</f>
        <v>169.90754781199757</v>
      </c>
      <c r="L213">
        <f ca="1"/>
        <v>0.13298288866076291</v>
      </c>
    </row>
    <row r="214" spans="2:12" x14ac:dyDescent="0.15">
      <c r="B214">
        <f t="shared" ca="1" si="26"/>
        <v>0.31901832500940974</v>
      </c>
      <c r="C214">
        <f t="shared" ca="1" si="26"/>
        <v>-1.2219945897359208</v>
      </c>
      <c r="D214">
        <f t="shared" ca="1" si="26"/>
        <v>0.35872157649350772</v>
      </c>
      <c r="E214">
        <f t="shared" ca="1" si="27"/>
        <v>2.4211788536678204E-3</v>
      </c>
      <c r="F214">
        <f t="shared" ca="1" si="28"/>
        <v>-5.4194358212835301E-3</v>
      </c>
      <c r="G214">
        <f t="shared" ca="1" si="32"/>
        <v>2.1493572711177391E-3</v>
      </c>
      <c r="H214">
        <f t="shared" ca="1" si="29"/>
        <v>4025.7234542763304</v>
      </c>
      <c r="I214">
        <f t="shared" ca="1" si="30"/>
        <v>541.0518269132217</v>
      </c>
      <c r="J214">
        <f t="shared" ca="1" si="31"/>
        <v>2240.8059628582191</v>
      </c>
      <c r="K214">
        <f t="array" aca="1" ref="K214:L214" ca="1">Opt3Spd(H214:J214,$E$3:$G$3,$K$3:$M$3,$N$3:$P$3,$H$3,$I$3,$Q$3,$J$3)</f>
        <v>214.65330804653831</v>
      </c>
      <c r="L214">
        <f ca="1"/>
        <v>1.5758260472239272E-2</v>
      </c>
    </row>
    <row r="215" spans="2:12" x14ac:dyDescent="0.15">
      <c r="B215">
        <f t="shared" ca="1" si="26"/>
        <v>1.5037560965714889</v>
      </c>
      <c r="C215">
        <f t="shared" ca="1" si="26"/>
        <v>-4.6027345885797123E-4</v>
      </c>
      <c r="D215">
        <f t="shared" ca="1" si="26"/>
        <v>0.97970524337707043</v>
      </c>
      <c r="E215">
        <f t="shared" ca="1" si="27"/>
        <v>1.1412706345272056E-2</v>
      </c>
      <c r="F215">
        <f t="shared" ca="1" si="28"/>
        <v>1.8589673755810721E-2</v>
      </c>
      <c r="G215">
        <f t="shared" ca="1" si="32"/>
        <v>1.3179306083832516E-2</v>
      </c>
      <c r="H215">
        <f t="shared" ca="1" si="29"/>
        <v>4061.8334286826125</v>
      </c>
      <c r="I215">
        <f t="shared" ca="1" si="30"/>
        <v>554.11278252316106</v>
      </c>
      <c r="J215">
        <f t="shared" ca="1" si="31"/>
        <v>2265.4689284034498</v>
      </c>
      <c r="K215">
        <f t="array" aca="1" ref="K215:L215" ca="1">Opt3Spd(H215:J215,$E$3:$G$3,$K$3:$M$3,$N$3:$P$3,$H$3,$I$3,$Q$3,$J$3)</f>
        <v>217.53265862012131</v>
      </c>
      <c r="L215">
        <f ca="1"/>
        <v>1.4146176291660595E-2</v>
      </c>
    </row>
    <row r="216" spans="2:12" x14ac:dyDescent="0.15">
      <c r="B216">
        <f t="shared" ca="1" si="26"/>
        <v>0.87743199808764771</v>
      </c>
      <c r="C216">
        <f t="shared" ca="1" si="26"/>
        <v>0.26878553926268978</v>
      </c>
      <c r="D216">
        <f t="shared" ca="1" si="26"/>
        <v>-0.79023130753078752</v>
      </c>
      <c r="E216">
        <f t="shared" ca="1" si="27"/>
        <v>6.6592406540867339E-3</v>
      </c>
      <c r="F216">
        <f t="shared" ca="1" si="28"/>
        <v>1.290867143101474E-2</v>
      </c>
      <c r="G216">
        <f t="shared" ca="1" si="32"/>
        <v>3.1143210582537809E-3</v>
      </c>
      <c r="H216">
        <f t="shared" ca="1" si="29"/>
        <v>4042.743510466812</v>
      </c>
      <c r="I216">
        <f t="shared" ca="1" si="30"/>
        <v>551.02231725847196</v>
      </c>
      <c r="J216">
        <f t="shared" ca="1" si="31"/>
        <v>2242.9636218862556</v>
      </c>
      <c r="K216">
        <f t="array" aca="1" ref="K216:L216" ca="1">Opt3Spd(H216:J216,$E$3:$G$3,$K$3:$M$3,$N$3:$P$3,$H$3,$I$3,$Q$3,$J$3)</f>
        <v>214.64193753766858</v>
      </c>
      <c r="L216">
        <f ca="1"/>
        <v>1.5945627539394991E-2</v>
      </c>
    </row>
    <row r="217" spans="2:12" x14ac:dyDescent="0.15">
      <c r="B217">
        <f t="shared" ca="1" si="26"/>
        <v>-4.9446387678020821E-2</v>
      </c>
      <c r="C217">
        <f t="shared" ca="1" si="26"/>
        <v>0.12175617004464988</v>
      </c>
      <c r="D217">
        <f t="shared" ca="1" si="26"/>
        <v>-0.20433539094572989</v>
      </c>
      <c r="E217">
        <f t="shared" ca="1" si="27"/>
        <v>-3.7527169711255263E-4</v>
      </c>
      <c r="F217">
        <f t="shared" ca="1" si="28"/>
        <v>3.2161698173657007E-4</v>
      </c>
      <c r="G217">
        <f t="shared" ca="1" si="32"/>
        <v>-9.2676141368043432E-4</v>
      </c>
      <c r="H217">
        <f t="shared" ca="1" si="29"/>
        <v>4014.4929088643958</v>
      </c>
      <c r="I217">
        <f t="shared" ca="1" si="30"/>
        <v>544.17495963806471</v>
      </c>
      <c r="J217">
        <f t="shared" ca="1" si="31"/>
        <v>2233.9277614790108</v>
      </c>
      <c r="K217">
        <f t="array" aca="1" ref="K217:L217" ca="1">Opt3Spd(H217:J217,$E$3:$G$3,$K$3:$M$3,$N$3:$P$3,$H$3,$I$3,$Q$3,$J$3)</f>
        <v>201.87902279485434</v>
      </c>
      <c r="L217">
        <f ca="1"/>
        <v>2.9930090867310355E-2</v>
      </c>
    </row>
    <row r="218" spans="2:12" x14ac:dyDescent="0.15">
      <c r="B218">
        <f t="shared" ca="1" si="26"/>
        <v>1.2832317886576006</v>
      </c>
      <c r="C218">
        <f t="shared" ca="1" si="26"/>
        <v>-0.7948506486500676</v>
      </c>
      <c r="D218">
        <f t="shared" ca="1" si="26"/>
        <v>1.0795200035343817</v>
      </c>
      <c r="E218">
        <f t="shared" ca="1" si="27"/>
        <v>9.7390445234156187E-3</v>
      </c>
      <c r="F218">
        <f t="shared" ca="1" si="28"/>
        <v>9.7757194193468944E-3</v>
      </c>
      <c r="G218">
        <f t="shared" ca="1" si="32"/>
        <v>1.1342440179097611E-2</v>
      </c>
      <c r="H218">
        <f t="shared" ca="1" si="29"/>
        <v>4055.1120028060368</v>
      </c>
      <c r="I218">
        <f t="shared" ca="1" si="30"/>
        <v>549.31799136412474</v>
      </c>
      <c r="J218">
        <f t="shared" ca="1" si="31"/>
        <v>2261.3616962404622</v>
      </c>
      <c r="K218">
        <f t="array" aca="1" ref="K218:L218" ca="1">Opt3Spd(H218:J218,$E$3:$G$3,$K$3:$M$3,$N$3:$P$3,$H$3,$I$3,$Q$3,$J$3)</f>
        <v>220.53435115974457</v>
      </c>
      <c r="L218">
        <f ca="1"/>
        <v>1.1982656538521042E-2</v>
      </c>
    </row>
    <row r="219" spans="2:12" x14ac:dyDescent="0.15">
      <c r="B219">
        <f t="shared" ca="1" si="26"/>
        <v>-0.74468586316290175</v>
      </c>
      <c r="C219">
        <f t="shared" ca="1" si="26"/>
        <v>-1.1126347358087105</v>
      </c>
      <c r="D219">
        <f t="shared" ca="1" si="26"/>
        <v>0.81300747943953611</v>
      </c>
      <c r="E219">
        <f t="shared" ca="1" si="27"/>
        <v>-5.6517683254158025E-3</v>
      </c>
      <c r="F219">
        <f t="shared" ca="1" si="28"/>
        <v>-1.7733606038061001E-2</v>
      </c>
      <c r="G219">
        <f t="shared" ca="1" si="32"/>
        <v>-2.9936475312125703E-3</v>
      </c>
      <c r="H219">
        <f t="shared" ca="1" si="29"/>
        <v>3993.3024984051303</v>
      </c>
      <c r="I219">
        <f t="shared" ca="1" si="30"/>
        <v>534.3529183152948</v>
      </c>
      <c r="J219">
        <f t="shared" ca="1" si="31"/>
        <v>2229.3062041202088</v>
      </c>
      <c r="K219">
        <f t="array" aca="1" ref="K219:L219" ca="1">Opt3Spd(H219:J219,$E$3:$G$3,$K$3:$M$3,$N$3:$P$3,$H$3,$I$3,$Q$3,$J$3)</f>
        <v>198.71929260476873</v>
      </c>
      <c r="L219">
        <f ca="1"/>
        <v>3.4565564214744882E-2</v>
      </c>
    </row>
    <row r="220" spans="2:12" x14ac:dyDescent="0.15">
      <c r="B220">
        <f t="shared" ca="1" si="26"/>
        <v>-0.42985464180945021</v>
      </c>
      <c r="C220">
        <f t="shared" ca="1" si="26"/>
        <v>-1.4691417120594346</v>
      </c>
      <c r="D220">
        <f t="shared" ca="1" si="26"/>
        <v>-6.8636529449630501E-2</v>
      </c>
      <c r="E220">
        <f t="shared" ca="1" si="27"/>
        <v>-3.262367354192892E-3</v>
      </c>
      <c r="F220">
        <f t="shared" ca="1" si="28"/>
        <v>-1.6572726821800152E-2</v>
      </c>
      <c r="G220">
        <f t="shared" ca="1" si="32"/>
        <v>-4.4383670200254331E-3</v>
      </c>
      <c r="H220">
        <f t="shared" ca="1" si="29"/>
        <v>4002.8983327055612</v>
      </c>
      <c r="I220">
        <f t="shared" ca="1" si="30"/>
        <v>534.98443660894077</v>
      </c>
      <c r="J220">
        <f t="shared" ca="1" si="31"/>
        <v>2226.075811343223</v>
      </c>
      <c r="K220">
        <f t="array" aca="1" ref="K220:L220" ca="1">Opt3Spd(H220:J220,$E$3:$G$3,$K$3:$M$3,$N$3:$P$3,$H$3,$I$3,$Q$3,$J$3)</f>
        <v>208.90603048089315</v>
      </c>
      <c r="L220">
        <f ca="1"/>
        <v>2.0702021248780511E-2</v>
      </c>
    </row>
    <row r="221" spans="2:12" x14ac:dyDescent="0.15">
      <c r="B221">
        <f t="shared" ca="1" si="26"/>
        <v>2.4363125669348391</v>
      </c>
      <c r="C221">
        <f t="shared" ca="1" si="26"/>
        <v>0.16034293356023172</v>
      </c>
      <c r="D221">
        <f t="shared" ca="1" si="26"/>
        <v>0.10599218056152018</v>
      </c>
      <c r="E221">
        <f t="shared" ca="1" si="27"/>
        <v>1.8490312328653252E-2</v>
      </c>
      <c r="F221">
        <f t="shared" ca="1" si="28"/>
        <v>3.1352481524408525E-2</v>
      </c>
      <c r="G221">
        <f t="shared" ca="1" si="32"/>
        <v>1.6248302590011428E-2</v>
      </c>
      <c r="H221">
        <f t="shared" ca="1" si="29"/>
        <v>4090.2570943118717</v>
      </c>
      <c r="I221">
        <f t="shared" ca="1" si="30"/>
        <v>561.05574994927827</v>
      </c>
      <c r="J221">
        <f t="shared" ca="1" si="31"/>
        <v>2272.3312045912658</v>
      </c>
      <c r="K221">
        <f t="array" aca="1" ref="K221:L221" ca="1">Opt3Spd(H221:J221,$E$3:$G$3,$K$3:$M$3,$N$3:$P$3,$H$3,$I$3,$Q$3,$J$3)</f>
        <v>231.40919198937718</v>
      </c>
      <c r="L221">
        <f ca="1"/>
        <v>6.8998919832665706E-3</v>
      </c>
    </row>
    <row r="222" spans="2:12" x14ac:dyDescent="0.15">
      <c r="B222">
        <f t="shared" ca="1" si="26"/>
        <v>1.1876132152504861</v>
      </c>
      <c r="C222">
        <f t="shared" ca="1" si="26"/>
        <v>0.43005806808516811</v>
      </c>
      <c r="D222">
        <f t="shared" ca="1" si="26"/>
        <v>-2.0890407211043454</v>
      </c>
      <c r="E222">
        <f t="shared" ca="1" si="27"/>
        <v>9.0133505748176482E-3</v>
      </c>
      <c r="F222">
        <f t="shared" ca="1" si="28"/>
        <v>1.7979713198520535E-2</v>
      </c>
      <c r="G222">
        <f t="shared" ca="1" si="32"/>
        <v>6.5927520694006488E-4</v>
      </c>
      <c r="H222">
        <f t="shared" ca="1" si="29"/>
        <v>4052.1976159084675</v>
      </c>
      <c r="I222">
        <f t="shared" ca="1" si="30"/>
        <v>553.78096397999514</v>
      </c>
      <c r="J222">
        <f t="shared" ca="1" si="31"/>
        <v>2237.4741393627182</v>
      </c>
      <c r="K222">
        <f t="array" aca="1" ref="K222:L222" ca="1">Opt3Spd(H222:J222,$E$3:$G$3,$K$3:$M$3,$N$3:$P$3,$H$3,$I$3,$Q$3,$J$3)</f>
        <v>222.42158456809011</v>
      </c>
      <c r="L222">
        <f ca="1"/>
        <v>1.0580708973975561E-2</v>
      </c>
    </row>
    <row r="223" spans="2:12" x14ac:dyDescent="0.15">
      <c r="B223">
        <f t="shared" ca="1" si="26"/>
        <v>-1.0229360764244266</v>
      </c>
      <c r="C223">
        <f t="shared" ca="1" si="26"/>
        <v>-0.7023958252900081</v>
      </c>
      <c r="D223">
        <f t="shared" ca="1" si="26"/>
        <v>-9.444976404750266E-2</v>
      </c>
      <c r="E223">
        <f t="shared" ca="1" si="27"/>
        <v>-7.76353896541742E-3</v>
      </c>
      <c r="F223">
        <f t="shared" ca="1" si="28"/>
        <v>-1.8030440367586224E-2</v>
      </c>
      <c r="G223">
        <f t="shared" ca="1" si="32"/>
        <v>-7.6140791565491158E-3</v>
      </c>
      <c r="H223">
        <f t="shared" ca="1" si="29"/>
        <v>3984.8216275148839</v>
      </c>
      <c r="I223">
        <f t="shared" ca="1" si="30"/>
        <v>534.19144044003303</v>
      </c>
      <c r="J223">
        <f t="shared" ca="1" si="31"/>
        <v>2218.9749190059561</v>
      </c>
      <c r="K223">
        <f t="array" aca="1" ref="K223:L223" ca="1">Opt3Spd(H223:J223,$E$3:$G$3,$K$3:$M$3,$N$3:$P$3,$H$3,$I$3,$Q$3,$J$3)</f>
        <v>195.6675701004865</v>
      </c>
      <c r="L223">
        <f ca="1"/>
        <v>3.9706792633523946E-2</v>
      </c>
    </row>
    <row r="224" spans="2:12" x14ac:dyDescent="0.15">
      <c r="B224">
        <f t="shared" ca="1" si="26"/>
        <v>1.7786566347358073</v>
      </c>
      <c r="C224">
        <f t="shared" ca="1" si="26"/>
        <v>2.056433615810676</v>
      </c>
      <c r="D224">
        <f t="shared" ca="1" si="26"/>
        <v>0.14948487755927639</v>
      </c>
      <c r="E224">
        <f t="shared" ca="1" si="27"/>
        <v>1.349905473872475E-2</v>
      </c>
      <c r="F224">
        <f t="shared" ca="1" si="28"/>
        <v>3.7750316099125443E-2</v>
      </c>
      <c r="G224">
        <f t="shared" ca="1" si="32"/>
        <v>1.3994942347027984E-2</v>
      </c>
      <c r="H224">
        <f t="shared" ca="1" si="29"/>
        <v>4070.2122038307189</v>
      </c>
      <c r="I224">
        <f t="shared" ca="1" si="30"/>
        <v>564.53617195792424</v>
      </c>
      <c r="J224">
        <f t="shared" ca="1" si="31"/>
        <v>2267.2926910879546</v>
      </c>
      <c r="K224">
        <f t="array" aca="1" ref="K224:L224" ca="1">Opt3Spd(H224:J224,$E$3:$G$3,$K$3:$M$3,$N$3:$P$3,$H$3,$I$3,$Q$3,$J$3)</f>
        <v>208.33090427064258</v>
      </c>
      <c r="L224">
        <f ca="1"/>
        <v>2.2921116579709633E-2</v>
      </c>
    </row>
    <row r="225" spans="2:12" x14ac:dyDescent="0.15">
      <c r="B225">
        <f t="shared" ca="1" si="26"/>
        <v>-2.0555706970320831</v>
      </c>
      <c r="C225">
        <f t="shared" ca="1" si="26"/>
        <v>0.2194540544180858</v>
      </c>
      <c r="D225">
        <f t="shared" ca="1" si="26"/>
        <v>0.33834876457147001</v>
      </c>
      <c r="E225">
        <f t="shared" ca="1" si="27"/>
        <v>-1.560068470589112E-2</v>
      </c>
      <c r="F225">
        <f t="shared" ca="1" si="28"/>
        <v>-2.3734475867099585E-2</v>
      </c>
      <c r="G225">
        <f t="shared" ca="1" si="32"/>
        <v>-1.1846743160135349E-2</v>
      </c>
      <c r="H225">
        <f t="shared" ca="1" si="29"/>
        <v>3953.3476502211411</v>
      </c>
      <c r="I225">
        <f t="shared" ca="1" si="30"/>
        <v>531.08844512829785</v>
      </c>
      <c r="J225">
        <f t="shared" ca="1" si="31"/>
        <v>2209.5106822939374</v>
      </c>
      <c r="K225">
        <f t="array" aca="1" ref="K225:L225" ca="1">Opt3Spd(H225:J225,$E$3:$G$3,$K$3:$M$3,$N$3:$P$3,$H$3,$I$3,$Q$3,$J$3)</f>
        <v>173.96000160753124</v>
      </c>
      <c r="L225">
        <f ca="1"/>
        <v>0.10920473863552616</v>
      </c>
    </row>
    <row r="226" spans="2:12" x14ac:dyDescent="0.15">
      <c r="B226">
        <f t="shared" ca="1" si="26"/>
        <v>-1.060399058087877</v>
      </c>
      <c r="C226">
        <f t="shared" ca="1" si="26"/>
        <v>-7.4970129560711543E-2</v>
      </c>
      <c r="D226">
        <f t="shared" ca="1" si="26"/>
        <v>-0.40513638218723741</v>
      </c>
      <c r="E226">
        <f t="shared" ca="1" si="27"/>
        <v>-8.0478630054117237E-3</v>
      </c>
      <c r="F226">
        <f t="shared" ca="1" si="28"/>
        <v>-1.368579368223642E-2</v>
      </c>
      <c r="G226">
        <f t="shared" ca="1" si="32"/>
        <v>-8.3518755591284154E-3</v>
      </c>
      <c r="H226">
        <f t="shared" ca="1" si="29"/>
        <v>3983.6797821702667</v>
      </c>
      <c r="I226">
        <f t="shared" ca="1" si="30"/>
        <v>536.55492823686336</v>
      </c>
      <c r="J226">
        <f t="shared" ca="1" si="31"/>
        <v>2217.3252062497891</v>
      </c>
      <c r="K226">
        <f t="array" aca="1" ref="K226:L226" ca="1">Opt3Spd(H226:J226,$E$3:$G$3,$K$3:$M$3,$N$3:$P$3,$H$3,$I$3,$Q$3,$J$3)</f>
        <v>191.57770041191907</v>
      </c>
      <c r="L226">
        <f ca="1"/>
        <v>4.8406545528223432E-2</v>
      </c>
    </row>
    <row r="227" spans="2:12" x14ac:dyDescent="0.15">
      <c r="B227">
        <f t="shared" ca="1" si="26"/>
        <v>-0.51413413304529698</v>
      </c>
      <c r="C227">
        <f t="shared" ca="1" si="26"/>
        <v>0.73834296048744374</v>
      </c>
      <c r="D227">
        <f t="shared" ca="1" si="26"/>
        <v>1.1624859833551719</v>
      </c>
      <c r="E227">
        <f t="shared" ca="1" si="27"/>
        <v>-3.9020037198220321E-3</v>
      </c>
      <c r="F227">
        <f t="shared" ca="1" si="28"/>
        <v>-6.992160524208731E-4</v>
      </c>
      <c r="G227">
        <f t="shared" ca="1" si="32"/>
        <v>1.5257683435735104E-3</v>
      </c>
      <c r="H227">
        <f t="shared" ca="1" si="29"/>
        <v>4000.3295530611945</v>
      </c>
      <c r="I227">
        <f t="shared" ca="1" si="30"/>
        <v>543.61962646748304</v>
      </c>
      <c r="J227">
        <f t="shared" ca="1" si="31"/>
        <v>2239.41161801623</v>
      </c>
      <c r="K227">
        <f t="array" aca="1" ref="K227:L227" ca="1">Opt3Spd(H227:J227,$E$3:$G$3,$K$3:$M$3,$N$3:$P$3,$H$3,$I$3,$Q$3,$J$3)</f>
        <v>185.89747608792663</v>
      </c>
      <c r="L227">
        <f ca="1"/>
        <v>6.5134382820133396E-2</v>
      </c>
    </row>
    <row r="228" spans="2:12" x14ac:dyDescent="0.15">
      <c r="B228">
        <f t="shared" ca="1" si="26"/>
        <v>-0.74148012684880094</v>
      </c>
      <c r="C228">
        <f t="shared" ca="1" si="26"/>
        <v>0.14913139437284709</v>
      </c>
      <c r="D228">
        <f t="shared" ca="1" si="26"/>
        <v>-1.1744910024757844</v>
      </c>
      <c r="E228">
        <f t="shared" ca="1" si="27"/>
        <v>-5.6274384974226701E-3</v>
      </c>
      <c r="F228">
        <f t="shared" ca="1" si="28"/>
        <v>-8.0252663418601249E-3</v>
      </c>
      <c r="G228">
        <f t="shared" ca="1" si="32"/>
        <v>-8.8096535288671295E-3</v>
      </c>
      <c r="H228">
        <f t="shared" ca="1" si="29"/>
        <v>3993.4002069943508</v>
      </c>
      <c r="I228">
        <f t="shared" ca="1" si="30"/>
        <v>539.63425511002811</v>
      </c>
      <c r="J228">
        <f t="shared" ca="1" si="31"/>
        <v>2216.3016147094531</v>
      </c>
      <c r="K228">
        <f t="array" aca="1" ref="K228:L228" ca="1">Opt3Spd(H228:J228,$E$3:$G$3,$K$3:$M$3,$N$3:$P$3,$H$3,$I$3,$Q$3,$J$3)</f>
        <v>196.87206558916091</v>
      </c>
      <c r="L228">
        <f ca="1"/>
        <v>3.7474125581638873E-2</v>
      </c>
    </row>
    <row r="229" spans="2:12" x14ac:dyDescent="0.15">
      <c r="B229">
        <f t="shared" ca="1" si="26"/>
        <v>-7.4812231737575091E-2</v>
      </c>
      <c r="C229">
        <f t="shared" ca="1" si="26"/>
        <v>-0.56975397435089981</v>
      </c>
      <c r="D229">
        <f t="shared" ca="1" si="26"/>
        <v>0.88045564532403386</v>
      </c>
      <c r="E229">
        <f t="shared" ca="1" si="27"/>
        <v>-5.6778491791457648E-4</v>
      </c>
      <c r="F229">
        <f t="shared" ca="1" si="28"/>
        <v>-5.2909454622703158E-3</v>
      </c>
      <c r="G229">
        <f t="shared" ca="1" si="32"/>
        <v>2.0925703742235295E-3</v>
      </c>
      <c r="H229">
        <f t="shared" ca="1" si="29"/>
        <v>4013.7197757696554</v>
      </c>
      <c r="I229">
        <f t="shared" ca="1" si="30"/>
        <v>541.12172566852496</v>
      </c>
      <c r="J229">
        <f t="shared" ca="1" si="31"/>
        <v>2240.6789873567641</v>
      </c>
      <c r="K229">
        <f t="array" aca="1" ref="K229:L229" ca="1">Opt3Spd(H229:J229,$E$3:$G$3,$K$3:$M$3,$N$3:$P$3,$H$3,$I$3,$Q$3,$J$3)</f>
        <v>202.61451911771405</v>
      </c>
      <c r="L229">
        <f ca="1"/>
        <v>2.8998096080840696E-2</v>
      </c>
    </row>
    <row r="230" spans="2:12" x14ac:dyDescent="0.15">
      <c r="B230">
        <f t="shared" ca="1" si="26"/>
        <v>-1.3034665777712169</v>
      </c>
      <c r="C230">
        <f t="shared" ca="1" si="26"/>
        <v>-6.4104446594122289E-2</v>
      </c>
      <c r="D230">
        <f t="shared" ca="1" si="26"/>
        <v>1.2484939944874127</v>
      </c>
      <c r="E230">
        <f t="shared" ca="1" si="27"/>
        <v>-9.892615775188917E-3</v>
      </c>
      <c r="F230">
        <f t="shared" ca="1" si="28"/>
        <v>-1.6607941495790778E-2</v>
      </c>
      <c r="G230">
        <f t="shared" ca="1" si="32"/>
        <v>-4.0373297187095833E-3</v>
      </c>
      <c r="H230">
        <f t="shared" ca="1" si="29"/>
        <v>3976.2712550468409</v>
      </c>
      <c r="I230">
        <f t="shared" ca="1" si="30"/>
        <v>534.96527982628982</v>
      </c>
      <c r="J230">
        <f t="shared" ca="1" si="31"/>
        <v>2226.9725307489653</v>
      </c>
      <c r="K230">
        <f t="array" aca="1" ref="K230:L230" ca="1">Opt3Spd(H230:J230,$E$3:$G$3,$K$3:$M$3,$N$3:$P$3,$H$3,$I$3,$Q$3,$J$3)</f>
        <v>181.91764856575242</v>
      </c>
      <c r="L230">
        <f ca="1"/>
        <v>7.7106615457751104E-2</v>
      </c>
    </row>
    <row r="231" spans="2:12" x14ac:dyDescent="0.15">
      <c r="B231">
        <f t="shared" ca="1" si="26"/>
        <v>0.64894390821164993</v>
      </c>
      <c r="C231">
        <f t="shared" ca="1" si="26"/>
        <v>2.7831259369970586E-2</v>
      </c>
      <c r="D231">
        <f t="shared" ca="1" si="26"/>
        <v>0.39930236694057913</v>
      </c>
      <c r="E231">
        <f t="shared" ca="1" si="27"/>
        <v>4.9251379767361438E-3</v>
      </c>
      <c r="F231">
        <f t="shared" ca="1" si="28"/>
        <v>8.2371368957565236E-3</v>
      </c>
      <c r="G231">
        <f t="shared" ca="1" si="32"/>
        <v>5.6312283348514151E-3</v>
      </c>
      <c r="H231">
        <f t="shared" ca="1" si="29"/>
        <v>4035.779354114572</v>
      </c>
      <c r="I231">
        <f t="shared" ca="1" si="30"/>
        <v>548.48100247129162</v>
      </c>
      <c r="J231">
        <f t="shared" ca="1" si="31"/>
        <v>2248.5914265567276</v>
      </c>
      <c r="K231">
        <f t="array" aca="1" ref="K231:L231" ca="1">Opt3Spd(H231:J231,$E$3:$G$3,$K$3:$M$3,$N$3:$P$3,$H$3,$I$3,$Q$3,$J$3)</f>
        <v>208.93547012709223</v>
      </c>
      <c r="L231">
        <f ca="1"/>
        <v>2.1433244950685548E-2</v>
      </c>
    </row>
    <row r="232" spans="2:12" x14ac:dyDescent="0.15">
      <c r="B232">
        <f t="shared" ca="1" si="26"/>
        <v>-1.0025138230056647</v>
      </c>
      <c r="C232">
        <f t="shared" ca="1" si="26"/>
        <v>-1.7153892487679792</v>
      </c>
      <c r="D232">
        <f t="shared" ca="1" si="26"/>
        <v>9.1747867448841777E-3</v>
      </c>
      <c r="E232">
        <f t="shared" ca="1" si="27"/>
        <v>-7.6085449596019449E-3</v>
      </c>
      <c r="F232">
        <f t="shared" ca="1" si="28"/>
        <v>-2.5540328100381902E-2</v>
      </c>
      <c r="G232">
        <f t="shared" ca="1" si="32"/>
        <v>-8.0945917341910915E-3</v>
      </c>
      <c r="H232">
        <f t="shared" ca="1" si="29"/>
        <v>3985.4440834422385</v>
      </c>
      <c r="I232">
        <f t="shared" ca="1" si="30"/>
        <v>530.10606151339221</v>
      </c>
      <c r="J232">
        <f t="shared" ca="1" si="31"/>
        <v>2217.9004928823488</v>
      </c>
      <c r="K232">
        <f t="array" aca="1" ref="K232:L232" ca="1">Opt3Spd(H232:J232,$E$3:$G$3,$K$3:$M$3,$N$3:$P$3,$H$3,$I$3,$Q$3,$J$3)</f>
        <v>203.35119875711621</v>
      </c>
      <c r="L232">
        <f ca="1"/>
        <v>2.7060177479825143E-2</v>
      </c>
    </row>
    <row r="233" spans="2:12" x14ac:dyDescent="0.15">
      <c r="B233">
        <f t="shared" ca="1" si="26"/>
        <v>-0.1670817200872293</v>
      </c>
      <c r="C233">
        <f t="shared" ca="1" si="26"/>
        <v>-3.6633641823035196E-3</v>
      </c>
      <c r="D233">
        <f t="shared" ca="1" si="26"/>
        <v>-0.4443814164527039</v>
      </c>
      <c r="E233">
        <f t="shared" ca="1" si="27"/>
        <v>-1.2680610980504439E-3</v>
      </c>
      <c r="F233">
        <f t="shared" ca="1" si="28"/>
        <v>-2.0939546178963295E-3</v>
      </c>
      <c r="G233">
        <f t="shared" ca="1" si="32"/>
        <v>-2.6594032777959211E-3</v>
      </c>
      <c r="H233">
        <f t="shared" ca="1" si="29"/>
        <v>4010.9074666302295</v>
      </c>
      <c r="I233">
        <f t="shared" ca="1" si="30"/>
        <v>542.86088868786442</v>
      </c>
      <c r="J233">
        <f t="shared" ca="1" si="31"/>
        <v>2230.0535742708485</v>
      </c>
      <c r="K233">
        <f t="array" aca="1" ref="K233:L233" ca="1">Opt3Spd(H233:J233,$E$3:$G$3,$K$3:$M$3,$N$3:$P$3,$H$3,$I$3,$Q$3,$J$3)</f>
        <v>202.33236906563388</v>
      </c>
      <c r="L233">
        <f ca="1"/>
        <v>2.9111471411624734E-2</v>
      </c>
    </row>
    <row r="234" spans="2:12" x14ac:dyDescent="0.15">
      <c r="B234">
        <f t="shared" ref="B234:D259" ca="1" si="33">NORMINV(RAND(),0,1)</f>
        <v>-1.3726384842611767</v>
      </c>
      <c r="C234">
        <f t="shared" ca="1" si="33"/>
        <v>-1.2872435013701327</v>
      </c>
      <c r="D234">
        <f t="shared" ca="1" si="33"/>
        <v>0.28817227985144445</v>
      </c>
      <c r="E234">
        <f t="shared" ca="1" si="27"/>
        <v>-1.0417593634239612E-2</v>
      </c>
      <c r="F234">
        <f t="shared" ca="1" si="28"/>
        <v>-2.6835927471972259E-2</v>
      </c>
      <c r="G234">
        <f t="shared" ca="1" si="32"/>
        <v>-9.0772597384787008E-3</v>
      </c>
      <c r="H234">
        <f t="shared" ca="1" si="29"/>
        <v>3974.1629439648937</v>
      </c>
      <c r="I234">
        <f t="shared" ca="1" si="30"/>
        <v>529.40125545524711</v>
      </c>
      <c r="J234">
        <f t="shared" ca="1" si="31"/>
        <v>2215.7032472247615</v>
      </c>
      <c r="K234">
        <f t="array" aca="1" ref="K234:L234" ca="1">Opt3Spd(H234:J234,$E$3:$G$3,$K$3:$M$3,$N$3:$P$3,$H$3,$I$3,$Q$3,$J$3)</f>
        <v>194.31145930105617</v>
      </c>
      <c r="L234">
        <f ca="1"/>
        <v>4.214767693883914E-2</v>
      </c>
    </row>
    <row r="235" spans="2:12" x14ac:dyDescent="0.15">
      <c r="B235">
        <f t="shared" ca="1" si="33"/>
        <v>0.65730692367349608</v>
      </c>
      <c r="C235">
        <f t="shared" ca="1" si="33"/>
        <v>0.89803583170688384</v>
      </c>
      <c r="D235">
        <f t="shared" ca="1" si="33"/>
        <v>-0.71575900040427742</v>
      </c>
      <c r="E235">
        <f t="shared" ca="1" si="27"/>
        <v>4.9886088014560771E-3</v>
      </c>
      <c r="F235">
        <f t="shared" ca="1" si="28"/>
        <v>1.5008773217055175E-2</v>
      </c>
      <c r="G235">
        <f t="shared" ca="1" si="32"/>
        <v>2.5676349235836983E-3</v>
      </c>
      <c r="H235">
        <f t="shared" ca="1" si="29"/>
        <v>4036.0342529466479</v>
      </c>
      <c r="I235">
        <f t="shared" ca="1" si="30"/>
        <v>552.16477263007801</v>
      </c>
      <c r="J235">
        <f t="shared" ca="1" si="31"/>
        <v>2241.7412316891332</v>
      </c>
      <c r="K235">
        <f t="array" aca="1" ref="K235:L235" ca="1">Opt3Spd(H235:J235,$E$3:$G$3,$K$3:$M$3,$N$3:$P$3,$H$3,$I$3,$Q$3,$J$3)</f>
        <v>206.72385941474727</v>
      </c>
      <c r="L235">
        <f ca="1"/>
        <v>2.3858520790554394E-2</v>
      </c>
    </row>
    <row r="236" spans="2:12" x14ac:dyDescent="0.15">
      <c r="B236">
        <f t="shared" ca="1" si="33"/>
        <v>-0.68875011520097906</v>
      </c>
      <c r="C236">
        <f t="shared" ca="1" si="33"/>
        <v>-0.32285301206456041</v>
      </c>
      <c r="D236">
        <f t="shared" ca="1" si="33"/>
        <v>0.34571275695947756</v>
      </c>
      <c r="E236">
        <f t="shared" ca="1" si="27"/>
        <v>-5.227245846572289E-3</v>
      </c>
      <c r="F236">
        <f t="shared" ca="1" si="28"/>
        <v>-1.0990023204767137E-2</v>
      </c>
      <c r="G236">
        <f t="shared" ca="1" si="32"/>
        <v>-3.5279376687808992E-3</v>
      </c>
      <c r="H236">
        <f t="shared" ca="1" si="29"/>
        <v>3995.0073806801656</v>
      </c>
      <c r="I236">
        <f t="shared" ca="1" si="30"/>
        <v>538.02142737660665</v>
      </c>
      <c r="J236">
        <f t="shared" ca="1" si="31"/>
        <v>2228.1115313726059</v>
      </c>
      <c r="K236">
        <f t="array" aca="1" ref="K236:L236" ca="1">Opt3Spd(H236:J236,$E$3:$G$3,$K$3:$M$3,$N$3:$P$3,$H$3,$I$3,$Q$3,$J$3)</f>
        <v>195.1585253268322</v>
      </c>
      <c r="L236">
        <f ca="1"/>
        <v>4.1194135540081334E-2</v>
      </c>
    </row>
    <row r="237" spans="2:12" x14ac:dyDescent="0.15">
      <c r="B237">
        <f t="shared" ca="1" si="33"/>
        <v>0.92587538371632894</v>
      </c>
      <c r="C237">
        <f t="shared" ca="1" si="33"/>
        <v>-1.0452916705063109</v>
      </c>
      <c r="D237">
        <f t="shared" ca="1" si="33"/>
        <v>0.80395081285623271</v>
      </c>
      <c r="E237">
        <f t="shared" ca="1" si="27"/>
        <v>7.0269001008623358E-3</v>
      </c>
      <c r="F237">
        <f t="shared" ca="1" si="28"/>
        <v>3.4380965607491445E-3</v>
      </c>
      <c r="G237">
        <f t="shared" ca="1" si="32"/>
        <v>7.8162252300449982E-3</v>
      </c>
      <c r="H237">
        <f t="shared" ca="1" si="29"/>
        <v>4044.2200308050628</v>
      </c>
      <c r="I237">
        <f t="shared" ca="1" si="30"/>
        <v>545.87032452904759</v>
      </c>
      <c r="J237">
        <f t="shared" ca="1" si="31"/>
        <v>2253.4770796143807</v>
      </c>
      <c r="K237">
        <f t="array" aca="1" ref="K237:L237" ca="1">Opt3Spd(H237:J237,$E$3:$G$3,$K$3:$M$3,$N$3:$P$3,$H$3,$I$3,$Q$3,$J$3)</f>
        <v>219.10172281304722</v>
      </c>
      <c r="L237">
        <f ca="1"/>
        <v>1.2751061650988049E-2</v>
      </c>
    </row>
    <row r="238" spans="2:12" x14ac:dyDescent="0.15">
      <c r="B238">
        <f t="shared" ca="1" si="33"/>
        <v>-1.1069401179549758</v>
      </c>
      <c r="C238">
        <f t="shared" ca="1" si="33"/>
        <v>0.2769186018897743</v>
      </c>
      <c r="D238">
        <f t="shared" ca="1" si="33"/>
        <v>-0.2087315504016356</v>
      </c>
      <c r="E238">
        <f t="shared" ca="1" si="27"/>
        <v>-8.4010848147676107E-3</v>
      </c>
      <c r="F238">
        <f t="shared" ca="1" si="28"/>
        <v>-1.1564786516390972E-2</v>
      </c>
      <c r="G238">
        <f t="shared" ca="1" si="32"/>
        <v>-7.6141693978711436E-3</v>
      </c>
      <c r="H238">
        <f t="shared" ca="1" si="29"/>
        <v>3982.2612433838931</v>
      </c>
      <c r="I238">
        <f t="shared" ca="1" si="30"/>
        <v>537.70875613508338</v>
      </c>
      <c r="J238">
        <f t="shared" ca="1" si="31"/>
        <v>2218.9747172263601</v>
      </c>
      <c r="K238">
        <f t="array" aca="1" ref="K238:L238" ca="1">Opt3Spd(H238:J238,$E$3:$G$3,$K$3:$M$3,$N$3:$P$3,$H$3,$I$3,$Q$3,$J$3)</f>
        <v>187.49884487419899</v>
      </c>
      <c r="L238">
        <f ca="1"/>
        <v>5.8969919619357825E-2</v>
      </c>
    </row>
    <row r="239" spans="2:12" x14ac:dyDescent="0.15">
      <c r="B239">
        <f t="shared" ca="1" si="33"/>
        <v>-0.72462881430636461</v>
      </c>
      <c r="C239">
        <f t="shared" ca="1" si="33"/>
        <v>-0.36750904408429846</v>
      </c>
      <c r="D239">
        <f t="shared" ca="1" si="33"/>
        <v>1.3233094523018827</v>
      </c>
      <c r="E239">
        <f t="shared" ca="1" si="27"/>
        <v>-5.4995460273487623E-3</v>
      </c>
      <c r="F239">
        <f t="shared" ca="1" si="28"/>
        <v>-1.1775837270493949E-2</v>
      </c>
      <c r="G239">
        <f t="shared" ca="1" si="32"/>
        <v>-3.3114095793104623E-4</v>
      </c>
      <c r="H239">
        <f t="shared" ca="1" si="29"/>
        <v>3993.9138231541669</v>
      </c>
      <c r="I239">
        <f t="shared" ca="1" si="30"/>
        <v>537.59394452485128</v>
      </c>
      <c r="J239">
        <f t="shared" ca="1" si="31"/>
        <v>2235.2595688180663</v>
      </c>
      <c r="K239">
        <f t="array" aca="1" ref="K239:L239" ca="1">Opt3Spd(H239:J239,$E$3:$G$3,$K$3:$M$3,$N$3:$P$3,$H$3,$I$3,$Q$3,$J$3)</f>
        <v>191.18398159868366</v>
      </c>
      <c r="L239">
        <f ca="1"/>
        <v>5.0254093312105397E-2</v>
      </c>
    </row>
    <row r="240" spans="2:12" x14ac:dyDescent="0.15">
      <c r="B240">
        <f t="shared" ca="1" si="33"/>
        <v>5.1740835040897819E-2</v>
      </c>
      <c r="C240">
        <f t="shared" ca="1" si="33"/>
        <v>1.4754858137440059</v>
      </c>
      <c r="D240">
        <f t="shared" ca="1" si="33"/>
        <v>-0.37094864237958675</v>
      </c>
      <c r="E240">
        <f t="shared" ca="1" si="27"/>
        <v>3.9268532824389228E-4</v>
      </c>
      <c r="F240">
        <f t="shared" ca="1" si="28"/>
        <v>1.1946150308967353E-2</v>
      </c>
      <c r="G240">
        <f t="shared" ca="1" si="32"/>
        <v>4.4430129914768023E-4</v>
      </c>
      <c r="H240">
        <f t="shared" ca="1" si="29"/>
        <v>4017.5770242782273</v>
      </c>
      <c r="I240">
        <f t="shared" ca="1" si="30"/>
        <v>550.49870576807825</v>
      </c>
      <c r="J240">
        <f t="shared" ca="1" si="31"/>
        <v>2236.9934577048944</v>
      </c>
      <c r="K240">
        <f t="array" aca="1" ref="K240:L240" ca="1">Opt3Spd(H240:J240,$E$3:$G$3,$K$3:$M$3,$N$3:$P$3,$H$3,$I$3,$Q$3,$J$3)</f>
        <v>193.3282207476343</v>
      </c>
      <c r="L240">
        <f ca="1"/>
        <v>4.5854550779267811E-2</v>
      </c>
    </row>
    <row r="241" spans="2:12" x14ac:dyDescent="0.15">
      <c r="B241">
        <f t="shared" ca="1" si="33"/>
        <v>7.3977872653120141E-2</v>
      </c>
      <c r="C241">
        <f t="shared" ca="1" si="33"/>
        <v>-0.43773414187853932</v>
      </c>
      <c r="D241">
        <f t="shared" ca="1" si="33"/>
        <v>-0.48224675756711544</v>
      </c>
      <c r="E241">
        <f t="shared" ca="1" si="27"/>
        <v>5.6145257769058346E-4</v>
      </c>
      <c r="F241">
        <f t="shared" ca="1" si="28"/>
        <v>-2.4395835293322607E-3</v>
      </c>
      <c r="G241">
        <f t="shared" ca="1" si="32"/>
        <v>-1.658808776964422E-3</v>
      </c>
      <c r="H241">
        <f t="shared" ca="1" si="29"/>
        <v>4018.2547935520056</v>
      </c>
      <c r="I241">
        <f t="shared" ca="1" si="30"/>
        <v>542.6728665600433</v>
      </c>
      <c r="J241">
        <f t="shared" ca="1" si="31"/>
        <v>2232.2909035747075</v>
      </c>
      <c r="K241">
        <f t="array" aca="1" ref="K241:L241" ca="1">Opt3Spd(H241:J241,$E$3:$G$3,$K$3:$M$3,$N$3:$P$3,$H$3,$I$3,$Q$3,$J$3)</f>
        <v>208.85378145363939</v>
      </c>
      <c r="L241">
        <f ca="1"/>
        <v>2.1026185056825852E-2</v>
      </c>
    </row>
    <row r="242" spans="2:12" x14ac:dyDescent="0.15">
      <c r="B242">
        <f t="shared" ca="1" si="33"/>
        <v>1.2843189448459558</v>
      </c>
      <c r="C242">
        <f t="shared" ca="1" si="33"/>
        <v>-1.2350822634522469</v>
      </c>
      <c r="D242">
        <f t="shared" ca="1" si="33"/>
        <v>0.19914422290699677</v>
      </c>
      <c r="E242">
        <f t="shared" ca="1" si="27"/>
        <v>9.7472954587617382E-3</v>
      </c>
      <c r="F242">
        <f t="shared" ca="1" si="28"/>
        <v>6.4157404979880211E-3</v>
      </c>
      <c r="G242">
        <f t="shared" ca="1" si="32"/>
        <v>7.7972299317810431E-3</v>
      </c>
      <c r="H242">
        <f t="shared" ca="1" si="29"/>
        <v>4055.1451385623868</v>
      </c>
      <c r="I242">
        <f t="shared" ca="1" si="30"/>
        <v>547.49016283090555</v>
      </c>
      <c r="J242">
        <f t="shared" ca="1" si="31"/>
        <v>2253.4346061274623</v>
      </c>
      <c r="K242">
        <f t="array" aca="1" ref="K242:L242" ca="1">Opt3Spd(H242:J242,$E$3:$G$3,$K$3:$M$3,$N$3:$P$3,$H$3,$I$3,$Q$3,$J$3)</f>
        <v>227.45178564031244</v>
      </c>
      <c r="L242">
        <f ca="1"/>
        <v>8.2106711058713699E-3</v>
      </c>
    </row>
    <row r="243" spans="2:12" x14ac:dyDescent="0.15">
      <c r="B243">
        <f t="shared" ca="1" si="33"/>
        <v>4.3359390337805039E-2</v>
      </c>
      <c r="C243">
        <f t="shared" ca="1" si="33"/>
        <v>0.64558845790726194</v>
      </c>
      <c r="D243">
        <f t="shared" ca="1" si="33"/>
        <v>0.21086296896433535</v>
      </c>
      <c r="E243">
        <f t="shared" ca="1" si="27"/>
        <v>3.2907463541702775E-4</v>
      </c>
      <c r="F243">
        <f t="shared" ca="1" si="28"/>
        <v>5.4831535627354626E-3</v>
      </c>
      <c r="G243">
        <f t="shared" ca="1" si="32"/>
        <v>1.6531998321353517E-3</v>
      </c>
      <c r="H243">
        <f t="shared" ca="1" si="29"/>
        <v>4017.3215637358344</v>
      </c>
      <c r="I243">
        <f t="shared" ca="1" si="30"/>
        <v>546.98283553812814</v>
      </c>
      <c r="J243">
        <f t="shared" ca="1" si="31"/>
        <v>2239.6965548246549</v>
      </c>
      <c r="K243">
        <f t="array" aca="1" ref="K243:L243" ca="1">Opt3Spd(H243:J243,$E$3:$G$3,$K$3:$M$3,$N$3:$P$3,$H$3,$I$3,$Q$3,$J$3)</f>
        <v>197.33849114193094</v>
      </c>
      <c r="L243">
        <f ca="1"/>
        <v>3.7741679429018404E-2</v>
      </c>
    </row>
    <row r="244" spans="2:12" x14ac:dyDescent="0.15">
      <c r="B244">
        <f t="shared" ca="1" si="33"/>
        <v>0.50127609398790385</v>
      </c>
      <c r="C244">
        <f t="shared" ca="1" si="33"/>
        <v>-0.5809977273989253</v>
      </c>
      <c r="D244">
        <f t="shared" ca="1" si="33"/>
        <v>0.49377260199069256</v>
      </c>
      <c r="E244">
        <f t="shared" ca="1" si="27"/>
        <v>3.8044180646265918E-3</v>
      </c>
      <c r="F244">
        <f t="shared" ca="1" si="28"/>
        <v>1.7459429019188145E-3</v>
      </c>
      <c r="G244">
        <f t="shared" ca="1" si="32"/>
        <v>4.4249443176304273E-3</v>
      </c>
      <c r="H244">
        <f t="shared" ca="1" si="29"/>
        <v>4031.2785429475407</v>
      </c>
      <c r="I244">
        <f t="shared" ca="1" si="30"/>
        <v>544.9497929386439</v>
      </c>
      <c r="J244">
        <f t="shared" ca="1" si="31"/>
        <v>2245.8941754942221</v>
      </c>
      <c r="K244">
        <f t="array" aca="1" ref="K244:L244" ca="1">Opt3Spd(H244:J244,$E$3:$G$3,$K$3:$M$3,$N$3:$P$3,$H$3,$I$3,$Q$3,$J$3)</f>
        <v>211.43055131710867</v>
      </c>
      <c r="L244">
        <f ca="1"/>
        <v>1.8764818509225734E-2</v>
      </c>
    </row>
    <row r="245" spans="2:12" x14ac:dyDescent="0.15">
      <c r="B245">
        <f t="shared" ca="1" si="33"/>
        <v>6.0442058564220413E-2</v>
      </c>
      <c r="C245">
        <f t="shared" ca="1" si="33"/>
        <v>0.3833779192813761</v>
      </c>
      <c r="D245">
        <f t="shared" ca="1" si="33"/>
        <v>-2.852764323463167</v>
      </c>
      <c r="E245">
        <f t="shared" ca="1" si="27"/>
        <v>4.5872297167733538E-4</v>
      </c>
      <c r="F245">
        <f t="shared" ca="1" si="28"/>
        <v>3.6850969062366418E-3</v>
      </c>
      <c r="G245">
        <f t="shared" ca="1" si="32"/>
        <v>-9.369324981874462E-3</v>
      </c>
      <c r="H245">
        <f t="shared" ca="1" si="29"/>
        <v>4017.8422314542559</v>
      </c>
      <c r="I245">
        <f t="shared" ca="1" si="30"/>
        <v>546.00469271699285</v>
      </c>
      <c r="J245">
        <f t="shared" ca="1" si="31"/>
        <v>2215.0501893405285</v>
      </c>
      <c r="K245">
        <f t="array" aca="1" ref="K245:L245" ca="1">Opt3Spd(H245:J245,$E$3:$G$3,$K$3:$M$3,$N$3:$P$3,$H$3,$I$3,$Q$3,$J$3)</f>
        <v>211.72747991139636</v>
      </c>
      <c r="L245">
        <f ca="1"/>
        <v>1.7851474593499006E-2</v>
      </c>
    </row>
    <row r="246" spans="2:12" x14ac:dyDescent="0.15">
      <c r="B246">
        <f t="shared" ca="1" si="33"/>
        <v>-0.95456640036766616</v>
      </c>
      <c r="C246">
        <f t="shared" ca="1" si="33"/>
        <v>-2.0026807024985196</v>
      </c>
      <c r="D246">
        <f t="shared" ca="1" si="33"/>
        <v>0.82354998059579931</v>
      </c>
      <c r="E246">
        <f t="shared" ca="1" si="27"/>
        <v>-7.2446496072720379E-3</v>
      </c>
      <c r="F246">
        <f t="shared" ca="1" si="28"/>
        <v>-2.7148948174780547E-2</v>
      </c>
      <c r="G246">
        <f t="shared" ca="1" si="32"/>
        <v>-5.171419186051021E-3</v>
      </c>
      <c r="H246">
        <f t="shared" ca="1" si="29"/>
        <v>3986.9054871771955</v>
      </c>
      <c r="I246">
        <f t="shared" ca="1" si="30"/>
        <v>529.23097219291935</v>
      </c>
      <c r="J246">
        <f t="shared" ca="1" si="31"/>
        <v>2224.4367066999898</v>
      </c>
      <c r="K246">
        <f t="array" aca="1" ref="K246:L246" ca="1">Opt3Spd(H246:J246,$E$3:$G$3,$K$3:$M$3,$N$3:$P$3,$H$3,$I$3,$Q$3,$J$3)</f>
        <v>202.94537395260431</v>
      </c>
      <c r="L246">
        <f ca="1"/>
        <v>2.7795634074891495E-2</v>
      </c>
    </row>
    <row r="247" spans="2:12" x14ac:dyDescent="0.15">
      <c r="B247">
        <f t="shared" ca="1" si="33"/>
        <v>6.9385832690606108E-2</v>
      </c>
      <c r="C247">
        <f t="shared" ca="1" si="33"/>
        <v>-0.33653468075247683</v>
      </c>
      <c r="D247">
        <f t="shared" ca="1" si="33"/>
        <v>-1.3218869410245562</v>
      </c>
      <c r="E247">
        <f t="shared" ca="1" si="27"/>
        <v>5.2660144475924291E-4</v>
      </c>
      <c r="F247">
        <f t="shared" ca="1" si="28"/>
        <v>-1.7208873263987459E-3</v>
      </c>
      <c r="G247">
        <f t="shared" ca="1" si="32"/>
        <v>-4.5720833872470289E-3</v>
      </c>
      <c r="H247">
        <f t="shared" ca="1" si="29"/>
        <v>4018.1148314021525</v>
      </c>
      <c r="I247">
        <f t="shared" ca="1" si="30"/>
        <v>543.06383729443905</v>
      </c>
      <c r="J247">
        <f t="shared" ca="1" si="31"/>
        <v>2225.7768215461156</v>
      </c>
      <c r="K247">
        <f t="array" aca="1" ref="K247:L247" ca="1">Opt3Spd(H247:J247,$E$3:$G$3,$K$3:$M$3,$N$3:$P$3,$H$3,$I$3,$Q$3,$J$3)</f>
        <v>211.34266984268243</v>
      </c>
      <c r="L247">
        <f ca="1"/>
        <v>1.8388884690466512E-2</v>
      </c>
    </row>
    <row r="248" spans="2:12" x14ac:dyDescent="0.15">
      <c r="B248">
        <f t="shared" ca="1" si="33"/>
        <v>-0.24521961213741675</v>
      </c>
      <c r="C248">
        <f t="shared" ca="1" si="33"/>
        <v>-0.47895765608626351</v>
      </c>
      <c r="D248">
        <f t="shared" ca="1" si="33"/>
        <v>-1.0288906289023427</v>
      </c>
      <c r="E248">
        <f t="shared" ca="1" si="27"/>
        <v>-1.8610860031135386E-3</v>
      </c>
      <c r="F248">
        <f t="shared" ca="1" si="28"/>
        <v>-6.7021915131547666E-3</v>
      </c>
      <c r="G248">
        <f t="shared" ca="1" si="32"/>
        <v>-5.6989990867185938E-3</v>
      </c>
      <c r="H248">
        <f t="shared" ca="1" si="29"/>
        <v>4008.525878611496</v>
      </c>
      <c r="I248">
        <f t="shared" ca="1" si="30"/>
        <v>540.35400781684382</v>
      </c>
      <c r="J248">
        <f t="shared" ca="1" si="31"/>
        <v>2223.2570380420975</v>
      </c>
      <c r="K248">
        <f t="array" aca="1" ref="K248:L248" ca="1">Opt3Spd(H248:J248,$E$3:$G$3,$K$3:$M$3,$N$3:$P$3,$H$3,$I$3,$Q$3,$J$3)</f>
        <v>207.35336402265011</v>
      </c>
      <c r="L248">
        <f ca="1"/>
        <v>2.241693915311771E-2</v>
      </c>
    </row>
    <row r="249" spans="2:12" x14ac:dyDescent="0.15">
      <c r="B249">
        <f t="shared" ca="1" si="33"/>
        <v>-0.84995270679285051</v>
      </c>
      <c r="C249">
        <f t="shared" ca="1" si="33"/>
        <v>-7.0007287646554894E-2</v>
      </c>
      <c r="D249">
        <f t="shared" ca="1" si="33"/>
        <v>5.8641706578212369E-2</v>
      </c>
      <c r="E249">
        <f t="shared" ca="1" si="27"/>
        <v>-6.4506874965376219E-3</v>
      </c>
      <c r="F249">
        <f t="shared" ca="1" si="28"/>
        <v>-1.1045699156672936E-2</v>
      </c>
      <c r="G249">
        <f t="shared" ca="1" si="32"/>
        <v>-5.3425896484929E-3</v>
      </c>
      <c r="H249">
        <f t="shared" ca="1" si="29"/>
        <v>3990.0940390139049</v>
      </c>
      <c r="I249">
        <f t="shared" ca="1" si="30"/>
        <v>537.99113965876995</v>
      </c>
      <c r="J249">
        <f t="shared" ca="1" si="31"/>
        <v>2224.0539695459697</v>
      </c>
      <c r="K249">
        <f t="array" aca="1" ref="K249:L249" ca="1">Opt3Spd(H249:J249,$E$3:$G$3,$K$3:$M$3,$N$3:$P$3,$H$3,$I$3,$Q$3,$J$3)</f>
        <v>192.32827954590493</v>
      </c>
      <c r="L249">
        <f ca="1"/>
        <v>4.7048759016661279E-2</v>
      </c>
    </row>
    <row r="250" spans="2:12" x14ac:dyDescent="0.15">
      <c r="B250">
        <f t="shared" ca="1" si="33"/>
        <v>-1.0046552677265141</v>
      </c>
      <c r="C250">
        <f t="shared" ca="1" si="33"/>
        <v>-1.6459028227466426</v>
      </c>
      <c r="D250">
        <f t="shared" ca="1" si="33"/>
        <v>1.0391648277927847</v>
      </c>
      <c r="E250">
        <f t="shared" ca="1" si="27"/>
        <v>-7.6247973823248914E-3</v>
      </c>
      <c r="F250">
        <f t="shared" ca="1" si="28"/>
        <v>-2.5034343170828675E-2</v>
      </c>
      <c r="G250">
        <f t="shared" ca="1" si="32"/>
        <v>-4.3836539643116058E-3</v>
      </c>
      <c r="H250">
        <f t="shared" ca="1" si="29"/>
        <v>3985.378813712583</v>
      </c>
      <c r="I250">
        <f t="shared" ca="1" si="30"/>
        <v>530.38131731506917</v>
      </c>
      <c r="J250">
        <f t="shared" ca="1" si="31"/>
        <v>2226.1981497357992</v>
      </c>
      <c r="K250">
        <f t="array" aca="1" ref="K250:L250" ca="1">Opt3Spd(H250:J250,$E$3:$G$3,$K$3:$M$3,$N$3:$P$3,$H$3,$I$3,$Q$3,$J$3)</f>
        <v>198.70402060109359</v>
      </c>
      <c r="L250">
        <f ca="1"/>
        <v>3.4389460520969806E-2</v>
      </c>
    </row>
    <row r="251" spans="2:12" x14ac:dyDescent="0.15">
      <c r="B251">
        <f t="shared" ca="1" si="33"/>
        <v>1.4153815632251994</v>
      </c>
      <c r="C251">
        <f t="shared" ca="1" si="33"/>
        <v>0.34607392202188297</v>
      </c>
      <c r="D251">
        <f t="shared" ca="1" si="33"/>
        <v>0.62171981137399568</v>
      </c>
      <c r="E251">
        <f t="shared" ca="1" si="27"/>
        <v>1.0741990795202992E-2</v>
      </c>
      <c r="F251">
        <f t="shared" ca="1" si="28"/>
        <v>2.0152399790831457E-2</v>
      </c>
      <c r="G251">
        <f t="shared" ca="1" si="32"/>
        <v>1.1673311335985153E-2</v>
      </c>
      <c r="H251">
        <f t="shared" ca="1" si="29"/>
        <v>4059.1398350335348</v>
      </c>
      <c r="I251">
        <f t="shared" ca="1" si="30"/>
        <v>554.96290548621232</v>
      </c>
      <c r="J251">
        <f t="shared" ca="1" si="31"/>
        <v>2262.1015241472633</v>
      </c>
      <c r="K251">
        <f t="array" aca="1" ref="K251:L251" ca="1">Opt3Spd(H251:J251,$E$3:$G$3,$K$3:$M$3,$N$3:$P$3,$H$3,$I$3,$Q$3,$J$3)</f>
        <v>215.16436056044427</v>
      </c>
      <c r="L251">
        <f ca="1"/>
        <v>1.5936378480773783E-2</v>
      </c>
    </row>
    <row r="252" spans="2:12" x14ac:dyDescent="0.15">
      <c r="B252">
        <f t="shared" ca="1" si="33"/>
        <v>-1.6997929498788988</v>
      </c>
      <c r="C252">
        <f t="shared" ca="1" si="33"/>
        <v>-0.88622631307770772</v>
      </c>
      <c r="D252">
        <f t="shared" ca="1" si="33"/>
        <v>0.9376982562707028</v>
      </c>
      <c r="E252">
        <f t="shared" ca="1" si="27"/>
        <v>-1.2900521453553004E-2</v>
      </c>
      <c r="F252">
        <f t="shared" ca="1" si="28"/>
        <v>-2.7808103217750603E-2</v>
      </c>
      <c r="G252">
        <f t="shared" ca="1" si="32"/>
        <v>-8.4932227945156494E-3</v>
      </c>
      <c r="H252">
        <f t="shared" ca="1" si="29"/>
        <v>3964.1915058425311</v>
      </c>
      <c r="I252">
        <f t="shared" ca="1" si="30"/>
        <v>528.87239184954365</v>
      </c>
      <c r="J252">
        <f t="shared" ca="1" si="31"/>
        <v>2217.0091538314628</v>
      </c>
      <c r="K252">
        <f t="array" aca="1" ref="K252:L252" ca="1">Opt3Spd(H252:J252,$E$3:$G$3,$K$3:$M$3,$N$3:$P$3,$H$3,$I$3,$Q$3,$J$3)</f>
        <v>184.55836703593968</v>
      </c>
      <c r="L252">
        <f ca="1"/>
        <v>6.7265068409597006E-2</v>
      </c>
    </row>
    <row r="253" spans="2:12" x14ac:dyDescent="0.15">
      <c r="B253">
        <f t="shared" ca="1" si="33"/>
        <v>-1.1459237402211309</v>
      </c>
      <c r="C253">
        <f t="shared" ca="1" si="33"/>
        <v>-2.3303089341491137</v>
      </c>
      <c r="D253">
        <f t="shared" ca="1" si="33"/>
        <v>-0.43686143599239069</v>
      </c>
      <c r="E253">
        <f t="shared" ca="1" si="27"/>
        <v>-8.6969497054989013E-3</v>
      </c>
      <c r="F253">
        <f t="shared" ca="1" si="28"/>
        <v>-3.2025547305107566E-2</v>
      </c>
      <c r="G253">
        <f t="shared" ca="1" si="32"/>
        <v>-1.1198649795771854E-2</v>
      </c>
      <c r="H253">
        <f t="shared" ca="1" si="29"/>
        <v>3981.0730499827164</v>
      </c>
      <c r="I253">
        <f t="shared" ca="1" si="30"/>
        <v>526.57810226602146</v>
      </c>
      <c r="J253">
        <f t="shared" ca="1" si="31"/>
        <v>2210.9598190566539</v>
      </c>
      <c r="K253">
        <f t="array" aca="1" ref="K253:L253" ca="1">Opt3Spd(H253:J253,$E$3:$G$3,$K$3:$M$3,$N$3:$P$3,$H$3,$I$3,$Q$3,$J$3)</f>
        <v>208.08927390176723</v>
      </c>
      <c r="L253">
        <f ca="1"/>
        <v>2.1097073012242618E-2</v>
      </c>
    </row>
    <row r="254" spans="2:12" x14ac:dyDescent="0.15">
      <c r="B254">
        <f t="shared" ca="1" si="33"/>
        <v>1.368198995035079</v>
      </c>
      <c r="C254">
        <f t="shared" ca="1" si="33"/>
        <v>-0.99090926329759343</v>
      </c>
      <c r="D254">
        <f t="shared" ca="1" si="33"/>
        <v>0.61613948352125225</v>
      </c>
      <c r="E254">
        <f t="shared" ca="1" si="27"/>
        <v>1.0383900279994219E-2</v>
      </c>
      <c r="F254">
        <f t="shared" ca="1" si="28"/>
        <v>9.3239326231481581E-3</v>
      </c>
      <c r="G254">
        <f t="shared" ca="1" si="32"/>
        <v>1.0055377462664021E-2</v>
      </c>
      <c r="H254">
        <f t="shared" ca="1" si="29"/>
        <v>4057.7017435244566</v>
      </c>
      <c r="I254">
        <f t="shared" ca="1" si="30"/>
        <v>549.0722193469926</v>
      </c>
      <c r="J254">
        <f t="shared" ca="1" si="31"/>
        <v>2258.4838240065164</v>
      </c>
      <c r="K254">
        <f t="array" aca="1" ref="K254:L254" ca="1">Opt3Spd(H254:J254,$E$3:$G$3,$K$3:$M$3,$N$3:$P$3,$H$3,$I$3,$Q$3,$J$3)</f>
        <v>224.95373600711241</v>
      </c>
      <c r="L254">
        <f ca="1"/>
        <v>9.4554411023182183E-3</v>
      </c>
    </row>
    <row r="255" spans="2:12" x14ac:dyDescent="0.15">
      <c r="B255">
        <f t="shared" ca="1" si="33"/>
        <v>-0.68019005700651669</v>
      </c>
      <c r="C255">
        <f t="shared" ca="1" si="33"/>
        <v>1.9766297562137436</v>
      </c>
      <c r="D255">
        <f t="shared" ca="1" si="33"/>
        <v>-1.0349378251953785</v>
      </c>
      <c r="E255">
        <f t="shared" ca="1" si="27"/>
        <v>-5.1622795726568738E-3</v>
      </c>
      <c r="F255">
        <f t="shared" ca="1" si="28"/>
        <v>6.7363686845684839E-3</v>
      </c>
      <c r="G255">
        <f t="shared" ca="1" si="32"/>
        <v>-6.1503210642261021E-3</v>
      </c>
      <c r="H255">
        <f t="shared" ca="1" si="29"/>
        <v>3995.26828523621</v>
      </c>
      <c r="I255">
        <f t="shared" ca="1" si="30"/>
        <v>547.66458456440523</v>
      </c>
      <c r="J255">
        <f t="shared" ca="1" si="31"/>
        <v>2222.2478821003906</v>
      </c>
      <c r="K255">
        <f t="array" aca="1" ref="K255:L255" ca="1">Opt3Spd(H255:J255,$E$3:$G$3,$K$3:$M$3,$N$3:$P$3,$H$3,$I$3,$Q$3,$J$3)</f>
        <v>182.95479469316979</v>
      </c>
      <c r="L255">
        <f ca="1"/>
        <v>7.3785810203389701E-2</v>
      </c>
    </row>
    <row r="256" spans="2:12" x14ac:dyDescent="0.15">
      <c r="B256">
        <f t="shared" ca="1" si="33"/>
        <v>1.1091131387822648</v>
      </c>
      <c r="C256">
        <f t="shared" ca="1" si="33"/>
        <v>0.20601435504976104</v>
      </c>
      <c r="D256">
        <f t="shared" ca="1" si="33"/>
        <v>-1.6880504809601056</v>
      </c>
      <c r="E256">
        <f t="shared" ca="1" si="27"/>
        <v>8.4175768832889294E-3</v>
      </c>
      <c r="F256">
        <f t="shared" ca="1" si="28"/>
        <v>1.5292289141849493E-2</v>
      </c>
      <c r="G256">
        <f t="shared" ca="1" si="32"/>
        <v>1.3599937209983176E-3</v>
      </c>
      <c r="H256">
        <f t="shared" ca="1" si="29"/>
        <v>4049.8049887632887</v>
      </c>
      <c r="I256">
        <f t="shared" ca="1" si="30"/>
        <v>552.31900529316613</v>
      </c>
      <c r="J256">
        <f t="shared" ca="1" si="31"/>
        <v>2239.0409459601519</v>
      </c>
      <c r="K256">
        <f t="array" aca="1" ref="K256:L256" ca="1">Opt3Spd(H256:J256,$E$3:$G$3,$K$3:$M$3,$N$3:$P$3,$H$3,$I$3,$Q$3,$J$3)</f>
        <v>221.5851710532188</v>
      </c>
      <c r="L256">
        <f ca="1"/>
        <v>1.1063739071914824E-2</v>
      </c>
    </row>
    <row r="257" spans="2:12" x14ac:dyDescent="0.15">
      <c r="B257">
        <f t="shared" ca="1" si="33"/>
        <v>0.81808911193430978</v>
      </c>
      <c r="C257">
        <f t="shared" ca="1" si="33"/>
        <v>1.2091747105874944</v>
      </c>
      <c r="D257">
        <f t="shared" ca="1" si="33"/>
        <v>2.0504180464009698</v>
      </c>
      <c r="E257">
        <f t="shared" ca="1" si="27"/>
        <v>6.2088598144724554E-3</v>
      </c>
      <c r="F257">
        <f t="shared" ca="1" si="28"/>
        <v>1.9380970566486064E-2</v>
      </c>
      <c r="G257">
        <f t="shared" ca="1" si="32"/>
        <v>1.3728668819936687E-2</v>
      </c>
      <c r="H257">
        <f t="shared" ca="1" si="29"/>
        <v>4040.9347810149216</v>
      </c>
      <c r="I257">
        <f t="shared" ca="1" si="30"/>
        <v>554.54324798816845</v>
      </c>
      <c r="J257">
        <f t="shared" ca="1" si="31"/>
        <v>2266.6973034813786</v>
      </c>
      <c r="K257">
        <f t="array" aca="1" ref="K257:L257" ca="1">Opt3Spd(H257:J257,$E$3:$G$3,$K$3:$M$3,$N$3:$P$3,$H$3,$I$3,$Q$3,$J$3)</f>
        <v>195.35992652713867</v>
      </c>
      <c r="L257">
        <f ca="1"/>
        <v>4.2994033976128776E-2</v>
      </c>
    </row>
    <row r="258" spans="2:12" x14ac:dyDescent="0.15">
      <c r="B258">
        <f t="shared" ca="1" si="33"/>
        <v>-0.9191283509378223</v>
      </c>
      <c r="C258">
        <f t="shared" ca="1" si="33"/>
        <v>-0.21221185215107938</v>
      </c>
      <c r="D258">
        <f t="shared" ca="1" si="33"/>
        <v>1.1971063727905611</v>
      </c>
      <c r="E258">
        <f t="shared" ca="1" si="27"/>
        <v>-6.9756937223953864E-3</v>
      </c>
      <c r="F258">
        <f t="shared" ca="1" si="28"/>
        <v>-1.299071154032274E-2</v>
      </c>
      <c r="G258">
        <f t="shared" ca="1" si="32"/>
        <v>-1.8837415123310042E-3</v>
      </c>
      <c r="H258">
        <f t="shared" ca="1" si="29"/>
        <v>3987.98561401086</v>
      </c>
      <c r="I258">
        <f t="shared" ca="1" si="30"/>
        <v>536.93305292206446</v>
      </c>
      <c r="J258">
        <f t="shared" ca="1" si="31"/>
        <v>2231.787953978428</v>
      </c>
      <c r="K258">
        <f t="array" aca="1" ref="K258:L258" ca="1">Opt3Spd(H258:J258,$E$3:$G$3,$K$3:$M$3,$N$3:$P$3,$H$3,$I$3,$Q$3,$J$3)</f>
        <v>188.0568671297724</v>
      </c>
      <c r="L258">
        <f ca="1"/>
        <v>5.8114783429573436E-2</v>
      </c>
    </row>
    <row r="259" spans="2:12" x14ac:dyDescent="0.15">
      <c r="B259">
        <f t="shared" ca="1" si="33"/>
        <v>-0.22816029312319508</v>
      </c>
      <c r="C259">
        <f t="shared" ca="1" si="33"/>
        <v>0.2577748943716921</v>
      </c>
      <c r="D259">
        <f t="shared" ca="1" si="33"/>
        <v>1.0417127866461007</v>
      </c>
      <c r="E259">
        <f t="shared" ca="1" si="27"/>
        <v>-1.7316148749142773E-3</v>
      </c>
      <c r="F259">
        <f t="shared" ca="1" si="28"/>
        <v>-8.4580342778449653E-4</v>
      </c>
      <c r="G259">
        <f t="shared" ca="1" si="32"/>
        <v>2.4767060152624397E-3</v>
      </c>
      <c r="H259">
        <f t="shared" ca="1" si="29"/>
        <v>4009.0458346623445</v>
      </c>
      <c r="I259">
        <f t="shared" ca="1" si="30"/>
        <v>543.53988293528528</v>
      </c>
      <c r="J259">
        <f t="shared" ca="1" si="31"/>
        <v>2241.5379146501268</v>
      </c>
      <c r="K259">
        <f t="array" aca="1" ref="K259:L259" ca="1">Opt3Spd(H259:J259,$E$3:$G$3,$K$3:$M$3,$N$3:$P$3,$H$3,$I$3,$Q$3,$J$3)</f>
        <v>193.65815428635619</v>
      </c>
      <c r="L259">
        <f ca="1"/>
        <v>4.5089645531334099E-2</v>
      </c>
    </row>
  </sheetData>
  <mergeCells count="4">
    <mergeCell ref="B7:D7"/>
    <mergeCell ref="E7:G7"/>
    <mergeCell ref="H7:J7"/>
    <mergeCell ref="K7:M7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2018-03-01T07:11:13Z</dcterms:modified>
</cp:coreProperties>
</file>