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functionGroups builtInGroupCount="18"/>
  <calcPr calcId="152511" calcMode="manual"/>
</workbook>
</file>

<file path=xl/calcChain.xml><?xml version="1.0" encoding="utf-8"?>
<calcChain xmlns="http://schemas.openxmlformats.org/spreadsheetml/2006/main">
  <c r="B261" i="1" l="1"/>
  <c r="C261" i="1"/>
  <c r="D261" i="1"/>
  <c r="B262" i="1"/>
  <c r="C262" i="1"/>
  <c r="D262" i="1"/>
  <c r="B263" i="1"/>
  <c r="C263" i="1"/>
  <c r="D263" i="1"/>
  <c r="B264" i="1"/>
  <c r="C264" i="1"/>
  <c r="D264" i="1"/>
  <c r="B265" i="1"/>
  <c r="C265" i="1"/>
  <c r="D265" i="1"/>
  <c r="B266" i="1"/>
  <c r="C266" i="1"/>
  <c r="D266" i="1"/>
  <c r="B267" i="1"/>
  <c r="C267" i="1"/>
  <c r="D267" i="1"/>
  <c r="B268" i="1"/>
  <c r="C268" i="1"/>
  <c r="D268" i="1"/>
  <c r="B269" i="1"/>
  <c r="C269" i="1"/>
  <c r="D269" i="1"/>
  <c r="B270" i="1"/>
  <c r="C270" i="1"/>
  <c r="D270" i="1"/>
  <c r="B271" i="1"/>
  <c r="C271" i="1"/>
  <c r="D271" i="1"/>
  <c r="B272" i="1"/>
  <c r="C272" i="1"/>
  <c r="D272" i="1"/>
  <c r="B273" i="1"/>
  <c r="C273" i="1"/>
  <c r="D273" i="1"/>
  <c r="B274" i="1"/>
  <c r="C274" i="1"/>
  <c r="D274" i="1"/>
  <c r="B275" i="1"/>
  <c r="C275" i="1"/>
  <c r="D275" i="1"/>
  <c r="B276" i="1"/>
  <c r="C276" i="1"/>
  <c r="D276" i="1"/>
  <c r="B277" i="1"/>
  <c r="C277" i="1"/>
  <c r="D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B283" i="1"/>
  <c r="C283" i="1"/>
  <c r="D283" i="1"/>
  <c r="B284" i="1"/>
  <c r="C284" i="1"/>
  <c r="D284" i="1"/>
  <c r="B285" i="1"/>
  <c r="C285" i="1"/>
  <c r="D285" i="1"/>
  <c r="B286" i="1"/>
  <c r="C286" i="1"/>
  <c r="D286" i="1"/>
  <c r="B287" i="1"/>
  <c r="C287" i="1"/>
  <c r="D287" i="1"/>
  <c r="B288" i="1"/>
  <c r="C288" i="1"/>
  <c r="D288" i="1"/>
  <c r="B289" i="1"/>
  <c r="C289" i="1"/>
  <c r="D289" i="1"/>
  <c r="B290" i="1"/>
  <c r="C290" i="1"/>
  <c r="D290" i="1"/>
  <c r="B291" i="1"/>
  <c r="C291" i="1"/>
  <c r="D291" i="1"/>
  <c r="B292" i="1"/>
  <c r="C292" i="1"/>
  <c r="D292" i="1"/>
  <c r="B293" i="1"/>
  <c r="C293" i="1"/>
  <c r="D293" i="1"/>
  <c r="B294" i="1"/>
  <c r="C294" i="1"/>
  <c r="D294" i="1"/>
  <c r="B295" i="1"/>
  <c r="C295" i="1"/>
  <c r="D295" i="1"/>
  <c r="B296" i="1"/>
  <c r="C296" i="1"/>
  <c r="D296" i="1"/>
  <c r="B297" i="1"/>
  <c r="C297" i="1"/>
  <c r="D297" i="1"/>
  <c r="B298" i="1"/>
  <c r="C298" i="1"/>
  <c r="D298" i="1"/>
  <c r="B299" i="1"/>
  <c r="C299" i="1"/>
  <c r="D299" i="1"/>
  <c r="B300" i="1"/>
  <c r="C300" i="1"/>
  <c r="D300" i="1"/>
  <c r="B301" i="1"/>
  <c r="C301" i="1"/>
  <c r="D301" i="1"/>
  <c r="B302" i="1"/>
  <c r="C302" i="1"/>
  <c r="D302" i="1"/>
  <c r="B303" i="1"/>
  <c r="C303" i="1"/>
  <c r="D303" i="1"/>
  <c r="B304" i="1"/>
  <c r="C304" i="1"/>
  <c r="D304" i="1"/>
  <c r="B305" i="1"/>
  <c r="C305" i="1"/>
  <c r="D305" i="1"/>
  <c r="B306" i="1"/>
  <c r="C306" i="1"/>
  <c r="D306" i="1"/>
  <c r="B307" i="1"/>
  <c r="C307" i="1"/>
  <c r="D307" i="1"/>
  <c r="B308" i="1"/>
  <c r="C308" i="1"/>
  <c r="D308" i="1"/>
  <c r="B309" i="1"/>
  <c r="C309" i="1"/>
  <c r="D309" i="1"/>
  <c r="B310" i="1"/>
  <c r="C310" i="1"/>
  <c r="D310" i="1"/>
  <c r="B311" i="1"/>
  <c r="C311" i="1"/>
  <c r="D311" i="1"/>
  <c r="B312" i="1"/>
  <c r="C312" i="1"/>
  <c r="D312" i="1"/>
  <c r="B313" i="1"/>
  <c r="C313" i="1"/>
  <c r="D313" i="1"/>
  <c r="B314" i="1"/>
  <c r="C314" i="1"/>
  <c r="D314" i="1"/>
  <c r="B315" i="1"/>
  <c r="C315" i="1"/>
  <c r="D315" i="1"/>
  <c r="B316" i="1"/>
  <c r="C316" i="1"/>
  <c r="D316" i="1"/>
  <c r="B317" i="1"/>
  <c r="C317" i="1"/>
  <c r="D317" i="1"/>
  <c r="B318" i="1"/>
  <c r="C318" i="1"/>
  <c r="D318" i="1"/>
  <c r="B319" i="1"/>
  <c r="C319" i="1"/>
  <c r="D319" i="1"/>
  <c r="B320" i="1"/>
  <c r="C320" i="1"/>
  <c r="D320" i="1"/>
  <c r="B321" i="1"/>
  <c r="C321" i="1"/>
  <c r="D321" i="1"/>
  <c r="B322" i="1"/>
  <c r="C322" i="1"/>
  <c r="D322" i="1"/>
  <c r="B323" i="1"/>
  <c r="C323" i="1"/>
  <c r="D323" i="1"/>
  <c r="B324" i="1"/>
  <c r="C324" i="1"/>
  <c r="D324" i="1"/>
  <c r="B325" i="1"/>
  <c r="C325" i="1"/>
  <c r="D325" i="1"/>
  <c r="B326" i="1"/>
  <c r="C326" i="1"/>
  <c r="D326" i="1"/>
  <c r="B327" i="1"/>
  <c r="C327" i="1"/>
  <c r="D327" i="1"/>
  <c r="B328" i="1"/>
  <c r="C328" i="1"/>
  <c r="D328" i="1"/>
  <c r="B329" i="1"/>
  <c r="C329" i="1"/>
  <c r="D329" i="1"/>
  <c r="B330" i="1"/>
  <c r="C330" i="1"/>
  <c r="D330" i="1"/>
  <c r="B331" i="1"/>
  <c r="C331" i="1"/>
  <c r="D331" i="1"/>
  <c r="B332" i="1"/>
  <c r="C332" i="1"/>
  <c r="D332" i="1"/>
  <c r="B333" i="1"/>
  <c r="C333" i="1"/>
  <c r="D333" i="1"/>
  <c r="B334" i="1"/>
  <c r="C334" i="1"/>
  <c r="D334" i="1"/>
  <c r="B335" i="1"/>
  <c r="C335" i="1"/>
  <c r="D335" i="1"/>
  <c r="B336" i="1"/>
  <c r="C336" i="1"/>
  <c r="D336" i="1"/>
  <c r="B337" i="1"/>
  <c r="C337" i="1"/>
  <c r="D337" i="1"/>
  <c r="B338" i="1"/>
  <c r="C338" i="1"/>
  <c r="D338" i="1"/>
  <c r="B339" i="1"/>
  <c r="C339" i="1"/>
  <c r="D339" i="1"/>
  <c r="B340" i="1"/>
  <c r="C340" i="1"/>
  <c r="D340" i="1"/>
  <c r="B341" i="1"/>
  <c r="C341" i="1"/>
  <c r="D341" i="1"/>
  <c r="B342" i="1"/>
  <c r="C342" i="1"/>
  <c r="D342" i="1"/>
  <c r="B343" i="1"/>
  <c r="C343" i="1"/>
  <c r="D343" i="1"/>
  <c r="B344" i="1"/>
  <c r="C344" i="1"/>
  <c r="D344" i="1"/>
  <c r="B345" i="1"/>
  <c r="C345" i="1"/>
  <c r="D345" i="1"/>
  <c r="B346" i="1"/>
  <c r="C346" i="1"/>
  <c r="D346" i="1"/>
  <c r="B347" i="1"/>
  <c r="C347" i="1"/>
  <c r="D347" i="1"/>
  <c r="B348" i="1"/>
  <c r="C348" i="1"/>
  <c r="D348" i="1"/>
  <c r="B349" i="1"/>
  <c r="C349" i="1"/>
  <c r="D349" i="1"/>
  <c r="B350" i="1"/>
  <c r="C350" i="1"/>
  <c r="D350" i="1"/>
  <c r="B351" i="1"/>
  <c r="C351" i="1"/>
  <c r="D351" i="1"/>
  <c r="B352" i="1"/>
  <c r="C352" i="1"/>
  <c r="D352" i="1"/>
  <c r="B353" i="1"/>
  <c r="C353" i="1"/>
  <c r="D353" i="1"/>
  <c r="B354" i="1"/>
  <c r="C354" i="1"/>
  <c r="D354" i="1"/>
  <c r="B355" i="1"/>
  <c r="C355" i="1"/>
  <c r="D355" i="1"/>
  <c r="B356" i="1"/>
  <c r="C356" i="1"/>
  <c r="D356" i="1"/>
  <c r="B357" i="1"/>
  <c r="C357" i="1"/>
  <c r="D357" i="1"/>
  <c r="B358" i="1"/>
  <c r="C358" i="1"/>
  <c r="D358" i="1"/>
  <c r="B359" i="1"/>
  <c r="C359" i="1"/>
  <c r="D359" i="1"/>
  <c r="B360" i="1"/>
  <c r="C360" i="1"/>
  <c r="D360" i="1"/>
  <c r="B361" i="1"/>
  <c r="C361" i="1"/>
  <c r="D361" i="1"/>
  <c r="B362" i="1"/>
  <c r="C362" i="1"/>
  <c r="D362" i="1"/>
  <c r="B363" i="1"/>
  <c r="C363" i="1"/>
  <c r="D363" i="1"/>
  <c r="B364" i="1"/>
  <c r="C364" i="1"/>
  <c r="D364" i="1"/>
  <c r="B365" i="1"/>
  <c r="C365" i="1"/>
  <c r="D365" i="1"/>
  <c r="B366" i="1"/>
  <c r="C366" i="1"/>
  <c r="D366" i="1"/>
  <c r="B367" i="1"/>
  <c r="C367" i="1"/>
  <c r="D367" i="1"/>
  <c r="B368" i="1"/>
  <c r="C368" i="1"/>
  <c r="D368" i="1"/>
  <c r="B369" i="1"/>
  <c r="C369" i="1"/>
  <c r="D369" i="1"/>
  <c r="B370" i="1"/>
  <c r="C370" i="1"/>
  <c r="D370" i="1"/>
  <c r="B371" i="1"/>
  <c r="C371" i="1"/>
  <c r="D371" i="1"/>
  <c r="B372" i="1"/>
  <c r="C372" i="1"/>
  <c r="D372" i="1"/>
  <c r="B373" i="1"/>
  <c r="C373" i="1"/>
  <c r="D373" i="1"/>
  <c r="B374" i="1"/>
  <c r="C374" i="1"/>
  <c r="D374" i="1"/>
  <c r="B375" i="1"/>
  <c r="C375" i="1"/>
  <c r="D375" i="1"/>
  <c r="B376" i="1"/>
  <c r="C376" i="1"/>
  <c r="D376" i="1"/>
  <c r="B377" i="1"/>
  <c r="C377" i="1"/>
  <c r="D377" i="1"/>
  <c r="B378" i="1"/>
  <c r="C378" i="1"/>
  <c r="D378" i="1"/>
  <c r="B379" i="1"/>
  <c r="C379" i="1"/>
  <c r="D379" i="1"/>
  <c r="B380" i="1"/>
  <c r="C380" i="1"/>
  <c r="D380" i="1"/>
  <c r="B381" i="1"/>
  <c r="C381" i="1"/>
  <c r="D381" i="1"/>
  <c r="B382" i="1"/>
  <c r="C382" i="1"/>
  <c r="D382" i="1"/>
  <c r="B383" i="1"/>
  <c r="C383" i="1"/>
  <c r="D383" i="1"/>
  <c r="B384" i="1"/>
  <c r="C384" i="1"/>
  <c r="D384" i="1"/>
  <c r="B385" i="1"/>
  <c r="C385" i="1"/>
  <c r="D385" i="1"/>
  <c r="B386" i="1"/>
  <c r="C386" i="1"/>
  <c r="D386" i="1"/>
  <c r="B387" i="1"/>
  <c r="C387" i="1"/>
  <c r="D387" i="1"/>
  <c r="B388" i="1"/>
  <c r="C388" i="1"/>
  <c r="D388" i="1"/>
  <c r="B389" i="1"/>
  <c r="C389" i="1"/>
  <c r="D389" i="1"/>
  <c r="B390" i="1"/>
  <c r="C390" i="1"/>
  <c r="D390" i="1"/>
  <c r="B391" i="1"/>
  <c r="C391" i="1"/>
  <c r="D391" i="1"/>
  <c r="B392" i="1"/>
  <c r="C392" i="1"/>
  <c r="D392" i="1"/>
  <c r="B393" i="1"/>
  <c r="C393" i="1"/>
  <c r="D393" i="1"/>
  <c r="B394" i="1"/>
  <c r="C394" i="1"/>
  <c r="D394" i="1"/>
  <c r="B395" i="1"/>
  <c r="C395" i="1"/>
  <c r="D395" i="1"/>
  <c r="B396" i="1"/>
  <c r="C396" i="1"/>
  <c r="D396" i="1"/>
  <c r="B397" i="1"/>
  <c r="C397" i="1"/>
  <c r="D397" i="1"/>
  <c r="B398" i="1"/>
  <c r="C398" i="1"/>
  <c r="D398" i="1"/>
  <c r="B399" i="1"/>
  <c r="C399" i="1"/>
  <c r="D399" i="1"/>
  <c r="B400" i="1"/>
  <c r="C400" i="1"/>
  <c r="D400" i="1"/>
  <c r="B401" i="1"/>
  <c r="C401" i="1"/>
  <c r="D401" i="1"/>
  <c r="B402" i="1"/>
  <c r="C402" i="1"/>
  <c r="D402" i="1"/>
  <c r="B403" i="1"/>
  <c r="C403" i="1"/>
  <c r="D403" i="1"/>
  <c r="B404" i="1"/>
  <c r="C404" i="1"/>
  <c r="D404" i="1"/>
  <c r="B405" i="1"/>
  <c r="C405" i="1"/>
  <c r="D405" i="1"/>
  <c r="B406" i="1"/>
  <c r="C406" i="1"/>
  <c r="D406" i="1"/>
  <c r="B407" i="1"/>
  <c r="C407" i="1"/>
  <c r="D407" i="1"/>
  <c r="B408" i="1"/>
  <c r="C408" i="1"/>
  <c r="D408" i="1"/>
  <c r="B409" i="1"/>
  <c r="C409" i="1"/>
  <c r="D409" i="1"/>
  <c r="B410" i="1"/>
  <c r="C410" i="1"/>
  <c r="D410" i="1"/>
  <c r="B411" i="1"/>
  <c r="C411" i="1"/>
  <c r="D411" i="1"/>
  <c r="B412" i="1"/>
  <c r="C412" i="1"/>
  <c r="D412" i="1"/>
  <c r="B413" i="1"/>
  <c r="C413" i="1"/>
  <c r="D413" i="1"/>
  <c r="B414" i="1"/>
  <c r="C414" i="1"/>
  <c r="D414" i="1"/>
  <c r="B415" i="1"/>
  <c r="C415" i="1"/>
  <c r="D415" i="1"/>
  <c r="B416" i="1"/>
  <c r="C416" i="1"/>
  <c r="D416" i="1"/>
  <c r="B417" i="1"/>
  <c r="C417" i="1"/>
  <c r="D417" i="1"/>
  <c r="B418" i="1"/>
  <c r="C418" i="1"/>
  <c r="D418" i="1"/>
  <c r="B419" i="1"/>
  <c r="C419" i="1"/>
  <c r="D419" i="1"/>
  <c r="B420" i="1"/>
  <c r="C420" i="1"/>
  <c r="D420" i="1"/>
  <c r="B421" i="1"/>
  <c r="C421" i="1"/>
  <c r="D421" i="1"/>
  <c r="B422" i="1"/>
  <c r="C422" i="1"/>
  <c r="D422" i="1"/>
  <c r="B423" i="1"/>
  <c r="C423" i="1"/>
  <c r="D423" i="1"/>
  <c r="B424" i="1"/>
  <c r="C424" i="1"/>
  <c r="D424" i="1"/>
  <c r="B425" i="1"/>
  <c r="C425" i="1"/>
  <c r="D425" i="1"/>
  <c r="B426" i="1"/>
  <c r="C426" i="1"/>
  <c r="D426" i="1"/>
  <c r="B427" i="1"/>
  <c r="C427" i="1"/>
  <c r="D427" i="1"/>
  <c r="B428" i="1"/>
  <c r="C428" i="1"/>
  <c r="D428" i="1"/>
  <c r="B429" i="1"/>
  <c r="C429" i="1"/>
  <c r="D429" i="1"/>
  <c r="B430" i="1"/>
  <c r="C430" i="1"/>
  <c r="D430" i="1"/>
  <c r="B431" i="1"/>
  <c r="C431" i="1"/>
  <c r="D431" i="1"/>
  <c r="B432" i="1"/>
  <c r="C432" i="1"/>
  <c r="D432" i="1"/>
  <c r="B433" i="1"/>
  <c r="C433" i="1"/>
  <c r="D433" i="1"/>
  <c r="B434" i="1"/>
  <c r="C434" i="1"/>
  <c r="D434" i="1"/>
  <c r="B435" i="1"/>
  <c r="C435" i="1"/>
  <c r="D435" i="1"/>
  <c r="B436" i="1"/>
  <c r="C436" i="1"/>
  <c r="D436" i="1"/>
  <c r="B437" i="1"/>
  <c r="C437" i="1"/>
  <c r="D437" i="1"/>
  <c r="B438" i="1"/>
  <c r="C438" i="1"/>
  <c r="D438" i="1"/>
  <c r="B439" i="1"/>
  <c r="C439" i="1"/>
  <c r="D439" i="1"/>
  <c r="B440" i="1"/>
  <c r="C440" i="1"/>
  <c r="D440" i="1"/>
  <c r="B441" i="1"/>
  <c r="C441" i="1"/>
  <c r="D441" i="1"/>
  <c r="B442" i="1"/>
  <c r="C442" i="1"/>
  <c r="D442" i="1"/>
  <c r="B443" i="1"/>
  <c r="C443" i="1"/>
  <c r="D443" i="1"/>
  <c r="B444" i="1"/>
  <c r="C444" i="1"/>
  <c r="D444" i="1"/>
  <c r="B445" i="1"/>
  <c r="C445" i="1"/>
  <c r="D445" i="1"/>
  <c r="B446" i="1"/>
  <c r="C446" i="1"/>
  <c r="D446" i="1"/>
  <c r="B447" i="1"/>
  <c r="C447" i="1"/>
  <c r="D447" i="1"/>
  <c r="B448" i="1"/>
  <c r="C448" i="1"/>
  <c r="D448" i="1"/>
  <c r="B449" i="1"/>
  <c r="C449" i="1"/>
  <c r="D449" i="1"/>
  <c r="B450" i="1"/>
  <c r="C450" i="1"/>
  <c r="D450" i="1"/>
  <c r="B451" i="1"/>
  <c r="C451" i="1"/>
  <c r="D451" i="1"/>
  <c r="B452" i="1"/>
  <c r="C452" i="1"/>
  <c r="D452" i="1"/>
  <c r="B453" i="1"/>
  <c r="C453" i="1"/>
  <c r="D453" i="1"/>
  <c r="B454" i="1"/>
  <c r="C454" i="1"/>
  <c r="D454" i="1"/>
  <c r="B455" i="1"/>
  <c r="C455" i="1"/>
  <c r="D455" i="1"/>
  <c r="B456" i="1"/>
  <c r="C456" i="1"/>
  <c r="D456" i="1"/>
  <c r="B457" i="1"/>
  <c r="C457" i="1"/>
  <c r="D457" i="1"/>
  <c r="B458" i="1"/>
  <c r="C458" i="1"/>
  <c r="D458" i="1"/>
  <c r="B459" i="1"/>
  <c r="C459" i="1"/>
  <c r="D459" i="1"/>
  <c r="B460" i="1"/>
  <c r="C460" i="1"/>
  <c r="D460" i="1"/>
  <c r="B461" i="1"/>
  <c r="C461" i="1"/>
  <c r="D461" i="1"/>
  <c r="B462" i="1"/>
  <c r="C462" i="1"/>
  <c r="D462" i="1"/>
  <c r="B463" i="1"/>
  <c r="C463" i="1"/>
  <c r="D463" i="1"/>
  <c r="B464" i="1"/>
  <c r="C464" i="1"/>
  <c r="D464" i="1"/>
  <c r="B465" i="1"/>
  <c r="C465" i="1"/>
  <c r="D465" i="1"/>
  <c r="B466" i="1"/>
  <c r="C466" i="1"/>
  <c r="D466" i="1"/>
  <c r="B467" i="1"/>
  <c r="C467" i="1"/>
  <c r="D467" i="1"/>
  <c r="B468" i="1"/>
  <c r="C468" i="1"/>
  <c r="D468" i="1"/>
  <c r="B469" i="1"/>
  <c r="C469" i="1"/>
  <c r="D469" i="1"/>
  <c r="B470" i="1"/>
  <c r="C470" i="1"/>
  <c r="D470" i="1"/>
  <c r="B471" i="1"/>
  <c r="C471" i="1"/>
  <c r="D471" i="1"/>
  <c r="B472" i="1"/>
  <c r="C472" i="1"/>
  <c r="D472" i="1"/>
  <c r="B473" i="1"/>
  <c r="C473" i="1"/>
  <c r="D473" i="1"/>
  <c r="B474" i="1"/>
  <c r="C474" i="1"/>
  <c r="D474" i="1"/>
  <c r="B475" i="1"/>
  <c r="C475" i="1"/>
  <c r="D475" i="1"/>
  <c r="B476" i="1"/>
  <c r="C476" i="1"/>
  <c r="D476" i="1"/>
  <c r="B477" i="1"/>
  <c r="C477" i="1"/>
  <c r="D477" i="1"/>
  <c r="B478" i="1"/>
  <c r="C478" i="1"/>
  <c r="D478" i="1"/>
  <c r="B479" i="1"/>
  <c r="C479" i="1"/>
  <c r="D479" i="1"/>
  <c r="B480" i="1"/>
  <c r="C480" i="1"/>
  <c r="D480" i="1"/>
  <c r="B481" i="1"/>
  <c r="C481" i="1"/>
  <c r="D481" i="1"/>
  <c r="B482" i="1"/>
  <c r="C482" i="1"/>
  <c r="D482" i="1"/>
  <c r="B483" i="1"/>
  <c r="C483" i="1"/>
  <c r="D483" i="1"/>
  <c r="B484" i="1"/>
  <c r="C484" i="1"/>
  <c r="D484" i="1"/>
  <c r="B485" i="1"/>
  <c r="C485" i="1"/>
  <c r="D485" i="1"/>
  <c r="B486" i="1"/>
  <c r="C486" i="1"/>
  <c r="D486" i="1"/>
  <c r="B487" i="1"/>
  <c r="C487" i="1"/>
  <c r="D487" i="1"/>
  <c r="B488" i="1"/>
  <c r="C488" i="1"/>
  <c r="D488" i="1"/>
  <c r="B489" i="1"/>
  <c r="C489" i="1"/>
  <c r="D489" i="1"/>
  <c r="B490" i="1"/>
  <c r="C490" i="1"/>
  <c r="D490" i="1"/>
  <c r="B491" i="1"/>
  <c r="C491" i="1"/>
  <c r="D491" i="1"/>
  <c r="B492" i="1"/>
  <c r="C492" i="1"/>
  <c r="D492" i="1"/>
  <c r="B493" i="1"/>
  <c r="C493" i="1"/>
  <c r="D493" i="1"/>
  <c r="B494" i="1"/>
  <c r="C494" i="1"/>
  <c r="D494" i="1"/>
  <c r="B495" i="1"/>
  <c r="C495" i="1"/>
  <c r="D495" i="1"/>
  <c r="B496" i="1"/>
  <c r="C496" i="1"/>
  <c r="D496" i="1"/>
  <c r="B497" i="1"/>
  <c r="C497" i="1"/>
  <c r="D497" i="1"/>
  <c r="B498" i="1"/>
  <c r="C498" i="1"/>
  <c r="D498" i="1"/>
  <c r="B499" i="1"/>
  <c r="C499" i="1"/>
  <c r="D499" i="1"/>
  <c r="B500" i="1"/>
  <c r="C500" i="1"/>
  <c r="D500" i="1"/>
  <c r="B501" i="1"/>
  <c r="C501" i="1"/>
  <c r="D501" i="1"/>
  <c r="B502" i="1"/>
  <c r="C502" i="1"/>
  <c r="D502" i="1"/>
  <c r="B503" i="1"/>
  <c r="C503" i="1"/>
  <c r="D503" i="1"/>
  <c r="B504" i="1"/>
  <c r="C504" i="1"/>
  <c r="D504" i="1"/>
  <c r="B505" i="1"/>
  <c r="C505" i="1"/>
  <c r="D505" i="1"/>
  <c r="B506" i="1"/>
  <c r="C506" i="1"/>
  <c r="D506" i="1"/>
  <c r="B507" i="1"/>
  <c r="C507" i="1"/>
  <c r="D507" i="1"/>
  <c r="B508" i="1"/>
  <c r="C508" i="1"/>
  <c r="D508" i="1"/>
  <c r="B509" i="1"/>
  <c r="C509" i="1"/>
  <c r="D509" i="1"/>
  <c r="B510" i="1"/>
  <c r="C510" i="1"/>
  <c r="D510" i="1"/>
  <c r="B511" i="1"/>
  <c r="C511" i="1"/>
  <c r="D511" i="1"/>
  <c r="B512" i="1"/>
  <c r="C512" i="1"/>
  <c r="D512" i="1"/>
  <c r="B513" i="1"/>
  <c r="C513" i="1"/>
  <c r="D513" i="1"/>
  <c r="B514" i="1"/>
  <c r="C514" i="1"/>
  <c r="D514" i="1"/>
  <c r="B515" i="1"/>
  <c r="C515" i="1"/>
  <c r="D515" i="1"/>
  <c r="B516" i="1"/>
  <c r="C516" i="1"/>
  <c r="D516" i="1"/>
  <c r="B517" i="1"/>
  <c r="C517" i="1"/>
  <c r="D517" i="1"/>
  <c r="B518" i="1"/>
  <c r="C518" i="1"/>
  <c r="D518" i="1"/>
  <c r="B519" i="1"/>
  <c r="C519" i="1"/>
  <c r="D519" i="1"/>
  <c r="B520" i="1"/>
  <c r="C520" i="1"/>
  <c r="D520" i="1"/>
  <c r="B521" i="1"/>
  <c r="C521" i="1"/>
  <c r="D521" i="1"/>
  <c r="B522" i="1"/>
  <c r="C522" i="1"/>
  <c r="D522" i="1"/>
  <c r="B523" i="1"/>
  <c r="C523" i="1"/>
  <c r="D523" i="1"/>
  <c r="B524" i="1"/>
  <c r="C524" i="1"/>
  <c r="D524" i="1"/>
  <c r="B525" i="1"/>
  <c r="C525" i="1"/>
  <c r="D525" i="1"/>
  <c r="B526" i="1"/>
  <c r="C526" i="1"/>
  <c r="D526" i="1"/>
  <c r="B527" i="1"/>
  <c r="C527" i="1"/>
  <c r="D527" i="1"/>
  <c r="B528" i="1"/>
  <c r="C528" i="1"/>
  <c r="D528" i="1"/>
  <c r="B529" i="1"/>
  <c r="C529" i="1"/>
  <c r="D529" i="1"/>
  <c r="B530" i="1"/>
  <c r="C530" i="1"/>
  <c r="D530" i="1"/>
  <c r="B531" i="1"/>
  <c r="C531" i="1"/>
  <c r="D531" i="1"/>
  <c r="B532" i="1"/>
  <c r="C532" i="1"/>
  <c r="D532" i="1"/>
  <c r="B533" i="1"/>
  <c r="C533" i="1"/>
  <c r="D533" i="1"/>
  <c r="B534" i="1"/>
  <c r="C534" i="1"/>
  <c r="D534" i="1"/>
  <c r="B535" i="1"/>
  <c r="C535" i="1"/>
  <c r="D535" i="1"/>
  <c r="B536" i="1"/>
  <c r="C536" i="1"/>
  <c r="D536" i="1"/>
  <c r="B537" i="1"/>
  <c r="C537" i="1"/>
  <c r="D537" i="1"/>
  <c r="B538" i="1"/>
  <c r="C538" i="1"/>
  <c r="D538" i="1"/>
  <c r="B539" i="1"/>
  <c r="C539" i="1"/>
  <c r="D539" i="1"/>
  <c r="B540" i="1"/>
  <c r="C540" i="1"/>
  <c r="D540" i="1"/>
  <c r="B541" i="1"/>
  <c r="C541" i="1"/>
  <c r="D541" i="1"/>
  <c r="B542" i="1"/>
  <c r="C542" i="1"/>
  <c r="D542" i="1"/>
  <c r="B543" i="1"/>
  <c r="C543" i="1"/>
  <c r="D543" i="1"/>
  <c r="B544" i="1"/>
  <c r="C544" i="1"/>
  <c r="D544" i="1"/>
  <c r="B545" i="1"/>
  <c r="C545" i="1"/>
  <c r="D545" i="1"/>
  <c r="B546" i="1"/>
  <c r="C546" i="1"/>
  <c r="D546" i="1"/>
  <c r="B547" i="1"/>
  <c r="C547" i="1"/>
  <c r="D547" i="1"/>
  <c r="B548" i="1"/>
  <c r="C548" i="1"/>
  <c r="D548" i="1"/>
  <c r="B549" i="1"/>
  <c r="C549" i="1"/>
  <c r="D549" i="1"/>
  <c r="B550" i="1"/>
  <c r="C550" i="1"/>
  <c r="D550" i="1"/>
  <c r="B551" i="1"/>
  <c r="C551" i="1"/>
  <c r="D551" i="1"/>
  <c r="B552" i="1"/>
  <c r="C552" i="1"/>
  <c r="D552" i="1"/>
  <c r="B553" i="1"/>
  <c r="C553" i="1"/>
  <c r="D553" i="1"/>
  <c r="B554" i="1"/>
  <c r="C554" i="1"/>
  <c r="D554" i="1"/>
  <c r="B555" i="1"/>
  <c r="C555" i="1"/>
  <c r="D555" i="1"/>
  <c r="B556" i="1"/>
  <c r="C556" i="1"/>
  <c r="D556" i="1"/>
  <c r="B557" i="1"/>
  <c r="C557" i="1"/>
  <c r="D557" i="1"/>
  <c r="B558" i="1"/>
  <c r="C558" i="1"/>
  <c r="D558" i="1"/>
  <c r="B559" i="1"/>
  <c r="C559" i="1"/>
  <c r="D559" i="1"/>
  <c r="B560" i="1"/>
  <c r="C560" i="1"/>
  <c r="D560" i="1"/>
  <c r="B561" i="1"/>
  <c r="C561" i="1"/>
  <c r="D561" i="1"/>
  <c r="B562" i="1"/>
  <c r="C562" i="1"/>
  <c r="D562" i="1"/>
  <c r="B563" i="1"/>
  <c r="C563" i="1"/>
  <c r="D563" i="1"/>
  <c r="B564" i="1"/>
  <c r="C564" i="1"/>
  <c r="D564" i="1"/>
  <c r="B565" i="1"/>
  <c r="C565" i="1"/>
  <c r="D565" i="1"/>
  <c r="B566" i="1"/>
  <c r="C566" i="1"/>
  <c r="D566" i="1"/>
  <c r="B567" i="1"/>
  <c r="C567" i="1"/>
  <c r="D567" i="1"/>
  <c r="B568" i="1"/>
  <c r="C568" i="1"/>
  <c r="D568" i="1"/>
  <c r="B569" i="1"/>
  <c r="C569" i="1"/>
  <c r="D569" i="1"/>
  <c r="B570" i="1"/>
  <c r="C570" i="1"/>
  <c r="D570" i="1"/>
  <c r="B571" i="1"/>
  <c r="C571" i="1"/>
  <c r="D571" i="1"/>
  <c r="B572" i="1"/>
  <c r="C572" i="1"/>
  <c r="D572" i="1"/>
  <c r="B573" i="1"/>
  <c r="C573" i="1"/>
  <c r="D573" i="1"/>
  <c r="B574" i="1"/>
  <c r="C574" i="1"/>
  <c r="D574" i="1"/>
  <c r="B575" i="1"/>
  <c r="C575" i="1"/>
  <c r="D575" i="1"/>
  <c r="B576" i="1"/>
  <c r="C576" i="1"/>
  <c r="D576" i="1"/>
  <c r="B577" i="1"/>
  <c r="C577" i="1"/>
  <c r="D577" i="1"/>
  <c r="B578" i="1"/>
  <c r="C578" i="1"/>
  <c r="D578" i="1"/>
  <c r="B579" i="1"/>
  <c r="C579" i="1"/>
  <c r="D579" i="1"/>
  <c r="B580" i="1"/>
  <c r="C580" i="1"/>
  <c r="D580" i="1"/>
  <c r="B581" i="1"/>
  <c r="C581" i="1"/>
  <c r="D581" i="1"/>
  <c r="B582" i="1"/>
  <c r="C582" i="1"/>
  <c r="D582" i="1"/>
  <c r="B583" i="1"/>
  <c r="C583" i="1"/>
  <c r="D583" i="1"/>
  <c r="B584" i="1"/>
  <c r="C584" i="1"/>
  <c r="D584" i="1"/>
  <c r="B585" i="1"/>
  <c r="C585" i="1"/>
  <c r="D585" i="1"/>
  <c r="B586" i="1"/>
  <c r="C586" i="1"/>
  <c r="D586" i="1"/>
  <c r="B587" i="1"/>
  <c r="C587" i="1"/>
  <c r="D587" i="1"/>
  <c r="B588" i="1"/>
  <c r="C588" i="1"/>
  <c r="D588" i="1"/>
  <c r="B589" i="1"/>
  <c r="C589" i="1"/>
  <c r="D589" i="1"/>
  <c r="B590" i="1"/>
  <c r="C590" i="1"/>
  <c r="D590" i="1"/>
  <c r="B591" i="1"/>
  <c r="C591" i="1"/>
  <c r="D591" i="1"/>
  <c r="B592" i="1"/>
  <c r="C592" i="1"/>
  <c r="D592" i="1"/>
  <c r="B593" i="1"/>
  <c r="C593" i="1"/>
  <c r="D593" i="1"/>
  <c r="B594" i="1"/>
  <c r="C594" i="1"/>
  <c r="D594" i="1"/>
  <c r="B595" i="1"/>
  <c r="C595" i="1"/>
  <c r="D595" i="1"/>
  <c r="B596" i="1"/>
  <c r="C596" i="1"/>
  <c r="D596" i="1"/>
  <c r="B597" i="1"/>
  <c r="C597" i="1"/>
  <c r="D597" i="1"/>
  <c r="B598" i="1"/>
  <c r="C598" i="1"/>
  <c r="D598" i="1"/>
  <c r="B599" i="1"/>
  <c r="C599" i="1"/>
  <c r="D599" i="1"/>
  <c r="B600" i="1"/>
  <c r="C600" i="1"/>
  <c r="D600" i="1"/>
  <c r="B601" i="1"/>
  <c r="C601" i="1"/>
  <c r="D601" i="1"/>
  <c r="B602" i="1"/>
  <c r="C602" i="1"/>
  <c r="D602" i="1"/>
  <c r="B603" i="1"/>
  <c r="C603" i="1"/>
  <c r="D603" i="1"/>
  <c r="B604" i="1"/>
  <c r="C604" i="1"/>
  <c r="D604" i="1"/>
  <c r="B605" i="1"/>
  <c r="C605" i="1"/>
  <c r="D605" i="1"/>
  <c r="B606" i="1"/>
  <c r="C606" i="1"/>
  <c r="D606" i="1"/>
  <c r="B607" i="1"/>
  <c r="C607" i="1"/>
  <c r="D607" i="1"/>
  <c r="B608" i="1"/>
  <c r="C608" i="1"/>
  <c r="D608" i="1"/>
  <c r="B609" i="1"/>
  <c r="C609" i="1"/>
  <c r="D609" i="1"/>
  <c r="B610" i="1"/>
  <c r="C610" i="1"/>
  <c r="D610" i="1"/>
  <c r="B611" i="1"/>
  <c r="C611" i="1"/>
  <c r="D611" i="1"/>
  <c r="B612" i="1"/>
  <c r="C612" i="1"/>
  <c r="D612" i="1"/>
  <c r="B613" i="1"/>
  <c r="C613" i="1"/>
  <c r="D613" i="1"/>
  <c r="B614" i="1"/>
  <c r="C614" i="1"/>
  <c r="D614" i="1"/>
  <c r="B615" i="1"/>
  <c r="C615" i="1"/>
  <c r="D615" i="1"/>
  <c r="B616" i="1"/>
  <c r="C616" i="1"/>
  <c r="D616" i="1"/>
  <c r="B617" i="1"/>
  <c r="C617" i="1"/>
  <c r="D617" i="1"/>
  <c r="B618" i="1"/>
  <c r="C618" i="1"/>
  <c r="D618" i="1"/>
  <c r="B619" i="1"/>
  <c r="C619" i="1"/>
  <c r="D619" i="1"/>
  <c r="B620" i="1"/>
  <c r="C620" i="1"/>
  <c r="D620" i="1"/>
  <c r="B621" i="1"/>
  <c r="C621" i="1"/>
  <c r="D621" i="1"/>
  <c r="B622" i="1"/>
  <c r="C622" i="1"/>
  <c r="D622" i="1"/>
  <c r="B623" i="1"/>
  <c r="C623" i="1"/>
  <c r="D623" i="1"/>
  <c r="B624" i="1"/>
  <c r="C624" i="1"/>
  <c r="D624" i="1"/>
  <c r="B625" i="1"/>
  <c r="C625" i="1"/>
  <c r="D625" i="1"/>
  <c r="B626" i="1"/>
  <c r="C626" i="1"/>
  <c r="D626" i="1"/>
  <c r="B627" i="1"/>
  <c r="C627" i="1"/>
  <c r="D627" i="1"/>
  <c r="B628" i="1"/>
  <c r="C628" i="1"/>
  <c r="D628" i="1"/>
  <c r="B629" i="1"/>
  <c r="C629" i="1"/>
  <c r="D629" i="1"/>
  <c r="B630" i="1"/>
  <c r="C630" i="1"/>
  <c r="D630" i="1"/>
  <c r="B631" i="1"/>
  <c r="C631" i="1"/>
  <c r="D631" i="1"/>
  <c r="B632" i="1"/>
  <c r="C632" i="1"/>
  <c r="D632" i="1"/>
  <c r="B633" i="1"/>
  <c r="C633" i="1"/>
  <c r="D633" i="1"/>
  <c r="B634" i="1"/>
  <c r="C634" i="1"/>
  <c r="D634" i="1"/>
  <c r="B635" i="1"/>
  <c r="C635" i="1"/>
  <c r="D635" i="1"/>
  <c r="B636" i="1"/>
  <c r="C636" i="1"/>
  <c r="D636" i="1"/>
  <c r="B637" i="1"/>
  <c r="C637" i="1"/>
  <c r="D637" i="1"/>
  <c r="B638" i="1"/>
  <c r="C638" i="1"/>
  <c r="D638" i="1"/>
  <c r="B639" i="1"/>
  <c r="C639" i="1"/>
  <c r="D639" i="1"/>
  <c r="B640" i="1"/>
  <c r="C640" i="1"/>
  <c r="D640" i="1"/>
  <c r="B641" i="1"/>
  <c r="C641" i="1"/>
  <c r="D641" i="1"/>
  <c r="B642" i="1"/>
  <c r="C642" i="1"/>
  <c r="D642" i="1"/>
  <c r="B643" i="1"/>
  <c r="C643" i="1"/>
  <c r="D643" i="1"/>
  <c r="B644" i="1"/>
  <c r="C644" i="1"/>
  <c r="D644" i="1"/>
  <c r="B645" i="1"/>
  <c r="C645" i="1"/>
  <c r="D645" i="1"/>
  <c r="B646" i="1"/>
  <c r="C646" i="1"/>
  <c r="D646" i="1"/>
  <c r="B647" i="1"/>
  <c r="C647" i="1"/>
  <c r="D647" i="1"/>
  <c r="B648" i="1"/>
  <c r="C648" i="1"/>
  <c r="D648" i="1"/>
  <c r="B649" i="1"/>
  <c r="C649" i="1"/>
  <c r="D649" i="1"/>
  <c r="B650" i="1"/>
  <c r="C650" i="1"/>
  <c r="D650" i="1"/>
  <c r="B651" i="1"/>
  <c r="C651" i="1"/>
  <c r="D651" i="1"/>
  <c r="B652" i="1"/>
  <c r="C652" i="1"/>
  <c r="D652" i="1"/>
  <c r="B653" i="1"/>
  <c r="C653" i="1"/>
  <c r="D653" i="1"/>
  <c r="B654" i="1"/>
  <c r="C654" i="1"/>
  <c r="D654" i="1"/>
  <c r="B655" i="1"/>
  <c r="C655" i="1"/>
  <c r="D655" i="1"/>
  <c r="B656" i="1"/>
  <c r="C656" i="1"/>
  <c r="D656" i="1"/>
  <c r="B657" i="1"/>
  <c r="C657" i="1"/>
  <c r="D657" i="1"/>
  <c r="B658" i="1"/>
  <c r="C658" i="1"/>
  <c r="D658" i="1"/>
  <c r="B659" i="1"/>
  <c r="C659" i="1"/>
  <c r="D659" i="1"/>
  <c r="B660" i="1"/>
  <c r="C660" i="1"/>
  <c r="D660" i="1"/>
  <c r="B661" i="1"/>
  <c r="C661" i="1"/>
  <c r="D661" i="1"/>
  <c r="B662" i="1"/>
  <c r="C662" i="1"/>
  <c r="D662" i="1"/>
  <c r="B663" i="1"/>
  <c r="C663" i="1"/>
  <c r="D663" i="1"/>
  <c r="B664" i="1"/>
  <c r="C664" i="1"/>
  <c r="D664" i="1"/>
  <c r="B665" i="1"/>
  <c r="C665" i="1"/>
  <c r="D665" i="1"/>
  <c r="B666" i="1"/>
  <c r="C666" i="1"/>
  <c r="D666" i="1"/>
  <c r="B667" i="1"/>
  <c r="C667" i="1"/>
  <c r="D667" i="1"/>
  <c r="B668" i="1"/>
  <c r="C668" i="1"/>
  <c r="D668" i="1"/>
  <c r="B669" i="1"/>
  <c r="C669" i="1"/>
  <c r="D669" i="1"/>
  <c r="B670" i="1"/>
  <c r="C670" i="1"/>
  <c r="D670" i="1"/>
  <c r="B671" i="1"/>
  <c r="C671" i="1"/>
  <c r="D671" i="1"/>
  <c r="B672" i="1"/>
  <c r="C672" i="1"/>
  <c r="D672" i="1"/>
  <c r="B673" i="1"/>
  <c r="C673" i="1"/>
  <c r="D673" i="1"/>
  <c r="B674" i="1"/>
  <c r="C674" i="1"/>
  <c r="D674" i="1"/>
  <c r="B675" i="1"/>
  <c r="C675" i="1"/>
  <c r="D675" i="1"/>
  <c r="B676" i="1"/>
  <c r="C676" i="1"/>
  <c r="D676" i="1"/>
  <c r="B677" i="1"/>
  <c r="C677" i="1"/>
  <c r="D677" i="1"/>
  <c r="B678" i="1"/>
  <c r="C678" i="1"/>
  <c r="D678" i="1"/>
  <c r="B679" i="1"/>
  <c r="C679" i="1"/>
  <c r="D679" i="1"/>
  <c r="B680" i="1"/>
  <c r="C680" i="1"/>
  <c r="D680" i="1"/>
  <c r="B681" i="1"/>
  <c r="C681" i="1"/>
  <c r="D681" i="1"/>
  <c r="B682" i="1"/>
  <c r="C682" i="1"/>
  <c r="D682" i="1"/>
  <c r="B683" i="1"/>
  <c r="C683" i="1"/>
  <c r="D683" i="1"/>
  <c r="B684" i="1"/>
  <c r="C684" i="1"/>
  <c r="D684" i="1"/>
  <c r="B685" i="1"/>
  <c r="C685" i="1"/>
  <c r="D685" i="1"/>
  <c r="B686" i="1"/>
  <c r="C686" i="1"/>
  <c r="D686" i="1"/>
  <c r="B687" i="1"/>
  <c r="C687" i="1"/>
  <c r="D687" i="1"/>
  <c r="B688" i="1"/>
  <c r="C688" i="1"/>
  <c r="D688" i="1"/>
  <c r="B689" i="1"/>
  <c r="C689" i="1"/>
  <c r="D689" i="1"/>
  <c r="B690" i="1"/>
  <c r="C690" i="1"/>
  <c r="D690" i="1"/>
  <c r="B691" i="1"/>
  <c r="C691" i="1"/>
  <c r="D691" i="1"/>
  <c r="B692" i="1"/>
  <c r="C692" i="1"/>
  <c r="D692" i="1"/>
  <c r="B693" i="1"/>
  <c r="C693" i="1"/>
  <c r="D693" i="1"/>
  <c r="B694" i="1"/>
  <c r="C694" i="1"/>
  <c r="D694" i="1"/>
  <c r="B695" i="1"/>
  <c r="C695" i="1"/>
  <c r="D695" i="1"/>
  <c r="B696" i="1"/>
  <c r="C696" i="1"/>
  <c r="D696" i="1"/>
  <c r="B697" i="1"/>
  <c r="C697" i="1"/>
  <c r="D697" i="1"/>
  <c r="B698" i="1"/>
  <c r="C698" i="1"/>
  <c r="D698" i="1"/>
  <c r="B699" i="1"/>
  <c r="C699" i="1"/>
  <c r="D699" i="1"/>
  <c r="B700" i="1"/>
  <c r="C700" i="1"/>
  <c r="D700" i="1"/>
  <c r="B701" i="1"/>
  <c r="C701" i="1"/>
  <c r="D701" i="1"/>
  <c r="B702" i="1"/>
  <c r="C702" i="1"/>
  <c r="D702" i="1"/>
  <c r="B703" i="1"/>
  <c r="C703" i="1"/>
  <c r="D703" i="1"/>
  <c r="B704" i="1"/>
  <c r="C704" i="1"/>
  <c r="D704" i="1"/>
  <c r="B705" i="1"/>
  <c r="C705" i="1"/>
  <c r="D705" i="1"/>
  <c r="B706" i="1"/>
  <c r="C706" i="1"/>
  <c r="D706" i="1"/>
  <c r="B707" i="1"/>
  <c r="C707" i="1"/>
  <c r="D707" i="1"/>
  <c r="B708" i="1"/>
  <c r="C708" i="1"/>
  <c r="D708" i="1"/>
  <c r="B709" i="1"/>
  <c r="C709" i="1"/>
  <c r="D709" i="1"/>
  <c r="B710" i="1"/>
  <c r="C710" i="1"/>
  <c r="D710" i="1"/>
  <c r="B711" i="1"/>
  <c r="C711" i="1"/>
  <c r="D711" i="1"/>
  <c r="B712" i="1"/>
  <c r="C712" i="1"/>
  <c r="D712" i="1"/>
  <c r="B713" i="1"/>
  <c r="C713" i="1"/>
  <c r="D713" i="1"/>
  <c r="B714" i="1"/>
  <c r="C714" i="1"/>
  <c r="D714" i="1"/>
  <c r="B715" i="1"/>
  <c r="C715" i="1"/>
  <c r="D715" i="1"/>
  <c r="B716" i="1"/>
  <c r="C716" i="1"/>
  <c r="D716" i="1"/>
  <c r="B717" i="1"/>
  <c r="C717" i="1"/>
  <c r="D717" i="1"/>
  <c r="B718" i="1"/>
  <c r="C718" i="1"/>
  <c r="D718" i="1"/>
  <c r="B719" i="1"/>
  <c r="C719" i="1"/>
  <c r="D719" i="1"/>
  <c r="B720" i="1"/>
  <c r="C720" i="1"/>
  <c r="D720" i="1"/>
  <c r="B721" i="1"/>
  <c r="C721" i="1"/>
  <c r="D721" i="1"/>
  <c r="B722" i="1"/>
  <c r="C722" i="1"/>
  <c r="D722" i="1"/>
  <c r="B723" i="1"/>
  <c r="C723" i="1"/>
  <c r="D723" i="1"/>
  <c r="B724" i="1"/>
  <c r="C724" i="1"/>
  <c r="D724" i="1"/>
  <c r="B725" i="1"/>
  <c r="C725" i="1"/>
  <c r="D725" i="1"/>
  <c r="B726" i="1"/>
  <c r="C726" i="1"/>
  <c r="D726" i="1"/>
  <c r="B727" i="1"/>
  <c r="C727" i="1"/>
  <c r="D727" i="1"/>
  <c r="B728" i="1"/>
  <c r="C728" i="1"/>
  <c r="D728" i="1"/>
  <c r="B729" i="1"/>
  <c r="C729" i="1"/>
  <c r="D729" i="1"/>
  <c r="B730" i="1"/>
  <c r="C730" i="1"/>
  <c r="D730" i="1"/>
  <c r="B731" i="1"/>
  <c r="C731" i="1"/>
  <c r="D731" i="1"/>
  <c r="B732" i="1"/>
  <c r="C732" i="1"/>
  <c r="D732" i="1"/>
  <c r="B733" i="1"/>
  <c r="C733" i="1"/>
  <c r="D733" i="1"/>
  <c r="B734" i="1"/>
  <c r="C734" i="1"/>
  <c r="D734" i="1"/>
  <c r="B735" i="1"/>
  <c r="C735" i="1"/>
  <c r="D735" i="1"/>
  <c r="B736" i="1"/>
  <c r="C736" i="1"/>
  <c r="D736" i="1"/>
  <c r="B737" i="1"/>
  <c r="C737" i="1"/>
  <c r="D737" i="1"/>
  <c r="B738" i="1"/>
  <c r="C738" i="1"/>
  <c r="D738" i="1"/>
  <c r="B739" i="1"/>
  <c r="C739" i="1"/>
  <c r="D739" i="1"/>
  <c r="B740" i="1"/>
  <c r="C740" i="1"/>
  <c r="D740" i="1"/>
  <c r="B741" i="1"/>
  <c r="C741" i="1"/>
  <c r="D741" i="1"/>
  <c r="B742" i="1"/>
  <c r="C742" i="1"/>
  <c r="D742" i="1"/>
  <c r="B743" i="1"/>
  <c r="C743" i="1"/>
  <c r="D743" i="1"/>
  <c r="B744" i="1"/>
  <c r="C744" i="1"/>
  <c r="D744" i="1"/>
  <c r="B745" i="1"/>
  <c r="C745" i="1"/>
  <c r="D745" i="1"/>
  <c r="B746" i="1"/>
  <c r="C746" i="1"/>
  <c r="D746" i="1"/>
  <c r="B747" i="1"/>
  <c r="C747" i="1"/>
  <c r="D747" i="1"/>
  <c r="B748" i="1"/>
  <c r="C748" i="1"/>
  <c r="D748" i="1"/>
  <c r="B749" i="1"/>
  <c r="C749" i="1"/>
  <c r="D749" i="1"/>
  <c r="B750" i="1"/>
  <c r="C750" i="1"/>
  <c r="D750" i="1"/>
  <c r="B751" i="1"/>
  <c r="C751" i="1"/>
  <c r="D751" i="1"/>
  <c r="B752" i="1"/>
  <c r="C752" i="1"/>
  <c r="D752" i="1"/>
  <c r="B753" i="1"/>
  <c r="C753" i="1"/>
  <c r="D753" i="1"/>
  <c r="B754" i="1"/>
  <c r="C754" i="1"/>
  <c r="D754" i="1"/>
  <c r="B755" i="1"/>
  <c r="C755" i="1"/>
  <c r="D755" i="1"/>
  <c r="B756" i="1"/>
  <c r="C756" i="1"/>
  <c r="D756" i="1"/>
  <c r="B757" i="1"/>
  <c r="C757" i="1"/>
  <c r="D757" i="1"/>
  <c r="B758" i="1"/>
  <c r="C758" i="1"/>
  <c r="D758" i="1"/>
  <c r="B759" i="1"/>
  <c r="C759" i="1"/>
  <c r="D759" i="1"/>
  <c r="B760" i="1"/>
  <c r="C760" i="1"/>
  <c r="D760" i="1"/>
  <c r="B761" i="1"/>
  <c r="C761" i="1"/>
  <c r="D761" i="1"/>
  <c r="B762" i="1"/>
  <c r="C762" i="1"/>
  <c r="D762" i="1"/>
  <c r="B763" i="1"/>
  <c r="C763" i="1"/>
  <c r="D763" i="1"/>
  <c r="B764" i="1"/>
  <c r="C764" i="1"/>
  <c r="D764" i="1"/>
  <c r="B765" i="1"/>
  <c r="C765" i="1"/>
  <c r="D765" i="1"/>
  <c r="B766" i="1"/>
  <c r="C766" i="1"/>
  <c r="D766" i="1"/>
  <c r="B767" i="1"/>
  <c r="C767" i="1"/>
  <c r="D767" i="1"/>
  <c r="B768" i="1"/>
  <c r="C768" i="1"/>
  <c r="D768" i="1"/>
  <c r="B769" i="1"/>
  <c r="C769" i="1"/>
  <c r="D769" i="1"/>
  <c r="B770" i="1"/>
  <c r="C770" i="1"/>
  <c r="D770" i="1"/>
  <c r="B771" i="1"/>
  <c r="C771" i="1"/>
  <c r="D771" i="1"/>
  <c r="B772" i="1"/>
  <c r="C772" i="1"/>
  <c r="D772" i="1"/>
  <c r="B773" i="1"/>
  <c r="C773" i="1"/>
  <c r="D773" i="1"/>
  <c r="B774" i="1"/>
  <c r="C774" i="1"/>
  <c r="D774" i="1"/>
  <c r="B775" i="1"/>
  <c r="C775" i="1"/>
  <c r="D775" i="1"/>
  <c r="B776" i="1"/>
  <c r="C776" i="1"/>
  <c r="D776" i="1"/>
  <c r="B777" i="1"/>
  <c r="C777" i="1"/>
  <c r="D777" i="1"/>
  <c r="B778" i="1"/>
  <c r="C778" i="1"/>
  <c r="D778" i="1"/>
  <c r="B779" i="1"/>
  <c r="C779" i="1"/>
  <c r="D779" i="1"/>
  <c r="B780" i="1"/>
  <c r="C780" i="1"/>
  <c r="D780" i="1"/>
  <c r="B781" i="1"/>
  <c r="C781" i="1"/>
  <c r="D781" i="1"/>
  <c r="B782" i="1"/>
  <c r="C782" i="1"/>
  <c r="D782" i="1"/>
  <c r="B783" i="1"/>
  <c r="C783" i="1"/>
  <c r="D783" i="1"/>
  <c r="B784" i="1"/>
  <c r="C784" i="1"/>
  <c r="D784" i="1"/>
  <c r="B785" i="1"/>
  <c r="C785" i="1"/>
  <c r="D785" i="1"/>
  <c r="B786" i="1"/>
  <c r="C786" i="1"/>
  <c r="D786" i="1"/>
  <c r="B787" i="1"/>
  <c r="C787" i="1"/>
  <c r="D787" i="1"/>
  <c r="B788" i="1"/>
  <c r="C788" i="1"/>
  <c r="D788" i="1"/>
  <c r="B789" i="1"/>
  <c r="C789" i="1"/>
  <c r="D789" i="1"/>
  <c r="B790" i="1"/>
  <c r="C790" i="1"/>
  <c r="D790" i="1"/>
  <c r="B791" i="1"/>
  <c r="C791" i="1"/>
  <c r="D791" i="1"/>
  <c r="B792" i="1"/>
  <c r="C792" i="1"/>
  <c r="D792" i="1"/>
  <c r="B793" i="1"/>
  <c r="C793" i="1"/>
  <c r="D793" i="1"/>
  <c r="B794" i="1"/>
  <c r="C794" i="1"/>
  <c r="D794" i="1"/>
  <c r="B795" i="1"/>
  <c r="C795" i="1"/>
  <c r="D795" i="1"/>
  <c r="B796" i="1"/>
  <c r="C796" i="1"/>
  <c r="D796" i="1"/>
  <c r="B797" i="1"/>
  <c r="C797" i="1"/>
  <c r="D797" i="1"/>
  <c r="B798" i="1"/>
  <c r="C798" i="1"/>
  <c r="D798" i="1"/>
  <c r="B799" i="1"/>
  <c r="C799" i="1"/>
  <c r="D799" i="1"/>
  <c r="B800" i="1"/>
  <c r="C800" i="1"/>
  <c r="D800" i="1"/>
  <c r="B801" i="1"/>
  <c r="C801" i="1"/>
  <c r="D801" i="1"/>
  <c r="B802" i="1"/>
  <c r="C802" i="1"/>
  <c r="D802" i="1"/>
  <c r="B803" i="1"/>
  <c r="C803" i="1"/>
  <c r="D803" i="1"/>
  <c r="B804" i="1"/>
  <c r="C804" i="1"/>
  <c r="D804" i="1"/>
  <c r="B805" i="1"/>
  <c r="C805" i="1"/>
  <c r="D805" i="1"/>
  <c r="B806" i="1"/>
  <c r="C806" i="1"/>
  <c r="D806" i="1"/>
  <c r="B807" i="1"/>
  <c r="C807" i="1"/>
  <c r="D807" i="1"/>
  <c r="B808" i="1"/>
  <c r="C808" i="1"/>
  <c r="D808" i="1"/>
  <c r="B809" i="1"/>
  <c r="C809" i="1"/>
  <c r="D809" i="1"/>
  <c r="B810" i="1"/>
  <c r="C810" i="1"/>
  <c r="D810" i="1"/>
  <c r="B811" i="1"/>
  <c r="C811" i="1"/>
  <c r="D811" i="1"/>
  <c r="B812" i="1"/>
  <c r="C812" i="1"/>
  <c r="D812" i="1"/>
  <c r="B813" i="1"/>
  <c r="C813" i="1"/>
  <c r="D813" i="1"/>
  <c r="B814" i="1"/>
  <c r="C814" i="1"/>
  <c r="D814" i="1"/>
  <c r="B815" i="1"/>
  <c r="C815" i="1"/>
  <c r="D815" i="1"/>
  <c r="B816" i="1"/>
  <c r="C816" i="1"/>
  <c r="D816" i="1"/>
  <c r="B817" i="1"/>
  <c r="C817" i="1"/>
  <c r="D817" i="1"/>
  <c r="B818" i="1"/>
  <c r="C818" i="1"/>
  <c r="D818" i="1"/>
  <c r="B819" i="1"/>
  <c r="C819" i="1"/>
  <c r="D819" i="1"/>
  <c r="B820" i="1"/>
  <c r="C820" i="1"/>
  <c r="D820" i="1"/>
  <c r="B821" i="1"/>
  <c r="C821" i="1"/>
  <c r="D821" i="1"/>
  <c r="B822" i="1"/>
  <c r="C822" i="1"/>
  <c r="D822" i="1"/>
  <c r="B823" i="1"/>
  <c r="C823" i="1"/>
  <c r="D823" i="1"/>
  <c r="B824" i="1"/>
  <c r="C824" i="1"/>
  <c r="D824" i="1"/>
  <c r="B825" i="1"/>
  <c r="C825" i="1"/>
  <c r="D825" i="1"/>
  <c r="B826" i="1"/>
  <c r="C826" i="1"/>
  <c r="D826" i="1"/>
  <c r="B827" i="1"/>
  <c r="C827" i="1"/>
  <c r="D827" i="1"/>
  <c r="B828" i="1"/>
  <c r="C828" i="1"/>
  <c r="D828" i="1"/>
  <c r="B829" i="1"/>
  <c r="C829" i="1"/>
  <c r="D829" i="1"/>
  <c r="B830" i="1"/>
  <c r="C830" i="1"/>
  <c r="D830" i="1"/>
  <c r="B831" i="1"/>
  <c r="C831" i="1"/>
  <c r="D831" i="1"/>
  <c r="B832" i="1"/>
  <c r="C832" i="1"/>
  <c r="D832" i="1"/>
  <c r="B833" i="1"/>
  <c r="C833" i="1"/>
  <c r="D833" i="1"/>
  <c r="B834" i="1"/>
  <c r="C834" i="1"/>
  <c r="D834" i="1"/>
  <c r="B835" i="1"/>
  <c r="C835" i="1"/>
  <c r="D835" i="1"/>
  <c r="B836" i="1"/>
  <c r="C836" i="1"/>
  <c r="D836" i="1"/>
  <c r="B837" i="1"/>
  <c r="C837" i="1"/>
  <c r="D837" i="1"/>
  <c r="B838" i="1"/>
  <c r="C838" i="1"/>
  <c r="D838" i="1"/>
  <c r="B839" i="1"/>
  <c r="C839" i="1"/>
  <c r="D839" i="1"/>
  <c r="B840" i="1"/>
  <c r="C840" i="1"/>
  <c r="D840" i="1"/>
  <c r="B841" i="1"/>
  <c r="C841" i="1"/>
  <c r="D841" i="1"/>
  <c r="B842" i="1"/>
  <c r="C842" i="1"/>
  <c r="D842" i="1"/>
  <c r="B843" i="1"/>
  <c r="C843" i="1"/>
  <c r="D843" i="1"/>
  <c r="B844" i="1"/>
  <c r="C844" i="1"/>
  <c r="D844" i="1"/>
  <c r="B845" i="1"/>
  <c r="C845" i="1"/>
  <c r="D845" i="1"/>
  <c r="B846" i="1"/>
  <c r="C846" i="1"/>
  <c r="D846" i="1"/>
  <c r="B847" i="1"/>
  <c r="C847" i="1"/>
  <c r="D847" i="1"/>
  <c r="B848" i="1"/>
  <c r="C848" i="1"/>
  <c r="D848" i="1"/>
  <c r="B849" i="1"/>
  <c r="C849" i="1"/>
  <c r="D849" i="1"/>
  <c r="B850" i="1"/>
  <c r="C850" i="1"/>
  <c r="D850" i="1"/>
  <c r="B851" i="1"/>
  <c r="C851" i="1"/>
  <c r="D851" i="1"/>
  <c r="B852" i="1"/>
  <c r="C852" i="1"/>
  <c r="D852" i="1"/>
  <c r="B853" i="1"/>
  <c r="C853" i="1"/>
  <c r="D853" i="1"/>
  <c r="B854" i="1"/>
  <c r="C854" i="1"/>
  <c r="D854" i="1"/>
  <c r="B855" i="1"/>
  <c r="C855" i="1"/>
  <c r="D855" i="1"/>
  <c r="B856" i="1"/>
  <c r="C856" i="1"/>
  <c r="D856" i="1"/>
  <c r="B857" i="1"/>
  <c r="C857" i="1"/>
  <c r="D857" i="1"/>
  <c r="B858" i="1"/>
  <c r="C858" i="1"/>
  <c r="D858" i="1"/>
  <c r="B859" i="1"/>
  <c r="C859" i="1"/>
  <c r="D859" i="1"/>
  <c r="B860" i="1"/>
  <c r="C860" i="1"/>
  <c r="D860" i="1"/>
  <c r="B861" i="1"/>
  <c r="C861" i="1"/>
  <c r="D861" i="1"/>
  <c r="B862" i="1"/>
  <c r="C862" i="1"/>
  <c r="D862" i="1"/>
  <c r="B863" i="1"/>
  <c r="C863" i="1"/>
  <c r="D863" i="1"/>
  <c r="B864" i="1"/>
  <c r="C864" i="1"/>
  <c r="D864" i="1"/>
  <c r="B865" i="1"/>
  <c r="C865" i="1"/>
  <c r="D865" i="1"/>
  <c r="B866" i="1"/>
  <c r="C866" i="1"/>
  <c r="D866" i="1"/>
  <c r="B867" i="1"/>
  <c r="C867" i="1"/>
  <c r="D867" i="1"/>
  <c r="B868" i="1"/>
  <c r="C868" i="1"/>
  <c r="D868" i="1"/>
  <c r="B869" i="1"/>
  <c r="C869" i="1"/>
  <c r="D869" i="1"/>
  <c r="B870" i="1"/>
  <c r="C870" i="1"/>
  <c r="D870" i="1"/>
  <c r="B871" i="1"/>
  <c r="C871" i="1"/>
  <c r="D871" i="1"/>
  <c r="B872" i="1"/>
  <c r="C872" i="1"/>
  <c r="D872" i="1"/>
  <c r="B873" i="1"/>
  <c r="C873" i="1"/>
  <c r="D873" i="1"/>
  <c r="B874" i="1"/>
  <c r="C874" i="1"/>
  <c r="D874" i="1"/>
  <c r="B875" i="1"/>
  <c r="C875" i="1"/>
  <c r="D875" i="1"/>
  <c r="B876" i="1"/>
  <c r="C876" i="1"/>
  <c r="D876" i="1"/>
  <c r="B877" i="1"/>
  <c r="C877" i="1"/>
  <c r="D877" i="1"/>
  <c r="B878" i="1"/>
  <c r="C878" i="1"/>
  <c r="D878" i="1"/>
  <c r="B879" i="1"/>
  <c r="C879" i="1"/>
  <c r="D879" i="1"/>
  <c r="B880" i="1"/>
  <c r="C880" i="1"/>
  <c r="D880" i="1"/>
  <c r="B881" i="1"/>
  <c r="C881" i="1"/>
  <c r="D881" i="1"/>
  <c r="B882" i="1"/>
  <c r="C882" i="1"/>
  <c r="D882" i="1"/>
  <c r="B883" i="1"/>
  <c r="C883" i="1"/>
  <c r="D883" i="1"/>
  <c r="B884" i="1"/>
  <c r="C884" i="1"/>
  <c r="D884" i="1"/>
  <c r="B885" i="1"/>
  <c r="C885" i="1"/>
  <c r="D885" i="1"/>
  <c r="B886" i="1"/>
  <c r="C886" i="1"/>
  <c r="D886" i="1"/>
  <c r="B887" i="1"/>
  <c r="C887" i="1"/>
  <c r="D887" i="1"/>
  <c r="B888" i="1"/>
  <c r="C888" i="1"/>
  <c r="D888" i="1"/>
  <c r="B889" i="1"/>
  <c r="C889" i="1"/>
  <c r="D889" i="1"/>
  <c r="B890" i="1"/>
  <c r="C890" i="1"/>
  <c r="D890" i="1"/>
  <c r="B891" i="1"/>
  <c r="C891" i="1"/>
  <c r="D891" i="1"/>
  <c r="B892" i="1"/>
  <c r="C892" i="1"/>
  <c r="D892" i="1"/>
  <c r="B893" i="1"/>
  <c r="C893" i="1"/>
  <c r="D893" i="1"/>
  <c r="B894" i="1"/>
  <c r="C894" i="1"/>
  <c r="D894" i="1"/>
  <c r="B895" i="1"/>
  <c r="C895" i="1"/>
  <c r="D895" i="1"/>
  <c r="B896" i="1"/>
  <c r="C896" i="1"/>
  <c r="D896" i="1"/>
  <c r="B897" i="1"/>
  <c r="C897" i="1"/>
  <c r="D897" i="1"/>
  <c r="B898" i="1"/>
  <c r="C898" i="1"/>
  <c r="D898" i="1"/>
  <c r="B899" i="1"/>
  <c r="C899" i="1"/>
  <c r="D899" i="1"/>
  <c r="B900" i="1"/>
  <c r="C900" i="1"/>
  <c r="D900" i="1"/>
  <c r="B901" i="1"/>
  <c r="C901" i="1"/>
  <c r="D901" i="1"/>
  <c r="B902" i="1"/>
  <c r="C902" i="1"/>
  <c r="D902" i="1"/>
  <c r="B903" i="1"/>
  <c r="C903" i="1"/>
  <c r="D903" i="1"/>
  <c r="B904" i="1"/>
  <c r="C904" i="1"/>
  <c r="D904" i="1"/>
  <c r="B905" i="1"/>
  <c r="C905" i="1"/>
  <c r="D905" i="1"/>
  <c r="B906" i="1"/>
  <c r="C906" i="1"/>
  <c r="D906" i="1"/>
  <c r="B907" i="1"/>
  <c r="C907" i="1"/>
  <c r="D907" i="1"/>
  <c r="B908" i="1"/>
  <c r="C908" i="1"/>
  <c r="D908" i="1"/>
  <c r="B909" i="1"/>
  <c r="C909" i="1"/>
  <c r="D909" i="1"/>
  <c r="B910" i="1"/>
  <c r="C910" i="1"/>
  <c r="D910" i="1"/>
  <c r="B911" i="1"/>
  <c r="C911" i="1"/>
  <c r="D911" i="1"/>
  <c r="B912" i="1"/>
  <c r="C912" i="1"/>
  <c r="D912" i="1"/>
  <c r="B913" i="1"/>
  <c r="C913" i="1"/>
  <c r="D913" i="1"/>
  <c r="B914" i="1"/>
  <c r="C914" i="1"/>
  <c r="D914" i="1"/>
  <c r="B915" i="1"/>
  <c r="C915" i="1"/>
  <c r="D915" i="1"/>
  <c r="B916" i="1"/>
  <c r="C916" i="1"/>
  <c r="D916" i="1"/>
  <c r="B917" i="1"/>
  <c r="C917" i="1"/>
  <c r="D917" i="1"/>
  <c r="B918" i="1"/>
  <c r="C918" i="1"/>
  <c r="D918" i="1"/>
  <c r="B919" i="1"/>
  <c r="C919" i="1"/>
  <c r="D919" i="1"/>
  <c r="B920" i="1"/>
  <c r="C920" i="1"/>
  <c r="D920" i="1"/>
  <c r="B921" i="1"/>
  <c r="C921" i="1"/>
  <c r="D921" i="1"/>
  <c r="B922" i="1"/>
  <c r="C922" i="1"/>
  <c r="D922" i="1"/>
  <c r="B923" i="1"/>
  <c r="C923" i="1"/>
  <c r="D923" i="1"/>
  <c r="B924" i="1"/>
  <c r="C924" i="1"/>
  <c r="D924" i="1"/>
  <c r="B925" i="1"/>
  <c r="C925" i="1"/>
  <c r="D925" i="1"/>
  <c r="B926" i="1"/>
  <c r="C926" i="1"/>
  <c r="D926" i="1"/>
  <c r="B927" i="1"/>
  <c r="C927" i="1"/>
  <c r="D927" i="1"/>
  <c r="B928" i="1"/>
  <c r="C928" i="1"/>
  <c r="D928" i="1"/>
  <c r="B929" i="1"/>
  <c r="C929" i="1"/>
  <c r="D929" i="1"/>
  <c r="B930" i="1"/>
  <c r="C930" i="1"/>
  <c r="D930" i="1"/>
  <c r="B931" i="1"/>
  <c r="C931" i="1"/>
  <c r="D931" i="1"/>
  <c r="B932" i="1"/>
  <c r="C932" i="1"/>
  <c r="D932" i="1"/>
  <c r="B933" i="1"/>
  <c r="C933" i="1"/>
  <c r="D933" i="1"/>
  <c r="B934" i="1"/>
  <c r="C934" i="1"/>
  <c r="D934" i="1"/>
  <c r="B935" i="1"/>
  <c r="C935" i="1"/>
  <c r="D935" i="1"/>
  <c r="B936" i="1"/>
  <c r="C936" i="1"/>
  <c r="D936" i="1"/>
  <c r="B937" i="1"/>
  <c r="C937" i="1"/>
  <c r="D937" i="1"/>
  <c r="B938" i="1"/>
  <c r="C938" i="1"/>
  <c r="D938" i="1"/>
  <c r="B939" i="1"/>
  <c r="C939" i="1"/>
  <c r="D939" i="1"/>
  <c r="B940" i="1"/>
  <c r="C940" i="1"/>
  <c r="D940" i="1"/>
  <c r="B941" i="1"/>
  <c r="C941" i="1"/>
  <c r="D941" i="1"/>
  <c r="B942" i="1"/>
  <c r="C942" i="1"/>
  <c r="D942" i="1"/>
  <c r="B943" i="1"/>
  <c r="C943" i="1"/>
  <c r="D943" i="1"/>
  <c r="B944" i="1"/>
  <c r="C944" i="1"/>
  <c r="D944" i="1"/>
  <c r="B945" i="1"/>
  <c r="C945" i="1"/>
  <c r="D945" i="1"/>
  <c r="B946" i="1"/>
  <c r="C946" i="1"/>
  <c r="D946" i="1"/>
  <c r="B947" i="1"/>
  <c r="C947" i="1"/>
  <c r="D947" i="1"/>
  <c r="B948" i="1"/>
  <c r="C948" i="1"/>
  <c r="D948" i="1"/>
  <c r="B949" i="1"/>
  <c r="C949" i="1"/>
  <c r="D949" i="1"/>
  <c r="B950" i="1"/>
  <c r="C950" i="1"/>
  <c r="D950" i="1"/>
  <c r="B951" i="1"/>
  <c r="C951" i="1"/>
  <c r="D951" i="1"/>
  <c r="B952" i="1"/>
  <c r="C952" i="1"/>
  <c r="D952" i="1"/>
  <c r="B953" i="1"/>
  <c r="C953" i="1"/>
  <c r="D953" i="1"/>
  <c r="B954" i="1"/>
  <c r="C954" i="1"/>
  <c r="D954" i="1"/>
  <c r="B955" i="1"/>
  <c r="C955" i="1"/>
  <c r="D955" i="1"/>
  <c r="B956" i="1"/>
  <c r="C956" i="1"/>
  <c r="D956" i="1"/>
  <c r="B957" i="1"/>
  <c r="C957" i="1"/>
  <c r="D957" i="1"/>
  <c r="B958" i="1"/>
  <c r="C958" i="1"/>
  <c r="D958" i="1"/>
  <c r="B959" i="1"/>
  <c r="C959" i="1"/>
  <c r="D959" i="1"/>
  <c r="B960" i="1"/>
  <c r="C960" i="1"/>
  <c r="D960" i="1"/>
  <c r="B961" i="1"/>
  <c r="C961" i="1"/>
  <c r="D961" i="1"/>
  <c r="B962" i="1"/>
  <c r="C962" i="1"/>
  <c r="D962" i="1"/>
  <c r="B963" i="1"/>
  <c r="C963" i="1"/>
  <c r="D963" i="1"/>
  <c r="B964" i="1"/>
  <c r="C964" i="1"/>
  <c r="D964" i="1"/>
  <c r="B965" i="1"/>
  <c r="C965" i="1"/>
  <c r="D965" i="1"/>
  <c r="B966" i="1"/>
  <c r="C966" i="1"/>
  <c r="D966" i="1"/>
  <c r="B967" i="1"/>
  <c r="C967" i="1"/>
  <c r="D967" i="1"/>
  <c r="B968" i="1"/>
  <c r="C968" i="1"/>
  <c r="D968" i="1"/>
  <c r="B969" i="1"/>
  <c r="C969" i="1"/>
  <c r="D969" i="1"/>
  <c r="B970" i="1"/>
  <c r="C970" i="1"/>
  <c r="D970" i="1"/>
  <c r="B971" i="1"/>
  <c r="C971" i="1"/>
  <c r="D971" i="1"/>
  <c r="B972" i="1"/>
  <c r="C972" i="1"/>
  <c r="D972" i="1"/>
  <c r="B973" i="1"/>
  <c r="C973" i="1"/>
  <c r="D973" i="1"/>
  <c r="B974" i="1"/>
  <c r="C974" i="1"/>
  <c r="D974" i="1"/>
  <c r="B975" i="1"/>
  <c r="C975" i="1"/>
  <c r="D975" i="1"/>
  <c r="B976" i="1"/>
  <c r="C976" i="1"/>
  <c r="D976" i="1"/>
  <c r="B977" i="1"/>
  <c r="C977" i="1"/>
  <c r="D977" i="1"/>
  <c r="B978" i="1"/>
  <c r="C978" i="1"/>
  <c r="D978" i="1"/>
  <c r="B979" i="1"/>
  <c r="C979" i="1"/>
  <c r="D979" i="1"/>
  <c r="B980" i="1"/>
  <c r="C980" i="1"/>
  <c r="D980" i="1"/>
  <c r="B981" i="1"/>
  <c r="C981" i="1"/>
  <c r="D981" i="1"/>
  <c r="B982" i="1"/>
  <c r="C982" i="1"/>
  <c r="D982" i="1"/>
  <c r="B983" i="1"/>
  <c r="C983" i="1"/>
  <c r="D983" i="1"/>
  <c r="B984" i="1"/>
  <c r="C984" i="1"/>
  <c r="D984" i="1"/>
  <c r="B985" i="1"/>
  <c r="C985" i="1"/>
  <c r="D985" i="1"/>
  <c r="B986" i="1"/>
  <c r="C986" i="1"/>
  <c r="D986" i="1"/>
  <c r="B987" i="1"/>
  <c r="C987" i="1"/>
  <c r="D987" i="1"/>
  <c r="B988" i="1"/>
  <c r="C988" i="1"/>
  <c r="D988" i="1"/>
  <c r="B989" i="1"/>
  <c r="C989" i="1"/>
  <c r="D989" i="1"/>
  <c r="B990" i="1"/>
  <c r="C990" i="1"/>
  <c r="D990" i="1"/>
  <c r="B991" i="1"/>
  <c r="C991" i="1"/>
  <c r="D991" i="1"/>
  <c r="B992" i="1"/>
  <c r="C992" i="1"/>
  <c r="D992" i="1"/>
  <c r="B993" i="1"/>
  <c r="C993" i="1"/>
  <c r="D993" i="1"/>
  <c r="B994" i="1"/>
  <c r="C994" i="1"/>
  <c r="D994" i="1"/>
  <c r="B995" i="1"/>
  <c r="C995" i="1"/>
  <c r="D995" i="1"/>
  <c r="B996" i="1"/>
  <c r="C996" i="1"/>
  <c r="D996" i="1"/>
  <c r="B997" i="1"/>
  <c r="C997" i="1"/>
  <c r="D997" i="1"/>
  <c r="B998" i="1"/>
  <c r="C998" i="1"/>
  <c r="D998" i="1"/>
  <c r="B999" i="1"/>
  <c r="C999" i="1"/>
  <c r="D999" i="1"/>
  <c r="B1000" i="1"/>
  <c r="C1000" i="1"/>
  <c r="D1000" i="1"/>
  <c r="B1001" i="1"/>
  <c r="C1001" i="1"/>
  <c r="D1001" i="1"/>
  <c r="B1002" i="1"/>
  <c r="C1002" i="1"/>
  <c r="D1002" i="1"/>
  <c r="B1003" i="1"/>
  <c r="C1003" i="1"/>
  <c r="D1003" i="1"/>
  <c r="B1004" i="1"/>
  <c r="C1004" i="1"/>
  <c r="D1004" i="1"/>
  <c r="B1005" i="1"/>
  <c r="C1005" i="1"/>
  <c r="D1005" i="1"/>
  <c r="B1006" i="1"/>
  <c r="C1006" i="1"/>
  <c r="D1006" i="1"/>
  <c r="B1007" i="1"/>
  <c r="C1007" i="1"/>
  <c r="D1007" i="1"/>
  <c r="B1008" i="1"/>
  <c r="C1008" i="1"/>
  <c r="D1008" i="1"/>
  <c r="B1009" i="1"/>
  <c r="C1009" i="1"/>
  <c r="D1009" i="1"/>
  <c r="B1010" i="1"/>
  <c r="C1010" i="1"/>
  <c r="D1010" i="1"/>
  <c r="B1011" i="1"/>
  <c r="C1011" i="1"/>
  <c r="D1011" i="1"/>
  <c r="B1012" i="1"/>
  <c r="C1012" i="1"/>
  <c r="D1012" i="1"/>
  <c r="B1013" i="1"/>
  <c r="C1013" i="1"/>
  <c r="D1013" i="1"/>
  <c r="B1014" i="1"/>
  <c r="C1014" i="1"/>
  <c r="D1014" i="1"/>
  <c r="B1015" i="1"/>
  <c r="C1015" i="1"/>
  <c r="D1015" i="1"/>
  <c r="B1016" i="1"/>
  <c r="C1016" i="1"/>
  <c r="D1016" i="1"/>
  <c r="B1017" i="1"/>
  <c r="C1017" i="1"/>
  <c r="D1017" i="1"/>
  <c r="B1018" i="1"/>
  <c r="C1018" i="1"/>
  <c r="D1018" i="1"/>
  <c r="B1019" i="1"/>
  <c r="C1019" i="1"/>
  <c r="D1019" i="1"/>
  <c r="B1020" i="1"/>
  <c r="C1020" i="1"/>
  <c r="D1020" i="1"/>
  <c r="B1021" i="1"/>
  <c r="C1021" i="1"/>
  <c r="D1021" i="1"/>
  <c r="B1022" i="1"/>
  <c r="C1022" i="1"/>
  <c r="D1022" i="1"/>
  <c r="B1023" i="1"/>
  <c r="C1023" i="1"/>
  <c r="D1023" i="1"/>
  <c r="B1024" i="1"/>
  <c r="C1024" i="1"/>
  <c r="D1024" i="1"/>
  <c r="B1025" i="1"/>
  <c r="C1025" i="1"/>
  <c r="D1025" i="1"/>
  <c r="B1026" i="1"/>
  <c r="C1026" i="1"/>
  <c r="D1026" i="1"/>
  <c r="B1027" i="1"/>
  <c r="C1027" i="1"/>
  <c r="D1027" i="1"/>
  <c r="B1028" i="1"/>
  <c r="C1028" i="1"/>
  <c r="D1028" i="1"/>
  <c r="B1029" i="1"/>
  <c r="C1029" i="1"/>
  <c r="D1029" i="1"/>
  <c r="B1030" i="1"/>
  <c r="C1030" i="1"/>
  <c r="D1030" i="1"/>
  <c r="B1031" i="1"/>
  <c r="C1031" i="1"/>
  <c r="D1031" i="1"/>
  <c r="B1032" i="1"/>
  <c r="C1032" i="1"/>
  <c r="D1032" i="1"/>
  <c r="B1033" i="1"/>
  <c r="C1033" i="1"/>
  <c r="D1033" i="1"/>
  <c r="B1034" i="1"/>
  <c r="C1034" i="1"/>
  <c r="D1034" i="1"/>
  <c r="B1035" i="1"/>
  <c r="C1035" i="1"/>
  <c r="D1035" i="1"/>
  <c r="B1036" i="1"/>
  <c r="C1036" i="1"/>
  <c r="D1036" i="1"/>
  <c r="B1037" i="1"/>
  <c r="C1037" i="1"/>
  <c r="D1037" i="1"/>
  <c r="B1038" i="1"/>
  <c r="C1038" i="1"/>
  <c r="D1038" i="1"/>
  <c r="B1039" i="1"/>
  <c r="C1039" i="1"/>
  <c r="D1039" i="1"/>
  <c r="B1040" i="1"/>
  <c r="C1040" i="1"/>
  <c r="D1040" i="1"/>
  <c r="B1041" i="1"/>
  <c r="C1041" i="1"/>
  <c r="D1041" i="1"/>
  <c r="B1042" i="1"/>
  <c r="C1042" i="1"/>
  <c r="D1042" i="1"/>
  <c r="B1043" i="1"/>
  <c r="C1043" i="1"/>
  <c r="D1043" i="1"/>
  <c r="B1044" i="1"/>
  <c r="C1044" i="1"/>
  <c r="D1044" i="1"/>
  <c r="B1045" i="1"/>
  <c r="C1045" i="1"/>
  <c r="D1045" i="1"/>
  <c r="B1046" i="1"/>
  <c r="C1046" i="1"/>
  <c r="D1046" i="1"/>
  <c r="B1047" i="1"/>
  <c r="C1047" i="1"/>
  <c r="D1047" i="1"/>
  <c r="B1048" i="1"/>
  <c r="C1048" i="1"/>
  <c r="D1048" i="1"/>
  <c r="B1049" i="1"/>
  <c r="C1049" i="1"/>
  <c r="D1049" i="1"/>
  <c r="B1050" i="1"/>
  <c r="C1050" i="1"/>
  <c r="D1050" i="1"/>
  <c r="B1051" i="1"/>
  <c r="C1051" i="1"/>
  <c r="D1051" i="1"/>
  <c r="B1052" i="1"/>
  <c r="C1052" i="1"/>
  <c r="D1052" i="1"/>
  <c r="B1053" i="1"/>
  <c r="C1053" i="1"/>
  <c r="D1053" i="1"/>
  <c r="B1054" i="1"/>
  <c r="C1054" i="1"/>
  <c r="D1054" i="1"/>
  <c r="B1055" i="1"/>
  <c r="C1055" i="1"/>
  <c r="D1055" i="1"/>
  <c r="B1056" i="1"/>
  <c r="C1056" i="1"/>
  <c r="D1056" i="1"/>
  <c r="B1057" i="1"/>
  <c r="C1057" i="1"/>
  <c r="D1057" i="1"/>
  <c r="B1058" i="1"/>
  <c r="C1058" i="1"/>
  <c r="D1058" i="1"/>
  <c r="B1059" i="1"/>
  <c r="C1059" i="1"/>
  <c r="D1059" i="1"/>
  <c r="B1060" i="1"/>
  <c r="C1060" i="1"/>
  <c r="D1060" i="1"/>
  <c r="B1061" i="1"/>
  <c r="C1061" i="1"/>
  <c r="D1061" i="1"/>
  <c r="B1062" i="1"/>
  <c r="C1062" i="1"/>
  <c r="D1062" i="1"/>
  <c r="B1063" i="1"/>
  <c r="C1063" i="1"/>
  <c r="D1063" i="1"/>
  <c r="B1064" i="1"/>
  <c r="C1064" i="1"/>
  <c r="D1064" i="1"/>
  <c r="B1065" i="1"/>
  <c r="C1065" i="1"/>
  <c r="D1065" i="1"/>
  <c r="B1066" i="1"/>
  <c r="C1066" i="1"/>
  <c r="D1066" i="1"/>
  <c r="B1067" i="1"/>
  <c r="C1067" i="1"/>
  <c r="D1067" i="1"/>
  <c r="B1068" i="1"/>
  <c r="C1068" i="1"/>
  <c r="D1068" i="1"/>
  <c r="B1069" i="1"/>
  <c r="C1069" i="1"/>
  <c r="D1069" i="1"/>
  <c r="B1070" i="1"/>
  <c r="C1070" i="1"/>
  <c r="D1070" i="1"/>
  <c r="B1071" i="1"/>
  <c r="C1071" i="1"/>
  <c r="D1071" i="1"/>
  <c r="B1072" i="1"/>
  <c r="C1072" i="1"/>
  <c r="D1072" i="1"/>
  <c r="B1073" i="1"/>
  <c r="C1073" i="1"/>
  <c r="D1073" i="1"/>
  <c r="B1074" i="1"/>
  <c r="C1074" i="1"/>
  <c r="D1074" i="1"/>
  <c r="B1075" i="1"/>
  <c r="C1075" i="1"/>
  <c r="D1075" i="1"/>
  <c r="B1076" i="1"/>
  <c r="C1076" i="1"/>
  <c r="D1076" i="1"/>
  <c r="B1077" i="1"/>
  <c r="C1077" i="1"/>
  <c r="D1077" i="1"/>
  <c r="B1078" i="1"/>
  <c r="C1078" i="1"/>
  <c r="D1078" i="1"/>
  <c r="B1079" i="1"/>
  <c r="C1079" i="1"/>
  <c r="D1079" i="1"/>
  <c r="B1080" i="1"/>
  <c r="C1080" i="1"/>
  <c r="D1080" i="1"/>
  <c r="B1081" i="1"/>
  <c r="C1081" i="1"/>
  <c r="D1081" i="1"/>
  <c r="B1082" i="1"/>
  <c r="C1082" i="1"/>
  <c r="D1082" i="1"/>
  <c r="B1083" i="1"/>
  <c r="C1083" i="1"/>
  <c r="D1083" i="1"/>
  <c r="B1084" i="1"/>
  <c r="C1084" i="1"/>
  <c r="D1084" i="1"/>
  <c r="B1085" i="1"/>
  <c r="C1085" i="1"/>
  <c r="D1085" i="1"/>
  <c r="B1086" i="1"/>
  <c r="C1086" i="1"/>
  <c r="D1086" i="1"/>
  <c r="B1087" i="1"/>
  <c r="C1087" i="1"/>
  <c r="D1087" i="1"/>
  <c r="B1088" i="1"/>
  <c r="C1088" i="1"/>
  <c r="D1088" i="1"/>
  <c r="B1089" i="1"/>
  <c r="C1089" i="1"/>
  <c r="D1089" i="1"/>
  <c r="B1090" i="1"/>
  <c r="C1090" i="1"/>
  <c r="D1090" i="1"/>
  <c r="B1091" i="1"/>
  <c r="C1091" i="1"/>
  <c r="D1091" i="1"/>
  <c r="B1092" i="1"/>
  <c r="C1092" i="1"/>
  <c r="D1092" i="1"/>
  <c r="B1093" i="1"/>
  <c r="C1093" i="1"/>
  <c r="D1093" i="1"/>
  <c r="B1094" i="1"/>
  <c r="C1094" i="1"/>
  <c r="D1094" i="1"/>
  <c r="B1095" i="1"/>
  <c r="C1095" i="1"/>
  <c r="D1095" i="1"/>
  <c r="B1096" i="1"/>
  <c r="C1096" i="1"/>
  <c r="D1096" i="1"/>
  <c r="B1097" i="1"/>
  <c r="C1097" i="1"/>
  <c r="D1097" i="1"/>
  <c r="B1098" i="1"/>
  <c r="C1098" i="1"/>
  <c r="D1098" i="1"/>
  <c r="B1099" i="1"/>
  <c r="C1099" i="1"/>
  <c r="D1099" i="1"/>
  <c r="B1100" i="1"/>
  <c r="C1100" i="1"/>
  <c r="D1100" i="1"/>
  <c r="B1101" i="1"/>
  <c r="C1101" i="1"/>
  <c r="D1101" i="1"/>
  <c r="B1102" i="1"/>
  <c r="C1102" i="1"/>
  <c r="D1102" i="1"/>
  <c r="B1103" i="1"/>
  <c r="C1103" i="1"/>
  <c r="D1103" i="1"/>
  <c r="B1104" i="1"/>
  <c r="C1104" i="1"/>
  <c r="D1104" i="1"/>
  <c r="B1105" i="1"/>
  <c r="C1105" i="1"/>
  <c r="D1105" i="1"/>
  <c r="B1106" i="1"/>
  <c r="C1106" i="1"/>
  <c r="D1106" i="1"/>
  <c r="B1107" i="1"/>
  <c r="C1107" i="1"/>
  <c r="D1107" i="1"/>
  <c r="B1108" i="1"/>
  <c r="C1108" i="1"/>
  <c r="D1108" i="1"/>
  <c r="B1109" i="1"/>
  <c r="C1109" i="1"/>
  <c r="D1109" i="1"/>
  <c r="B1110" i="1"/>
  <c r="C1110" i="1"/>
  <c r="D1110" i="1"/>
  <c r="B1111" i="1"/>
  <c r="C1111" i="1"/>
  <c r="D1111" i="1"/>
  <c r="B1112" i="1"/>
  <c r="C1112" i="1"/>
  <c r="D1112" i="1"/>
  <c r="B1113" i="1"/>
  <c r="C1113" i="1"/>
  <c r="D1113" i="1"/>
  <c r="B1114" i="1"/>
  <c r="C1114" i="1"/>
  <c r="D1114" i="1"/>
  <c r="B1115" i="1"/>
  <c r="C1115" i="1"/>
  <c r="D1115" i="1"/>
  <c r="B1116" i="1"/>
  <c r="C1116" i="1"/>
  <c r="D1116" i="1"/>
  <c r="B1117" i="1"/>
  <c r="C1117" i="1"/>
  <c r="D1117" i="1"/>
  <c r="B1118" i="1"/>
  <c r="C1118" i="1"/>
  <c r="D1118" i="1"/>
  <c r="B1119" i="1"/>
  <c r="C1119" i="1"/>
  <c r="D1119" i="1"/>
  <c r="B1120" i="1"/>
  <c r="C1120" i="1"/>
  <c r="D1120" i="1"/>
  <c r="B1121" i="1"/>
  <c r="C1121" i="1"/>
  <c r="D1121" i="1"/>
  <c r="B1122" i="1"/>
  <c r="C1122" i="1"/>
  <c r="D1122" i="1"/>
  <c r="B1123" i="1"/>
  <c r="C1123" i="1"/>
  <c r="D1123" i="1"/>
  <c r="B1124" i="1"/>
  <c r="C1124" i="1"/>
  <c r="D1124" i="1"/>
  <c r="B1125" i="1"/>
  <c r="C1125" i="1"/>
  <c r="D1125" i="1"/>
  <c r="B1126" i="1"/>
  <c r="C1126" i="1"/>
  <c r="D1126" i="1"/>
  <c r="B1127" i="1"/>
  <c r="C1127" i="1"/>
  <c r="D1127" i="1"/>
  <c r="B1128" i="1"/>
  <c r="C1128" i="1"/>
  <c r="D1128" i="1"/>
  <c r="B1129" i="1"/>
  <c r="C1129" i="1"/>
  <c r="D1129" i="1"/>
  <c r="B1130" i="1"/>
  <c r="C1130" i="1"/>
  <c r="D1130" i="1"/>
  <c r="B1131" i="1"/>
  <c r="C1131" i="1"/>
  <c r="D1131" i="1"/>
  <c r="B1132" i="1"/>
  <c r="C1132" i="1"/>
  <c r="D1132" i="1"/>
  <c r="B1133" i="1"/>
  <c r="C1133" i="1"/>
  <c r="D1133" i="1"/>
  <c r="B1134" i="1"/>
  <c r="C1134" i="1"/>
  <c r="D1134" i="1"/>
  <c r="B1135" i="1"/>
  <c r="C1135" i="1"/>
  <c r="D1135" i="1"/>
  <c r="B1136" i="1"/>
  <c r="C1136" i="1"/>
  <c r="D1136" i="1"/>
  <c r="B1137" i="1"/>
  <c r="C1137" i="1"/>
  <c r="D1137" i="1"/>
  <c r="B1138" i="1"/>
  <c r="C1138" i="1"/>
  <c r="D1138" i="1"/>
  <c r="B1139" i="1"/>
  <c r="C1139" i="1"/>
  <c r="D1139" i="1"/>
  <c r="B1140" i="1"/>
  <c r="C1140" i="1"/>
  <c r="D1140" i="1"/>
  <c r="B1141" i="1"/>
  <c r="C1141" i="1"/>
  <c r="D1141" i="1"/>
  <c r="B1142" i="1"/>
  <c r="C1142" i="1"/>
  <c r="D1142" i="1"/>
  <c r="B1143" i="1"/>
  <c r="C1143" i="1"/>
  <c r="D1143" i="1"/>
  <c r="D15" i="1" l="1"/>
  <c r="W4" i="1"/>
  <c r="V4" i="1"/>
  <c r="U4" i="1"/>
  <c r="T4" i="1"/>
  <c r="I4" i="1"/>
  <c r="R4" i="1" a="1"/>
  <c r="R4" i="1" l="1"/>
  <c r="S4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6" i="1"/>
  <c r="C36" i="1"/>
  <c r="D36" i="1"/>
  <c r="B37" i="1"/>
  <c r="C37" i="1"/>
  <c r="D37" i="1"/>
  <c r="B38" i="1"/>
  <c r="C38" i="1"/>
  <c r="D38" i="1"/>
  <c r="B39" i="1"/>
  <c r="C39" i="1"/>
  <c r="D39" i="1"/>
  <c r="B40" i="1"/>
  <c r="C40" i="1"/>
  <c r="D40" i="1"/>
  <c r="B41" i="1"/>
  <c r="C41" i="1"/>
  <c r="D41" i="1"/>
  <c r="B42" i="1"/>
  <c r="C42" i="1"/>
  <c r="D42" i="1"/>
  <c r="B43" i="1"/>
  <c r="C43" i="1"/>
  <c r="D43" i="1"/>
  <c r="B44" i="1"/>
  <c r="C44" i="1"/>
  <c r="D44" i="1"/>
  <c r="B45" i="1"/>
  <c r="C45" i="1"/>
  <c r="D45" i="1"/>
  <c r="B46" i="1"/>
  <c r="C46" i="1"/>
  <c r="D46" i="1"/>
  <c r="B47" i="1"/>
  <c r="C47" i="1"/>
  <c r="D47" i="1"/>
  <c r="B48" i="1"/>
  <c r="C48" i="1"/>
  <c r="D48" i="1"/>
  <c r="B49" i="1"/>
  <c r="C49" i="1"/>
  <c r="D49" i="1"/>
  <c r="B50" i="1"/>
  <c r="C50" i="1"/>
  <c r="D50" i="1"/>
  <c r="B51" i="1"/>
  <c r="C51" i="1"/>
  <c r="D51" i="1"/>
  <c r="B52" i="1"/>
  <c r="C52" i="1"/>
  <c r="D52" i="1"/>
  <c r="B53" i="1"/>
  <c r="C53" i="1"/>
  <c r="D53" i="1"/>
  <c r="B54" i="1"/>
  <c r="C54" i="1"/>
  <c r="D54" i="1"/>
  <c r="B55" i="1"/>
  <c r="C55" i="1"/>
  <c r="D55" i="1"/>
  <c r="B56" i="1"/>
  <c r="C56" i="1"/>
  <c r="D56" i="1"/>
  <c r="B57" i="1"/>
  <c r="C57" i="1"/>
  <c r="D57" i="1"/>
  <c r="B58" i="1"/>
  <c r="C58" i="1"/>
  <c r="D58" i="1"/>
  <c r="B59" i="1"/>
  <c r="C59" i="1"/>
  <c r="D59" i="1"/>
  <c r="B60" i="1"/>
  <c r="C60" i="1"/>
  <c r="D60" i="1"/>
  <c r="B61" i="1"/>
  <c r="C61" i="1"/>
  <c r="D61" i="1"/>
  <c r="B62" i="1"/>
  <c r="C62" i="1"/>
  <c r="D62" i="1"/>
  <c r="B63" i="1"/>
  <c r="C63" i="1"/>
  <c r="D63" i="1"/>
  <c r="B64" i="1"/>
  <c r="C64" i="1"/>
  <c r="D64" i="1"/>
  <c r="B65" i="1"/>
  <c r="C65" i="1"/>
  <c r="D65" i="1"/>
  <c r="B66" i="1"/>
  <c r="C66" i="1"/>
  <c r="D66" i="1"/>
  <c r="B67" i="1"/>
  <c r="C67" i="1"/>
  <c r="D67" i="1"/>
  <c r="B68" i="1"/>
  <c r="C68" i="1"/>
  <c r="D68" i="1"/>
  <c r="B69" i="1"/>
  <c r="C69" i="1"/>
  <c r="D69" i="1"/>
  <c r="B70" i="1"/>
  <c r="C70" i="1"/>
  <c r="D70" i="1"/>
  <c r="B71" i="1"/>
  <c r="C71" i="1"/>
  <c r="D71" i="1"/>
  <c r="B72" i="1"/>
  <c r="C72" i="1"/>
  <c r="D72" i="1"/>
  <c r="B73" i="1"/>
  <c r="C73" i="1"/>
  <c r="D73" i="1"/>
  <c r="B74" i="1"/>
  <c r="C74" i="1"/>
  <c r="D74" i="1"/>
  <c r="B75" i="1"/>
  <c r="C75" i="1"/>
  <c r="D75" i="1"/>
  <c r="B76" i="1"/>
  <c r="C76" i="1"/>
  <c r="D76" i="1"/>
  <c r="B77" i="1"/>
  <c r="C77" i="1"/>
  <c r="D77" i="1"/>
  <c r="B78" i="1"/>
  <c r="C78" i="1"/>
  <c r="D78" i="1"/>
  <c r="B79" i="1"/>
  <c r="C79" i="1"/>
  <c r="D79" i="1"/>
  <c r="B80" i="1"/>
  <c r="C80" i="1"/>
  <c r="D80" i="1"/>
  <c r="B81" i="1"/>
  <c r="C81" i="1"/>
  <c r="D81" i="1"/>
  <c r="B82" i="1"/>
  <c r="C82" i="1"/>
  <c r="D82" i="1"/>
  <c r="B83" i="1"/>
  <c r="C83" i="1"/>
  <c r="D83" i="1"/>
  <c r="B84" i="1"/>
  <c r="C84" i="1"/>
  <c r="D84" i="1"/>
  <c r="B85" i="1"/>
  <c r="C85" i="1"/>
  <c r="D85" i="1"/>
  <c r="B86" i="1"/>
  <c r="C86" i="1"/>
  <c r="D86" i="1"/>
  <c r="B87" i="1"/>
  <c r="C87" i="1"/>
  <c r="D87" i="1"/>
  <c r="B88" i="1"/>
  <c r="C88" i="1"/>
  <c r="D88" i="1"/>
  <c r="B89" i="1"/>
  <c r="C89" i="1"/>
  <c r="D89" i="1"/>
  <c r="B90" i="1"/>
  <c r="C90" i="1"/>
  <c r="D90" i="1"/>
  <c r="B91" i="1"/>
  <c r="C91" i="1"/>
  <c r="D91" i="1"/>
  <c r="B92" i="1"/>
  <c r="C92" i="1"/>
  <c r="D92" i="1"/>
  <c r="B93" i="1"/>
  <c r="C93" i="1"/>
  <c r="D93" i="1"/>
  <c r="B94" i="1"/>
  <c r="C94" i="1"/>
  <c r="D94" i="1"/>
  <c r="B95" i="1"/>
  <c r="C95" i="1"/>
  <c r="D95" i="1"/>
  <c r="B96" i="1"/>
  <c r="C96" i="1"/>
  <c r="D96" i="1"/>
  <c r="B97" i="1"/>
  <c r="C97" i="1"/>
  <c r="D97" i="1"/>
  <c r="B98" i="1"/>
  <c r="C98" i="1"/>
  <c r="D98" i="1"/>
  <c r="B99" i="1"/>
  <c r="C99" i="1"/>
  <c r="D99" i="1"/>
  <c r="B100" i="1"/>
  <c r="C100" i="1"/>
  <c r="D100" i="1"/>
  <c r="B101" i="1"/>
  <c r="C101" i="1"/>
  <c r="D101" i="1"/>
  <c r="B102" i="1"/>
  <c r="C102" i="1"/>
  <c r="D102" i="1"/>
  <c r="B103" i="1"/>
  <c r="C103" i="1"/>
  <c r="D103" i="1"/>
  <c r="B104" i="1"/>
  <c r="C104" i="1"/>
  <c r="D104" i="1"/>
  <c r="B105" i="1"/>
  <c r="C105" i="1"/>
  <c r="D105" i="1"/>
  <c r="B106" i="1"/>
  <c r="C106" i="1"/>
  <c r="D106" i="1"/>
  <c r="B107" i="1"/>
  <c r="C107" i="1"/>
  <c r="D107" i="1"/>
  <c r="B108" i="1"/>
  <c r="C108" i="1"/>
  <c r="D108" i="1"/>
  <c r="B109" i="1"/>
  <c r="C109" i="1"/>
  <c r="D109" i="1"/>
  <c r="B110" i="1"/>
  <c r="C110" i="1"/>
  <c r="D110" i="1"/>
  <c r="B111" i="1"/>
  <c r="C111" i="1"/>
  <c r="D111" i="1"/>
  <c r="B112" i="1"/>
  <c r="C112" i="1"/>
  <c r="D112" i="1"/>
  <c r="B113" i="1"/>
  <c r="C113" i="1"/>
  <c r="D113" i="1"/>
  <c r="B114" i="1"/>
  <c r="C114" i="1"/>
  <c r="D114" i="1"/>
  <c r="B115" i="1"/>
  <c r="C115" i="1"/>
  <c r="D115" i="1"/>
  <c r="B116" i="1"/>
  <c r="C116" i="1"/>
  <c r="D116" i="1"/>
  <c r="B117" i="1"/>
  <c r="C117" i="1"/>
  <c r="D117" i="1"/>
  <c r="B118" i="1"/>
  <c r="C118" i="1"/>
  <c r="D118" i="1"/>
  <c r="B119" i="1"/>
  <c r="C119" i="1"/>
  <c r="D119" i="1"/>
  <c r="B120" i="1"/>
  <c r="C120" i="1"/>
  <c r="D120" i="1"/>
  <c r="B121" i="1"/>
  <c r="C121" i="1"/>
  <c r="D121" i="1"/>
  <c r="B122" i="1"/>
  <c r="C122" i="1"/>
  <c r="D122" i="1"/>
  <c r="B123" i="1"/>
  <c r="C123" i="1"/>
  <c r="D123" i="1"/>
  <c r="B124" i="1"/>
  <c r="C124" i="1"/>
  <c r="D124" i="1"/>
  <c r="B125" i="1"/>
  <c r="C125" i="1"/>
  <c r="D125" i="1"/>
  <c r="B126" i="1"/>
  <c r="C126" i="1"/>
  <c r="D126" i="1"/>
  <c r="B127" i="1"/>
  <c r="C127" i="1"/>
  <c r="D127" i="1"/>
  <c r="B128" i="1"/>
  <c r="C128" i="1"/>
  <c r="D128" i="1"/>
  <c r="B129" i="1"/>
  <c r="C129" i="1"/>
  <c r="D129" i="1"/>
  <c r="B130" i="1"/>
  <c r="C130" i="1"/>
  <c r="D130" i="1"/>
  <c r="B131" i="1"/>
  <c r="C131" i="1"/>
  <c r="D131" i="1"/>
  <c r="B132" i="1"/>
  <c r="C132" i="1"/>
  <c r="D132" i="1"/>
  <c r="B133" i="1"/>
  <c r="C133" i="1"/>
  <c r="D133" i="1"/>
  <c r="B134" i="1"/>
  <c r="C134" i="1"/>
  <c r="D134" i="1"/>
  <c r="B135" i="1"/>
  <c r="C135" i="1"/>
  <c r="D135" i="1"/>
  <c r="B136" i="1"/>
  <c r="C136" i="1"/>
  <c r="D136" i="1"/>
  <c r="B137" i="1"/>
  <c r="C137" i="1"/>
  <c r="D137" i="1"/>
  <c r="B138" i="1"/>
  <c r="C138" i="1"/>
  <c r="D138" i="1"/>
  <c r="B139" i="1"/>
  <c r="C139" i="1"/>
  <c r="D139" i="1"/>
  <c r="B140" i="1"/>
  <c r="C140" i="1"/>
  <c r="D140" i="1"/>
  <c r="B141" i="1"/>
  <c r="C141" i="1"/>
  <c r="D141" i="1"/>
  <c r="B142" i="1"/>
  <c r="C142" i="1"/>
  <c r="D142" i="1"/>
  <c r="B143" i="1"/>
  <c r="C143" i="1"/>
  <c r="D143" i="1"/>
  <c r="B144" i="1"/>
  <c r="C144" i="1"/>
  <c r="D144" i="1"/>
  <c r="B145" i="1"/>
  <c r="C145" i="1"/>
  <c r="D145" i="1"/>
  <c r="B146" i="1"/>
  <c r="C146" i="1"/>
  <c r="D146" i="1"/>
  <c r="B147" i="1"/>
  <c r="C147" i="1"/>
  <c r="D147" i="1"/>
  <c r="B148" i="1"/>
  <c r="C148" i="1"/>
  <c r="D148" i="1"/>
  <c r="B149" i="1"/>
  <c r="C149" i="1"/>
  <c r="D149" i="1"/>
  <c r="B150" i="1"/>
  <c r="C150" i="1"/>
  <c r="D150" i="1"/>
  <c r="B151" i="1"/>
  <c r="C151" i="1"/>
  <c r="D151" i="1"/>
  <c r="B152" i="1"/>
  <c r="C152" i="1"/>
  <c r="D152" i="1"/>
  <c r="B153" i="1"/>
  <c r="C153" i="1"/>
  <c r="D153" i="1"/>
  <c r="B154" i="1"/>
  <c r="C154" i="1"/>
  <c r="D154" i="1"/>
  <c r="B155" i="1"/>
  <c r="C155" i="1"/>
  <c r="D155" i="1"/>
  <c r="B156" i="1"/>
  <c r="C156" i="1"/>
  <c r="D156" i="1"/>
  <c r="B157" i="1"/>
  <c r="C157" i="1"/>
  <c r="D157" i="1"/>
  <c r="B158" i="1"/>
  <c r="C158" i="1"/>
  <c r="D158" i="1"/>
  <c r="B159" i="1"/>
  <c r="C159" i="1"/>
  <c r="D159" i="1"/>
  <c r="B160" i="1"/>
  <c r="C160" i="1"/>
  <c r="D160" i="1"/>
  <c r="B161" i="1"/>
  <c r="C161" i="1"/>
  <c r="D161" i="1"/>
  <c r="B162" i="1"/>
  <c r="C162" i="1"/>
  <c r="D162" i="1"/>
  <c r="B163" i="1"/>
  <c r="C163" i="1"/>
  <c r="D163" i="1"/>
  <c r="B164" i="1"/>
  <c r="C164" i="1"/>
  <c r="D164" i="1"/>
  <c r="B165" i="1"/>
  <c r="C165" i="1"/>
  <c r="D165" i="1"/>
  <c r="B166" i="1"/>
  <c r="C166" i="1"/>
  <c r="D166" i="1"/>
  <c r="B167" i="1"/>
  <c r="C167" i="1"/>
  <c r="D167" i="1"/>
  <c r="B168" i="1"/>
  <c r="C168" i="1"/>
  <c r="D168" i="1"/>
  <c r="B169" i="1"/>
  <c r="C169" i="1"/>
  <c r="D169" i="1"/>
  <c r="B170" i="1"/>
  <c r="C170" i="1"/>
  <c r="D170" i="1"/>
  <c r="B171" i="1"/>
  <c r="C171" i="1"/>
  <c r="D171" i="1"/>
  <c r="B172" i="1"/>
  <c r="C172" i="1"/>
  <c r="D172" i="1"/>
  <c r="B173" i="1"/>
  <c r="C173" i="1"/>
  <c r="D173" i="1"/>
  <c r="B174" i="1"/>
  <c r="C174" i="1"/>
  <c r="D174" i="1"/>
  <c r="B175" i="1"/>
  <c r="C175" i="1"/>
  <c r="D175" i="1"/>
  <c r="B176" i="1"/>
  <c r="C176" i="1"/>
  <c r="D176" i="1"/>
  <c r="B177" i="1"/>
  <c r="C177" i="1"/>
  <c r="D177" i="1"/>
  <c r="B178" i="1"/>
  <c r="C178" i="1"/>
  <c r="D178" i="1"/>
  <c r="B179" i="1"/>
  <c r="C179" i="1"/>
  <c r="D179" i="1"/>
  <c r="B180" i="1"/>
  <c r="C180" i="1"/>
  <c r="D180" i="1"/>
  <c r="B181" i="1"/>
  <c r="C181" i="1"/>
  <c r="D181" i="1"/>
  <c r="B182" i="1"/>
  <c r="C182" i="1"/>
  <c r="D182" i="1"/>
  <c r="B183" i="1"/>
  <c r="C183" i="1"/>
  <c r="D183" i="1"/>
  <c r="B184" i="1"/>
  <c r="C184" i="1"/>
  <c r="D184" i="1"/>
  <c r="B185" i="1"/>
  <c r="C185" i="1"/>
  <c r="D185" i="1"/>
  <c r="B186" i="1"/>
  <c r="C186" i="1"/>
  <c r="D186" i="1"/>
  <c r="B187" i="1"/>
  <c r="C187" i="1"/>
  <c r="D187" i="1"/>
  <c r="B188" i="1"/>
  <c r="C188" i="1"/>
  <c r="D188" i="1"/>
  <c r="B189" i="1"/>
  <c r="C189" i="1"/>
  <c r="D189" i="1"/>
  <c r="B190" i="1"/>
  <c r="C190" i="1"/>
  <c r="D190" i="1"/>
  <c r="B191" i="1"/>
  <c r="C191" i="1"/>
  <c r="D191" i="1"/>
  <c r="B192" i="1"/>
  <c r="C192" i="1"/>
  <c r="D192" i="1"/>
  <c r="B193" i="1"/>
  <c r="C193" i="1"/>
  <c r="D193" i="1"/>
  <c r="B194" i="1"/>
  <c r="C194" i="1"/>
  <c r="D194" i="1"/>
  <c r="B195" i="1"/>
  <c r="C195" i="1"/>
  <c r="D195" i="1"/>
  <c r="B196" i="1"/>
  <c r="C196" i="1"/>
  <c r="D196" i="1"/>
  <c r="B197" i="1"/>
  <c r="C197" i="1"/>
  <c r="D197" i="1"/>
  <c r="B198" i="1"/>
  <c r="C198" i="1"/>
  <c r="D198" i="1"/>
  <c r="B199" i="1"/>
  <c r="C199" i="1"/>
  <c r="D199" i="1"/>
  <c r="B200" i="1"/>
  <c r="C200" i="1"/>
  <c r="D200" i="1"/>
  <c r="B201" i="1"/>
  <c r="C201" i="1"/>
  <c r="D201" i="1"/>
  <c r="B202" i="1"/>
  <c r="C202" i="1"/>
  <c r="D202" i="1"/>
  <c r="B203" i="1"/>
  <c r="C203" i="1"/>
  <c r="D203" i="1"/>
  <c r="B204" i="1"/>
  <c r="C204" i="1"/>
  <c r="D204" i="1"/>
  <c r="B205" i="1"/>
  <c r="C205" i="1"/>
  <c r="D205" i="1"/>
  <c r="B206" i="1"/>
  <c r="C206" i="1"/>
  <c r="D206" i="1"/>
  <c r="B207" i="1"/>
  <c r="C207" i="1"/>
  <c r="D207" i="1"/>
  <c r="B208" i="1"/>
  <c r="C208" i="1"/>
  <c r="D208" i="1"/>
  <c r="B209" i="1"/>
  <c r="C209" i="1"/>
  <c r="D209" i="1"/>
  <c r="B210" i="1"/>
  <c r="C210" i="1"/>
  <c r="D210" i="1"/>
  <c r="B211" i="1"/>
  <c r="C211" i="1"/>
  <c r="D211" i="1"/>
  <c r="B212" i="1"/>
  <c r="C212" i="1"/>
  <c r="D212" i="1"/>
  <c r="B213" i="1"/>
  <c r="C213" i="1"/>
  <c r="D213" i="1"/>
  <c r="B214" i="1"/>
  <c r="C214" i="1"/>
  <c r="D214" i="1"/>
  <c r="B215" i="1"/>
  <c r="C215" i="1"/>
  <c r="D215" i="1"/>
  <c r="B216" i="1"/>
  <c r="C216" i="1"/>
  <c r="D216" i="1"/>
  <c r="B217" i="1"/>
  <c r="C217" i="1"/>
  <c r="D217" i="1"/>
  <c r="B218" i="1"/>
  <c r="C218" i="1"/>
  <c r="D218" i="1"/>
  <c r="B219" i="1"/>
  <c r="C219" i="1"/>
  <c r="D219" i="1"/>
  <c r="B220" i="1"/>
  <c r="C220" i="1"/>
  <c r="D220" i="1"/>
  <c r="B221" i="1"/>
  <c r="C221" i="1"/>
  <c r="D221" i="1"/>
  <c r="B222" i="1"/>
  <c r="C222" i="1"/>
  <c r="D222" i="1"/>
  <c r="B223" i="1"/>
  <c r="C223" i="1"/>
  <c r="D223" i="1"/>
  <c r="B224" i="1"/>
  <c r="C224" i="1"/>
  <c r="D224" i="1"/>
  <c r="B225" i="1"/>
  <c r="C225" i="1"/>
  <c r="D225" i="1"/>
  <c r="B226" i="1"/>
  <c r="C226" i="1"/>
  <c r="D226" i="1"/>
  <c r="B227" i="1"/>
  <c r="C227" i="1"/>
  <c r="D227" i="1"/>
  <c r="B228" i="1"/>
  <c r="C228" i="1"/>
  <c r="D228" i="1"/>
  <c r="B229" i="1"/>
  <c r="C229" i="1"/>
  <c r="D229" i="1"/>
  <c r="B230" i="1"/>
  <c r="C230" i="1"/>
  <c r="D230" i="1"/>
  <c r="B231" i="1"/>
  <c r="C231" i="1"/>
  <c r="D231" i="1"/>
  <c r="B232" i="1"/>
  <c r="C232" i="1"/>
  <c r="D232" i="1"/>
  <c r="B233" i="1"/>
  <c r="C233" i="1"/>
  <c r="D233" i="1"/>
  <c r="B234" i="1"/>
  <c r="C234" i="1"/>
  <c r="D234" i="1"/>
  <c r="B235" i="1"/>
  <c r="C235" i="1"/>
  <c r="D235" i="1"/>
  <c r="B236" i="1"/>
  <c r="C236" i="1"/>
  <c r="D236" i="1"/>
  <c r="B237" i="1"/>
  <c r="C237" i="1"/>
  <c r="D237" i="1"/>
  <c r="B238" i="1"/>
  <c r="C238" i="1"/>
  <c r="D238" i="1"/>
  <c r="B239" i="1"/>
  <c r="C239" i="1"/>
  <c r="D239" i="1"/>
  <c r="B240" i="1"/>
  <c r="C240" i="1"/>
  <c r="D240" i="1"/>
  <c r="B241" i="1"/>
  <c r="C241" i="1"/>
  <c r="D241" i="1"/>
  <c r="B242" i="1"/>
  <c r="C242" i="1"/>
  <c r="D242" i="1"/>
  <c r="B243" i="1"/>
  <c r="C243" i="1"/>
  <c r="D243" i="1"/>
  <c r="B244" i="1"/>
  <c r="C244" i="1"/>
  <c r="D244" i="1"/>
  <c r="B245" i="1"/>
  <c r="C245" i="1"/>
  <c r="D245" i="1"/>
  <c r="B246" i="1"/>
  <c r="C246" i="1"/>
  <c r="D246" i="1"/>
  <c r="B247" i="1"/>
  <c r="C247" i="1"/>
  <c r="D247" i="1"/>
  <c r="B248" i="1"/>
  <c r="C248" i="1"/>
  <c r="D248" i="1"/>
  <c r="B249" i="1"/>
  <c r="C249" i="1"/>
  <c r="D249" i="1"/>
  <c r="B250" i="1"/>
  <c r="C250" i="1"/>
  <c r="D250" i="1"/>
  <c r="B251" i="1"/>
  <c r="C251" i="1"/>
  <c r="D251" i="1"/>
  <c r="B252" i="1"/>
  <c r="C252" i="1"/>
  <c r="D252" i="1"/>
  <c r="B253" i="1"/>
  <c r="C253" i="1"/>
  <c r="D253" i="1"/>
  <c r="B254" i="1"/>
  <c r="C254" i="1"/>
  <c r="D254" i="1"/>
  <c r="B255" i="1"/>
  <c r="C255" i="1"/>
  <c r="D255" i="1"/>
  <c r="B256" i="1"/>
  <c r="C256" i="1"/>
  <c r="D256" i="1"/>
  <c r="B257" i="1"/>
  <c r="C257" i="1"/>
  <c r="D257" i="1"/>
  <c r="B258" i="1"/>
  <c r="C258" i="1"/>
  <c r="D258" i="1"/>
  <c r="B259" i="1"/>
  <c r="C259" i="1"/>
  <c r="D259" i="1"/>
  <c r="B260" i="1"/>
  <c r="C260" i="1"/>
  <c r="D260" i="1"/>
  <c r="C10" i="1"/>
  <c r="D10" i="1"/>
  <c r="B10" i="1"/>
  <c r="V3" i="1"/>
  <c r="W3" i="1"/>
  <c r="U3" i="1"/>
  <c r="T3" i="1"/>
  <c r="I3" i="1"/>
  <c r="R3" i="1" a="1"/>
  <c r="G354" i="1" l="1"/>
  <c r="J354" i="1" s="1"/>
  <c r="G329" i="1"/>
  <c r="J329" i="1" s="1"/>
  <c r="G404" i="1"/>
  <c r="J404" i="1" s="1"/>
  <c r="G460" i="1"/>
  <c r="J460" i="1" s="1"/>
  <c r="G268" i="1"/>
  <c r="J268" i="1" s="1"/>
  <c r="G277" i="1"/>
  <c r="J277" i="1" s="1"/>
  <c r="G294" i="1"/>
  <c r="J294" i="1" s="1"/>
  <c r="G381" i="1"/>
  <c r="J381" i="1" s="1"/>
  <c r="G387" i="1"/>
  <c r="J387" i="1" s="1"/>
  <c r="G420" i="1"/>
  <c r="J420" i="1" s="1"/>
  <c r="G444" i="1"/>
  <c r="J444" i="1" s="1"/>
  <c r="G262" i="1"/>
  <c r="J262" i="1" s="1"/>
  <c r="G370" i="1"/>
  <c r="J370" i="1" s="1"/>
  <c r="G410" i="1"/>
  <c r="J410" i="1" s="1"/>
  <c r="G270" i="1"/>
  <c r="J270" i="1" s="1"/>
  <c r="G282" i="1"/>
  <c r="J282" i="1" s="1"/>
  <c r="G389" i="1"/>
  <c r="J389" i="1" s="1"/>
  <c r="G499" i="1"/>
  <c r="J499" i="1" s="1"/>
  <c r="G577" i="1"/>
  <c r="J577" i="1" s="1"/>
  <c r="G266" i="1"/>
  <c r="J266" i="1" s="1"/>
  <c r="G293" i="1"/>
  <c r="J293" i="1" s="1"/>
  <c r="G459" i="1"/>
  <c r="J459" i="1" s="1"/>
  <c r="G289" i="1"/>
  <c r="J289" i="1" s="1"/>
  <c r="G545" i="1"/>
  <c r="J545" i="1" s="1"/>
  <c r="G273" i="1"/>
  <c r="J273" i="1" s="1"/>
  <c r="G361" i="1"/>
  <c r="J361" i="1" s="1"/>
  <c r="G398" i="1"/>
  <c r="J398" i="1" s="1"/>
  <c r="G491" i="1"/>
  <c r="J491" i="1" s="1"/>
  <c r="G522" i="1"/>
  <c r="J522" i="1" s="1"/>
  <c r="G629" i="1"/>
  <c r="J629" i="1" s="1"/>
  <c r="G638" i="1"/>
  <c r="J638" i="1" s="1"/>
  <c r="G560" i="1"/>
  <c r="J560" i="1" s="1"/>
  <c r="G670" i="1"/>
  <c r="J670" i="1" s="1"/>
  <c r="G628" i="1"/>
  <c r="J628" i="1" s="1"/>
  <c r="G448" i="1"/>
  <c r="J448" i="1" s="1"/>
  <c r="G541" i="1"/>
  <c r="J541" i="1" s="1"/>
  <c r="G590" i="1"/>
  <c r="J590" i="1" s="1"/>
  <c r="G658" i="1"/>
  <c r="J658" i="1" s="1"/>
  <c r="G645" i="1"/>
  <c r="J645" i="1" s="1"/>
  <c r="G809" i="1"/>
  <c r="J809" i="1" s="1"/>
  <c r="G331" i="1"/>
  <c r="J331" i="1" s="1"/>
  <c r="G452" i="1"/>
  <c r="J452" i="1" s="1"/>
  <c r="G556" i="1"/>
  <c r="J556" i="1" s="1"/>
  <c r="G606" i="1"/>
  <c r="J606" i="1" s="1"/>
  <c r="G639" i="1"/>
  <c r="J639" i="1" s="1"/>
  <c r="G680" i="1"/>
  <c r="J680" i="1" s="1"/>
  <c r="G682" i="1"/>
  <c r="J682" i="1" s="1"/>
  <c r="G721" i="1"/>
  <c r="J721" i="1" s="1"/>
  <c r="G825" i="1"/>
  <c r="J825" i="1" s="1"/>
  <c r="G851" i="1"/>
  <c r="J851" i="1" s="1"/>
  <c r="G853" i="1"/>
  <c r="J853" i="1" s="1"/>
  <c r="G855" i="1"/>
  <c r="J855" i="1" s="1"/>
  <c r="G867" i="1"/>
  <c r="J867" i="1" s="1"/>
  <c r="G919" i="1"/>
  <c r="J919" i="1" s="1"/>
  <c r="G524" i="1"/>
  <c r="J524" i="1" s="1"/>
  <c r="G705" i="1"/>
  <c r="J705" i="1" s="1"/>
  <c r="G761" i="1"/>
  <c r="J761" i="1" s="1"/>
  <c r="G264" i="1"/>
  <c r="J264" i="1" s="1"/>
  <c r="G471" i="1"/>
  <c r="J471" i="1" s="1"/>
  <c r="G804" i="1"/>
  <c r="J804" i="1" s="1"/>
  <c r="G598" i="1"/>
  <c r="J598" i="1" s="1"/>
  <c r="G630" i="1"/>
  <c r="J630" i="1" s="1"/>
  <c r="G651" i="1"/>
  <c r="J651" i="1" s="1"/>
  <c r="G724" i="1"/>
  <c r="J724" i="1" s="1"/>
  <c r="G729" i="1"/>
  <c r="J729" i="1" s="1"/>
  <c r="G801" i="1"/>
  <c r="J801" i="1" s="1"/>
  <c r="G933" i="1"/>
  <c r="J933" i="1" s="1"/>
  <c r="G937" i="1"/>
  <c r="J937" i="1" s="1"/>
  <c r="G450" i="1"/>
  <c r="J450" i="1" s="1"/>
  <c r="G697" i="1"/>
  <c r="J697" i="1" s="1"/>
  <c r="G835" i="1"/>
  <c r="J835" i="1" s="1"/>
  <c r="G875" i="1"/>
  <c r="J875" i="1" s="1"/>
  <c r="G612" i="1"/>
  <c r="J612" i="1" s="1"/>
  <c r="G636" i="1"/>
  <c r="J636" i="1" s="1"/>
  <c r="G713" i="1"/>
  <c r="J713" i="1" s="1"/>
  <c r="G925" i="1"/>
  <c r="J925" i="1" s="1"/>
  <c r="G957" i="1"/>
  <c r="J957" i="1" s="1"/>
  <c r="G385" i="1"/>
  <c r="J385" i="1" s="1"/>
  <c r="G432" i="1"/>
  <c r="J432" i="1" s="1"/>
  <c r="G662" i="1"/>
  <c r="J662" i="1" s="1"/>
  <c r="G674" i="1"/>
  <c r="J674" i="1" s="1"/>
  <c r="G841" i="1"/>
  <c r="J841" i="1" s="1"/>
  <c r="G873" i="1"/>
  <c r="J873" i="1" s="1"/>
  <c r="G915" i="1"/>
  <c r="J915" i="1" s="1"/>
  <c r="G947" i="1"/>
  <c r="J947" i="1" s="1"/>
  <c r="G753" i="1"/>
  <c r="J753" i="1" s="1"/>
  <c r="G824" i="1"/>
  <c r="J824" i="1" s="1"/>
  <c r="G843" i="1"/>
  <c r="J843" i="1" s="1"/>
  <c r="G634" i="1"/>
  <c r="J634" i="1" s="1"/>
  <c r="G899" i="1"/>
  <c r="J899" i="1" s="1"/>
  <c r="G648" i="1"/>
  <c r="J648" i="1" s="1"/>
  <c r="G672" i="1"/>
  <c r="J672" i="1" s="1"/>
  <c r="G897" i="1"/>
  <c r="J897" i="1" s="1"/>
  <c r="G716" i="1"/>
  <c r="J716" i="1" s="1"/>
  <c r="G820" i="1"/>
  <c r="J820" i="1" s="1"/>
  <c r="G935" i="1"/>
  <c r="J935" i="1" s="1"/>
  <c r="G837" i="1"/>
  <c r="J837" i="1" s="1"/>
  <c r="G1051" i="1"/>
  <c r="J1051" i="1" s="1"/>
  <c r="G795" i="1"/>
  <c r="J795" i="1" s="1"/>
  <c r="G386" i="1"/>
  <c r="J386" i="1" s="1"/>
  <c r="G920" i="1"/>
  <c r="J920" i="1" s="1"/>
  <c r="G1110" i="1"/>
  <c r="J1110" i="1" s="1"/>
  <c r="G991" i="1"/>
  <c r="J991" i="1" s="1"/>
  <c r="G932" i="1"/>
  <c r="J932" i="1" s="1"/>
  <c r="G695" i="1"/>
  <c r="J695" i="1" s="1"/>
  <c r="G671" i="1"/>
  <c r="J671" i="1" s="1"/>
  <c r="G745" i="1"/>
  <c r="J745" i="1" s="1"/>
  <c r="G261" i="1"/>
  <c r="J261" i="1" s="1"/>
  <c r="G699" i="1"/>
  <c r="J699" i="1" s="1"/>
  <c r="G551" i="1"/>
  <c r="J551" i="1" s="1"/>
  <c r="G929" i="1"/>
  <c r="J929" i="1" s="1"/>
  <c r="G861" i="1"/>
  <c r="J861" i="1" s="1"/>
  <c r="G677" i="1"/>
  <c r="J677" i="1" s="1"/>
  <c r="G515" i="1"/>
  <c r="J515" i="1" s="1"/>
  <c r="G1081" i="1"/>
  <c r="J1081" i="1" s="1"/>
  <c r="G976" i="1"/>
  <c r="J976" i="1" s="1"/>
  <c r="G864" i="1"/>
  <c r="J864" i="1" s="1"/>
  <c r="G808" i="1"/>
  <c r="J808" i="1" s="1"/>
  <c r="G644" i="1"/>
  <c r="J644" i="1" s="1"/>
  <c r="G1058" i="1"/>
  <c r="J1058" i="1" s="1"/>
  <c r="G913" i="1"/>
  <c r="J913" i="1" s="1"/>
  <c r="G627" i="1"/>
  <c r="J627" i="1" s="1"/>
  <c r="G1079" i="1"/>
  <c r="J1079" i="1" s="1"/>
  <c r="G1002" i="1"/>
  <c r="J1002" i="1" s="1"/>
  <c r="G827" i="1"/>
  <c r="J827" i="1" s="1"/>
  <c r="G1023" i="1"/>
  <c r="J1023" i="1" s="1"/>
  <c r="G918" i="1"/>
  <c r="J918" i="1" s="1"/>
  <c r="G810" i="1"/>
  <c r="J810" i="1" s="1"/>
  <c r="G1105" i="1"/>
  <c r="J1105" i="1" s="1"/>
  <c r="G1059" i="1"/>
  <c r="J1059" i="1" s="1"/>
  <c r="G819" i="1"/>
  <c r="J819" i="1" s="1"/>
  <c r="G667" i="1"/>
  <c r="J667" i="1" s="1"/>
  <c r="G1113" i="1"/>
  <c r="J1113" i="1" s="1"/>
  <c r="G999" i="1"/>
  <c r="J999" i="1" s="1"/>
  <c r="G927" i="1"/>
  <c r="J927" i="1" s="1"/>
  <c r="G621" i="1"/>
  <c r="J621" i="1" s="1"/>
  <c r="G703" i="1"/>
  <c r="J703" i="1" s="1"/>
  <c r="G1098" i="1"/>
  <c r="J1098" i="1" s="1"/>
  <c r="G830" i="1"/>
  <c r="J830" i="1" s="1"/>
  <c r="G1077" i="1"/>
  <c r="J1077" i="1" s="1"/>
  <c r="G436" i="1"/>
  <c r="J436" i="1" s="1"/>
  <c r="G487" i="1"/>
  <c r="J487" i="1" s="1"/>
  <c r="G1071" i="1"/>
  <c r="J1071" i="1" s="1"/>
  <c r="G1019" i="1"/>
  <c r="J1019" i="1" s="1"/>
  <c r="G972" i="1"/>
  <c r="J972" i="1" s="1"/>
  <c r="G862" i="1"/>
  <c r="J862" i="1" s="1"/>
  <c r="G1054" i="1"/>
  <c r="J1054" i="1" s="1"/>
  <c r="G995" i="1"/>
  <c r="J995" i="1" s="1"/>
  <c r="G1063" i="1"/>
  <c r="J1063" i="1" s="1"/>
  <c r="G1091" i="1"/>
  <c r="J1091" i="1" s="1"/>
  <c r="G1013" i="1"/>
  <c r="J1013" i="1" s="1"/>
  <c r="G907" i="1"/>
  <c r="J907" i="1" s="1"/>
  <c r="G744" i="1"/>
  <c r="J744" i="1" s="1"/>
  <c r="G885" i="1"/>
  <c r="J885" i="1" s="1"/>
  <c r="G748" i="1"/>
  <c r="J748" i="1" s="1"/>
  <c r="G640" i="1"/>
  <c r="J640" i="1" s="1"/>
  <c r="G826" i="1"/>
  <c r="J826" i="1" s="1"/>
  <c r="G1073" i="1"/>
  <c r="J1073" i="1" s="1"/>
  <c r="G962" i="1"/>
  <c r="J962" i="1" s="1"/>
  <c r="G981" i="1"/>
  <c r="J981" i="1" s="1"/>
  <c r="G1134" i="1"/>
  <c r="J1134" i="1" s="1"/>
  <c r="G871" i="1"/>
  <c r="J871" i="1" s="1"/>
  <c r="G796" i="1"/>
  <c r="J796" i="1" s="1"/>
  <c r="G666" i="1"/>
  <c r="J666" i="1" s="1"/>
  <c r="G979" i="1"/>
  <c r="J979" i="1" s="1"/>
  <c r="G769" i="1"/>
  <c r="J769" i="1" s="1"/>
  <c r="G654" i="1"/>
  <c r="J654" i="1" s="1"/>
  <c r="G952" i="1"/>
  <c r="J952" i="1" s="1"/>
  <c r="G832" i="1"/>
  <c r="J832" i="1" s="1"/>
  <c r="G715" i="1"/>
  <c r="J715" i="1" s="1"/>
  <c r="G969" i="1"/>
  <c r="J969" i="1" s="1"/>
  <c r="G730" i="1"/>
  <c r="J730" i="1" s="1"/>
  <c r="G563" i="1"/>
  <c r="J563" i="1" s="1"/>
  <c r="G318" i="1"/>
  <c r="J318" i="1" s="1"/>
  <c r="G983" i="1"/>
  <c r="J983" i="1" s="1"/>
  <c r="G923" i="1"/>
  <c r="J923" i="1" s="1"/>
  <c r="G1102" i="1"/>
  <c r="J1102" i="1" s="1"/>
  <c r="G1003" i="1"/>
  <c r="J1003" i="1" s="1"/>
  <c r="G865" i="1"/>
  <c r="J865" i="1" s="1"/>
  <c r="G965" i="1"/>
  <c r="J965" i="1" s="1"/>
  <c r="G785" i="1"/>
  <c r="J785" i="1" s="1"/>
  <c r="G587" i="1"/>
  <c r="J587" i="1" s="1"/>
  <c r="G1103" i="1"/>
  <c r="J1103" i="1" s="1"/>
  <c r="G955" i="1"/>
  <c r="J955" i="1" s="1"/>
  <c r="G883" i="1"/>
  <c r="J883" i="1" s="1"/>
  <c r="G1122" i="1"/>
  <c r="J1122" i="1" s="1"/>
  <c r="G966" i="1"/>
  <c r="J966" i="1" s="1"/>
  <c r="G1107" i="1"/>
  <c r="J1107" i="1" s="1"/>
  <c r="G1047" i="1"/>
  <c r="J1047" i="1" s="1"/>
  <c r="G958" i="1"/>
  <c r="J958" i="1" s="1"/>
  <c r="G828" i="1"/>
  <c r="J828" i="1" s="1"/>
  <c r="G567" i="1"/>
  <c r="J567" i="1" s="1"/>
  <c r="G948" i="1"/>
  <c r="J948" i="1" s="1"/>
  <c r="G901" i="1"/>
  <c r="J901" i="1" s="1"/>
  <c r="G759" i="1"/>
  <c r="J759" i="1" s="1"/>
  <c r="G886" i="1"/>
  <c r="J886" i="1" s="1"/>
  <c r="G719" i="1"/>
  <c r="J719" i="1" s="1"/>
  <c r="G1099" i="1"/>
  <c r="J1099" i="1" s="1"/>
  <c r="G1039" i="1"/>
  <c r="J1039" i="1" s="1"/>
  <c r="G977" i="1"/>
  <c r="J977" i="1" s="1"/>
  <c r="G894" i="1"/>
  <c r="J894" i="1" s="1"/>
  <c r="G888" i="1"/>
  <c r="J888" i="1" s="1"/>
  <c r="G1083" i="1"/>
  <c r="J1083" i="1" s="1"/>
  <c r="G881" i="1"/>
  <c r="J881" i="1" s="1"/>
  <c r="G1055" i="1"/>
  <c r="J1055" i="1" s="1"/>
  <c r="G941" i="1"/>
  <c r="J941" i="1" s="1"/>
  <c r="G1127" i="1"/>
  <c r="J1127" i="1" s="1"/>
  <c r="G1006" i="1"/>
  <c r="J1006" i="1" s="1"/>
  <c r="G938" i="1"/>
  <c r="J938" i="1" s="1"/>
  <c r="G740" i="1"/>
  <c r="J740" i="1" s="1"/>
  <c r="G1035" i="1"/>
  <c r="J1035" i="1" s="1"/>
  <c r="G688" i="1"/>
  <c r="J688" i="1" s="1"/>
  <c r="G364" i="1"/>
  <c r="J364" i="1" s="1"/>
  <c r="G1038" i="1"/>
  <c r="J1038" i="1" s="1"/>
  <c r="G940" i="1"/>
  <c r="J940" i="1" s="1"/>
  <c r="G857" i="1"/>
  <c r="J857" i="1" s="1"/>
  <c r="G727" i="1"/>
  <c r="J727" i="1" s="1"/>
  <c r="G856" i="1"/>
  <c r="J856" i="1" s="1"/>
  <c r="G581" i="1"/>
  <c r="J581" i="1" s="1"/>
  <c r="G1139" i="1"/>
  <c r="J1139" i="1" s="1"/>
  <c r="G1087" i="1"/>
  <c r="J1087" i="1" s="1"/>
  <c r="G1106" i="1"/>
  <c r="J1106" i="1" s="1"/>
  <c r="G1043" i="1"/>
  <c r="J1043" i="1" s="1"/>
  <c r="G987" i="1"/>
  <c r="J987" i="1" s="1"/>
  <c r="G752" i="1"/>
  <c r="J752" i="1" s="1"/>
  <c r="G1111" i="1"/>
  <c r="J1111" i="1" s="1"/>
  <c r="G882" i="1"/>
  <c r="J882" i="1" s="1"/>
  <c r="G777" i="1"/>
  <c r="J777" i="1" s="1"/>
  <c r="G712" i="1"/>
  <c r="J712" i="1" s="1"/>
  <c r="G1141" i="1"/>
  <c r="J1141" i="1" s="1"/>
  <c r="G833" i="1"/>
  <c r="J833" i="1" s="1"/>
  <c r="G594" i="1"/>
  <c r="J594" i="1" s="1"/>
  <c r="G632" i="1"/>
  <c r="J632" i="1" s="1"/>
  <c r="G1011" i="1"/>
  <c r="J1011" i="1" s="1"/>
  <c r="G1046" i="1"/>
  <c r="J1046" i="1" s="1"/>
  <c r="G1007" i="1"/>
  <c r="J1007" i="1" s="1"/>
  <c r="G838" i="1"/>
  <c r="J838" i="1" s="1"/>
  <c r="G791" i="1"/>
  <c r="J791" i="1" s="1"/>
  <c r="G601" i="1"/>
  <c r="J601" i="1" s="1"/>
  <c r="G483" i="1"/>
  <c r="J483" i="1" s="1"/>
  <c r="G399" i="1"/>
  <c r="J399" i="1" s="1"/>
  <c r="G792" i="1"/>
  <c r="J792" i="1" s="1"/>
  <c r="G739" i="1"/>
  <c r="J739" i="1" s="1"/>
  <c r="G536" i="1"/>
  <c r="J536" i="1" s="1"/>
  <c r="G775" i="1"/>
  <c r="J775" i="1" s="1"/>
  <c r="G657" i="1"/>
  <c r="J657" i="1" s="1"/>
  <c r="G589" i="1"/>
  <c r="J589" i="1" s="1"/>
  <c r="G442" i="1"/>
  <c r="J442" i="1" s="1"/>
  <c r="G687" i="1"/>
  <c r="J687" i="1" s="1"/>
  <c r="G392" i="1"/>
  <c r="J392" i="1" s="1"/>
  <c r="G306" i="1"/>
  <c r="J306" i="1" s="1"/>
  <c r="G480" i="1"/>
  <c r="J480" i="1" s="1"/>
  <c r="G319" i="1"/>
  <c r="J319" i="1" s="1"/>
  <c r="G360" i="1"/>
  <c r="J360" i="1" s="1"/>
  <c r="G311" i="1"/>
  <c r="J311" i="1" s="1"/>
  <c r="G269" i="1"/>
  <c r="J269" i="1" s="1"/>
  <c r="G803" i="1"/>
  <c r="J803" i="1" s="1"/>
  <c r="G669" i="1"/>
  <c r="J669" i="1" s="1"/>
  <c r="G863" i="1"/>
  <c r="J863" i="1" s="1"/>
  <c r="G275" i="1"/>
  <c r="J275" i="1" s="1"/>
  <c r="G646" i="1"/>
  <c r="J646" i="1" s="1"/>
  <c r="G1027" i="1"/>
  <c r="J1027" i="1" s="1"/>
  <c r="G691" i="1"/>
  <c r="J691" i="1" s="1"/>
  <c r="G800" i="1"/>
  <c r="J800" i="1" s="1"/>
  <c r="G684" i="1"/>
  <c r="J684" i="1" s="1"/>
  <c r="G599" i="1"/>
  <c r="J599" i="1" s="1"/>
  <c r="G783" i="1"/>
  <c r="J783" i="1" s="1"/>
  <c r="G698" i="1"/>
  <c r="J698" i="1" s="1"/>
  <c r="G523" i="1"/>
  <c r="J523" i="1" s="1"/>
  <c r="G784" i="1"/>
  <c r="J784" i="1" s="1"/>
  <c r="G532" i="1"/>
  <c r="J532" i="1" s="1"/>
  <c r="G815" i="1"/>
  <c r="J815" i="1" s="1"/>
  <c r="G760" i="1"/>
  <c r="J760" i="1" s="1"/>
  <c r="G582" i="1"/>
  <c r="J582" i="1" s="1"/>
  <c r="G653" i="1"/>
  <c r="J653" i="1" s="1"/>
  <c r="G430" i="1"/>
  <c r="J430" i="1" s="1"/>
  <c r="G358" i="1"/>
  <c r="J358" i="1" s="1"/>
  <c r="G302" i="1"/>
  <c r="J302" i="1" s="1"/>
  <c r="G681" i="1"/>
  <c r="J681" i="1" s="1"/>
  <c r="G388" i="1"/>
  <c r="J388" i="1" s="1"/>
  <c r="G271" i="1"/>
  <c r="J271" i="1" s="1"/>
  <c r="G616" i="1"/>
  <c r="J616" i="1" s="1"/>
  <c r="G447" i="1"/>
  <c r="J447" i="1" s="1"/>
  <c r="G950" i="1"/>
  <c r="J950" i="1" s="1"/>
  <c r="G1135" i="1"/>
  <c r="J1135" i="1" s="1"/>
  <c r="G1053" i="1"/>
  <c r="J1053" i="1" s="1"/>
  <c r="G660" i="1"/>
  <c r="J660" i="1" s="1"/>
  <c r="G708" i="1"/>
  <c r="J708" i="1" s="1"/>
  <c r="G926" i="1"/>
  <c r="J926" i="1" s="1"/>
  <c r="G1086" i="1"/>
  <c r="J1086" i="1" s="1"/>
  <c r="G852" i="1"/>
  <c r="J852" i="1" s="1"/>
  <c r="G1015" i="1"/>
  <c r="J1015" i="1" s="1"/>
  <c r="G1131" i="1"/>
  <c r="J1131" i="1" s="1"/>
  <c r="G812" i="1"/>
  <c r="J812" i="1" s="1"/>
  <c r="G1143" i="1"/>
  <c r="J1143" i="1" s="1"/>
  <c r="G659" i="1"/>
  <c r="J659" i="1" s="1"/>
  <c r="G679" i="1"/>
  <c r="J679" i="1" s="1"/>
  <c r="G531" i="1"/>
  <c r="J531" i="1" s="1"/>
  <c r="G816" i="1"/>
  <c r="J816" i="1" s="1"/>
  <c r="G735" i="1"/>
  <c r="J735" i="1" s="1"/>
  <c r="G676" i="1"/>
  <c r="J676" i="1" s="1"/>
  <c r="G585" i="1"/>
  <c r="J585" i="1" s="1"/>
  <c r="G338" i="1"/>
  <c r="J338" i="1" s="1"/>
  <c r="G608" i="1"/>
  <c r="J608" i="1" s="1"/>
  <c r="G568" i="1"/>
  <c r="J568" i="1" s="1"/>
  <c r="G720" i="1"/>
  <c r="J720" i="1" s="1"/>
  <c r="G624" i="1"/>
  <c r="J624" i="1" s="1"/>
  <c r="G550" i="1"/>
  <c r="J550" i="1" s="1"/>
  <c r="G349" i="1"/>
  <c r="J349" i="1" s="1"/>
  <c r="G605" i="1"/>
  <c r="J605" i="1" s="1"/>
  <c r="G539" i="1"/>
  <c r="J539" i="1" s="1"/>
  <c r="G415" i="1"/>
  <c r="J415" i="1" s="1"/>
  <c r="G345" i="1"/>
  <c r="J345" i="1" s="1"/>
  <c r="G574" i="1"/>
  <c r="J574" i="1" s="1"/>
  <c r="G554" i="1"/>
  <c r="J554" i="1" s="1"/>
  <c r="G359" i="1"/>
  <c r="J359" i="1" s="1"/>
  <c r="G591" i="1"/>
  <c r="J591" i="1" s="1"/>
  <c r="G288" i="1"/>
  <c r="J288" i="1" s="1"/>
  <c r="G914" i="1"/>
  <c r="J914" i="1" s="1"/>
  <c r="G553" i="1"/>
  <c r="J553" i="1" s="1"/>
  <c r="G869" i="1"/>
  <c r="J869" i="1" s="1"/>
  <c r="G934" i="1"/>
  <c r="J934" i="1" s="1"/>
  <c r="G467" i="1"/>
  <c r="J467" i="1" s="1"/>
  <c r="G850" i="1"/>
  <c r="J850" i="1" s="1"/>
  <c r="G737" i="1"/>
  <c r="J737" i="1" s="1"/>
  <c r="G755" i="1"/>
  <c r="J755" i="1" s="1"/>
  <c r="G704" i="1"/>
  <c r="J704" i="1" s="1"/>
  <c r="G1093" i="1"/>
  <c r="J1093" i="1" s="1"/>
  <c r="G904" i="1"/>
  <c r="J904" i="1" s="1"/>
  <c r="G751" i="1"/>
  <c r="J751" i="1" s="1"/>
  <c r="G650" i="1"/>
  <c r="J650" i="1" s="1"/>
  <c r="G518" i="1"/>
  <c r="J518" i="1" s="1"/>
  <c r="G768" i="1"/>
  <c r="J768" i="1" s="1"/>
  <c r="G611" i="1"/>
  <c r="J611" i="1" s="1"/>
  <c r="G390" i="1"/>
  <c r="J390" i="1" s="1"/>
  <c r="G767" i="1"/>
  <c r="J767" i="1" s="1"/>
  <c r="G298" i="1"/>
  <c r="J298" i="1" s="1"/>
  <c r="G686" i="1"/>
  <c r="J686" i="1" s="1"/>
  <c r="G592" i="1"/>
  <c r="J592" i="1" s="1"/>
  <c r="G267" i="1"/>
  <c r="J267" i="1" s="1"/>
  <c r="G569" i="1"/>
  <c r="J569" i="1" s="1"/>
  <c r="G602" i="1"/>
  <c r="J602" i="1" s="1"/>
  <c r="G546" i="1"/>
  <c r="J546" i="1" s="1"/>
  <c r="G290" i="1"/>
  <c r="J290" i="1" s="1"/>
  <c r="G637" i="1"/>
  <c r="J637" i="1" s="1"/>
  <c r="G367" i="1"/>
  <c r="J367" i="1" s="1"/>
  <c r="G408" i="1"/>
  <c r="J408" i="1" s="1"/>
  <c r="G916" i="1"/>
  <c r="J916" i="1" s="1"/>
  <c r="G887" i="1"/>
  <c r="J887" i="1" s="1"/>
  <c r="G964" i="1"/>
  <c r="J964" i="1" s="1"/>
  <c r="G642" i="1"/>
  <c r="J642" i="1" s="1"/>
  <c r="G692" i="1"/>
  <c r="J692" i="1" s="1"/>
  <c r="G1109" i="1"/>
  <c r="J1109" i="1" s="1"/>
  <c r="G675" i="1"/>
  <c r="J675" i="1" s="1"/>
  <c r="G1085" i="1"/>
  <c r="J1085" i="1" s="1"/>
  <c r="G1045" i="1"/>
  <c r="J1045" i="1" s="1"/>
  <c r="G747" i="1"/>
  <c r="J747" i="1" s="1"/>
  <c r="G903" i="1"/>
  <c r="J903" i="1" s="1"/>
  <c r="G756" i="1"/>
  <c r="J756" i="1" s="1"/>
  <c r="G526" i="1"/>
  <c r="J526" i="1" s="1"/>
  <c r="G1067" i="1"/>
  <c r="J1067" i="1" s="1"/>
  <c r="G635" i="1"/>
  <c r="J635" i="1" s="1"/>
  <c r="G736" i="1"/>
  <c r="J736" i="1" s="1"/>
  <c r="G607" i="1"/>
  <c r="J607" i="1" s="1"/>
  <c r="G571" i="1"/>
  <c r="J571" i="1" s="1"/>
  <c r="G380" i="1"/>
  <c r="J380" i="1" s="1"/>
  <c r="G763" i="1"/>
  <c r="J763" i="1" s="1"/>
  <c r="G723" i="1"/>
  <c r="J723" i="1" s="1"/>
  <c r="G272" i="1"/>
  <c r="J272" i="1" s="1"/>
  <c r="G544" i="1"/>
  <c r="J544" i="1" s="1"/>
  <c r="G839" i="1"/>
  <c r="J839" i="1" s="1"/>
  <c r="G794" i="1"/>
  <c r="J794" i="1" s="1"/>
  <c r="G700" i="1"/>
  <c r="J700" i="1" s="1"/>
  <c r="G334" i="1"/>
  <c r="J334" i="1" s="1"/>
  <c r="G566" i="1"/>
  <c r="J566" i="1" s="1"/>
  <c r="G517" i="1"/>
  <c r="J517" i="1" s="1"/>
  <c r="G348" i="1"/>
  <c r="J348" i="1" s="1"/>
  <c r="G570" i="1"/>
  <c r="J570" i="1" s="1"/>
  <c r="G470" i="1"/>
  <c r="J470" i="1" s="1"/>
  <c r="G382" i="1"/>
  <c r="J382" i="1" s="1"/>
  <c r="G537" i="1"/>
  <c r="J537" i="1" s="1"/>
  <c r="G673" i="1"/>
  <c r="J673" i="1" s="1"/>
  <c r="G1070" i="1"/>
  <c r="J1070" i="1" s="1"/>
  <c r="G893" i="1"/>
  <c r="J893" i="1" s="1"/>
  <c r="G807" i="1"/>
  <c r="J807" i="1" s="1"/>
  <c r="G696" i="1"/>
  <c r="J696" i="1" s="1"/>
  <c r="G299" i="1"/>
  <c r="J299" i="1" s="1"/>
  <c r="G685" i="1"/>
  <c r="J685" i="1" s="1"/>
  <c r="G578" i="1"/>
  <c r="J578" i="1" s="1"/>
  <c r="G378" i="1"/>
  <c r="J378" i="1" s="1"/>
  <c r="G548" i="1"/>
  <c r="J548" i="1" s="1"/>
  <c r="G664" i="1"/>
  <c r="J664" i="1" s="1"/>
  <c r="G508" i="1"/>
  <c r="J508" i="1" s="1"/>
  <c r="G473" i="1"/>
  <c r="J473" i="1" s="1"/>
  <c r="G466" i="1"/>
  <c r="J466" i="1" s="1"/>
  <c r="G376" i="1"/>
  <c r="J376" i="1" s="1"/>
  <c r="G327" i="1"/>
  <c r="J327" i="1" s="1"/>
  <c r="G530" i="1"/>
  <c r="J530" i="1" s="1"/>
  <c r="G502" i="1"/>
  <c r="J502" i="1" s="1"/>
  <c r="G369" i="1"/>
  <c r="J369" i="1" s="1"/>
  <c r="G291" i="1"/>
  <c r="J291" i="1" s="1"/>
  <c r="G468" i="1"/>
  <c r="J468" i="1" s="1"/>
  <c r="G350" i="1"/>
  <c r="J350" i="1" s="1"/>
  <c r="G320" i="1"/>
  <c r="J320" i="1" s="1"/>
  <c r="G279" i="1"/>
  <c r="J279" i="1" s="1"/>
  <c r="G464" i="1"/>
  <c r="J464" i="1" s="1"/>
  <c r="G405" i="1"/>
  <c r="J405" i="1" s="1"/>
  <c r="G997" i="1"/>
  <c r="J997" i="1" s="1"/>
  <c r="G1075" i="1"/>
  <c r="J1075" i="1" s="1"/>
  <c r="G413" i="1"/>
  <c r="J413" i="1" s="1"/>
  <c r="G817" i="1"/>
  <c r="J817" i="1" s="1"/>
  <c r="G884" i="1"/>
  <c r="J884" i="1" s="1"/>
  <c r="G1097" i="1"/>
  <c r="J1097" i="1" s="1"/>
  <c r="G793" i="1"/>
  <c r="J793" i="1" s="1"/>
  <c r="G668" i="1"/>
  <c r="J668" i="1" s="1"/>
  <c r="G811" i="1"/>
  <c r="J811" i="1" s="1"/>
  <c r="G665" i="1"/>
  <c r="J665" i="1" s="1"/>
  <c r="G332" i="1"/>
  <c r="J332" i="1" s="1"/>
  <c r="G689" i="1"/>
  <c r="J689" i="1" s="1"/>
  <c r="G295" i="1"/>
  <c r="J295" i="1" s="1"/>
  <c r="G462" i="1"/>
  <c r="J462" i="1" s="1"/>
  <c r="G325" i="1"/>
  <c r="J325" i="1" s="1"/>
  <c r="G500" i="1"/>
  <c r="J500" i="1" s="1"/>
  <c r="G286" i="1"/>
  <c r="J286" i="1" s="1"/>
  <c r="G314" i="1"/>
  <c r="J314" i="1" s="1"/>
  <c r="G509" i="1"/>
  <c r="J509" i="1" s="1"/>
  <c r="G431" i="1"/>
  <c r="J431" i="1" s="1"/>
  <c r="G461" i="1"/>
  <c r="J461" i="1" s="1"/>
  <c r="G393" i="1"/>
  <c r="J393" i="1" s="1"/>
  <c r="G340" i="1"/>
  <c r="J340" i="1" s="1"/>
  <c r="G285" i="1"/>
  <c r="J285" i="1" s="1"/>
  <c r="G1115" i="1"/>
  <c r="J1115" i="1" s="1"/>
  <c r="G1095" i="1"/>
  <c r="J1095" i="1" s="1"/>
  <c r="G1009" i="1"/>
  <c r="J1009" i="1" s="1"/>
  <c r="G787" i="1"/>
  <c r="J787" i="1" s="1"/>
  <c r="G1034" i="1"/>
  <c r="J1034" i="1" s="1"/>
  <c r="G788" i="1"/>
  <c r="J788" i="1" s="1"/>
  <c r="G538" i="1"/>
  <c r="J538" i="1" s="1"/>
  <c r="G643" i="1"/>
  <c r="J643" i="1" s="1"/>
  <c r="G400" i="1"/>
  <c r="J400" i="1" s="1"/>
  <c r="G663" i="1"/>
  <c r="J663" i="1" s="1"/>
  <c r="G511" i="1"/>
  <c r="J511" i="1" s="1"/>
  <c r="G365" i="1"/>
  <c r="J365" i="1" s="1"/>
  <c r="G445" i="1"/>
  <c r="J445" i="1" s="1"/>
  <c r="G495" i="1"/>
  <c r="J495" i="1" s="1"/>
  <c r="G366" i="1"/>
  <c r="J366" i="1" s="1"/>
  <c r="G439" i="1"/>
  <c r="J439" i="1" s="1"/>
  <c r="G312" i="1"/>
  <c r="J312" i="1" s="1"/>
  <c r="G263" i="1"/>
  <c r="J263" i="1" s="1"/>
  <c r="G477" i="1"/>
  <c r="J477" i="1" s="1"/>
  <c r="G281" i="1"/>
  <c r="J281" i="1" s="1"/>
  <c r="G503" i="1"/>
  <c r="J503" i="1" s="1"/>
  <c r="G418" i="1"/>
  <c r="J418" i="1" s="1"/>
  <c r="G342" i="1"/>
  <c r="J342" i="1" s="1"/>
  <c r="G310" i="1"/>
  <c r="J310" i="1" s="1"/>
  <c r="G383" i="1"/>
  <c r="J383" i="1" s="1"/>
  <c r="G1031" i="1"/>
  <c r="J1031" i="1" s="1"/>
  <c r="G930" i="1"/>
  <c r="J930" i="1" s="1"/>
  <c r="G921" i="1"/>
  <c r="J921" i="1" s="1"/>
  <c r="G722" i="1"/>
  <c r="J722" i="1" s="1"/>
  <c r="G823" i="1"/>
  <c r="J823" i="1" s="1"/>
  <c r="G971" i="1"/>
  <c r="J971" i="1" s="1"/>
  <c r="G693" i="1"/>
  <c r="J693" i="1" s="1"/>
  <c r="G403" i="1"/>
  <c r="J403" i="1" s="1"/>
  <c r="G505" i="1"/>
  <c r="J505" i="1" s="1"/>
  <c r="G776" i="1"/>
  <c r="J776" i="1" s="1"/>
  <c r="G786" i="1"/>
  <c r="J786" i="1" s="1"/>
  <c r="G613" i="1"/>
  <c r="J613" i="1" s="1"/>
  <c r="G641" i="1"/>
  <c r="J641" i="1" s="1"/>
  <c r="G588" i="1"/>
  <c r="J588" i="1" s="1"/>
  <c r="G463" i="1"/>
  <c r="J463" i="1" s="1"/>
  <c r="G419" i="1"/>
  <c r="J419" i="1" s="1"/>
  <c r="G278" i="1"/>
  <c r="J278" i="1" s="1"/>
  <c r="G434" i="1"/>
  <c r="J434" i="1" s="1"/>
  <c r="G274" i="1"/>
  <c r="J274" i="1" s="1"/>
  <c r="G339" i="1"/>
  <c r="J339" i="1" s="1"/>
  <c r="G316" i="1"/>
  <c r="J316" i="1" s="1"/>
  <c r="G942" i="1"/>
  <c r="J942" i="1" s="1"/>
  <c r="G780" i="1"/>
  <c r="J780" i="1" s="1"/>
  <c r="G652" i="1"/>
  <c r="J652" i="1" s="1"/>
  <c r="G896" i="1"/>
  <c r="J896" i="1" s="1"/>
  <c r="G822" i="1"/>
  <c r="J822" i="1" s="1"/>
  <c r="G435" i="1"/>
  <c r="J435" i="1" s="1"/>
  <c r="G779" i="1"/>
  <c r="J779" i="1" s="1"/>
  <c r="G395" i="1"/>
  <c r="J395" i="1" s="1"/>
  <c r="G746" i="1"/>
  <c r="J746" i="1" s="1"/>
  <c r="G764" i="1"/>
  <c r="J764" i="1" s="1"/>
  <c r="G620" i="1"/>
  <c r="J620" i="1" s="1"/>
  <c r="G707" i="1"/>
  <c r="J707" i="1" s="1"/>
  <c r="G558" i="1"/>
  <c r="J558" i="1" s="1"/>
  <c r="G424" i="1"/>
  <c r="J424" i="1" s="1"/>
  <c r="G562" i="1"/>
  <c r="J562" i="1" s="1"/>
  <c r="G374" i="1"/>
  <c r="J374" i="1" s="1"/>
  <c r="G484" i="1"/>
  <c r="J484" i="1" s="1"/>
  <c r="G346" i="1"/>
  <c r="J346" i="1" s="1"/>
  <c r="G561" i="1"/>
  <c r="J561" i="1" s="1"/>
  <c r="G514" i="1"/>
  <c r="J514" i="1" s="1"/>
  <c r="G454" i="1"/>
  <c r="J454" i="1" s="1"/>
  <c r="G479" i="1"/>
  <c r="J479" i="1" s="1"/>
  <c r="G336" i="1"/>
  <c r="J336" i="1" s="1"/>
  <c r="G357" i="1"/>
  <c r="J357" i="1" s="1"/>
  <c r="G600" i="1"/>
  <c r="J600" i="1" s="1"/>
  <c r="G799" i="1"/>
  <c r="J799" i="1" s="1"/>
  <c r="G711" i="1"/>
  <c r="J711" i="1" s="1"/>
  <c r="G1065" i="1"/>
  <c r="J1065" i="1" s="1"/>
  <c r="G831" i="1"/>
  <c r="J831" i="1" s="1"/>
  <c r="G772" i="1"/>
  <c r="J772" i="1" s="1"/>
  <c r="G596" i="1"/>
  <c r="J596" i="1" s="1"/>
  <c r="G731" i="1"/>
  <c r="J731" i="1" s="1"/>
  <c r="G482" i="1"/>
  <c r="J482" i="1" s="1"/>
  <c r="G743" i="1"/>
  <c r="J743" i="1" s="1"/>
  <c r="G604" i="1"/>
  <c r="J604" i="1" s="1"/>
  <c r="G371" i="1"/>
  <c r="J371" i="1" s="1"/>
  <c r="G303" i="1"/>
  <c r="J303" i="1" s="1"/>
  <c r="G549" i="1"/>
  <c r="J549" i="1" s="1"/>
  <c r="G414" i="1"/>
  <c r="J414" i="1" s="1"/>
  <c r="G344" i="1"/>
  <c r="J344" i="1" s="1"/>
  <c r="G552" i="1"/>
  <c r="J552" i="1" s="1"/>
  <c r="G451" i="1"/>
  <c r="J451" i="1" s="1"/>
  <c r="G265" i="1"/>
  <c r="J265" i="1" s="1"/>
  <c r="G301" i="1"/>
  <c r="J301" i="1" s="1"/>
  <c r="G953" i="1"/>
  <c r="J953" i="1" s="1"/>
  <c r="G488" i="1"/>
  <c r="J488" i="1" s="1"/>
  <c r="G305" i="1"/>
  <c r="J305" i="1" s="1"/>
  <c r="G534" i="1"/>
  <c r="J534" i="1" s="1"/>
  <c r="G945" i="1"/>
  <c r="J945" i="1" s="1"/>
  <c r="G595" i="1"/>
  <c r="J595" i="1" s="1"/>
  <c r="G849" i="1"/>
  <c r="J849" i="1" s="1"/>
  <c r="G284" i="1"/>
  <c r="J284" i="1" s="1"/>
  <c r="G547" i="1"/>
  <c r="J547" i="1" s="1"/>
  <c r="G542" i="1"/>
  <c r="J542" i="1" s="1"/>
  <c r="G276" i="1"/>
  <c r="J276" i="1" s="1"/>
  <c r="G821" i="1"/>
  <c r="J821" i="1" s="1"/>
  <c r="G323" i="1"/>
  <c r="J323" i="1" s="1"/>
  <c r="G728" i="1"/>
  <c r="J728" i="1" s="1"/>
  <c r="G631" i="1"/>
  <c r="J631" i="1" s="1"/>
  <c r="G422" i="1"/>
  <c r="J422" i="1" s="1"/>
  <c r="G516" i="1"/>
  <c r="J516" i="1" s="1"/>
  <c r="G498" i="1"/>
  <c r="J498" i="1" s="1"/>
  <c r="G1022" i="1"/>
  <c r="J1022" i="1" s="1"/>
  <c r="G391" i="1"/>
  <c r="J391" i="1" s="1"/>
  <c r="G506" i="1"/>
  <c r="J506" i="1" s="1"/>
  <c r="G423" i="1"/>
  <c r="J423" i="1" s="1"/>
  <c r="G476" i="1"/>
  <c r="J476" i="1" s="1"/>
  <c r="G854" i="1"/>
  <c r="J854" i="1" s="1"/>
  <c r="G615" i="1"/>
  <c r="J615" i="1" s="1"/>
  <c r="G771" i="1"/>
  <c r="J771" i="1" s="1"/>
  <c r="G368" i="1"/>
  <c r="J368" i="1" s="1"/>
  <c r="G438" i="1"/>
  <c r="J438" i="1" s="1"/>
  <c r="G564" i="1"/>
  <c r="J564" i="1" s="1"/>
  <c r="G1123" i="1"/>
  <c r="J1123" i="1" s="1"/>
  <c r="G732" i="1"/>
  <c r="J732" i="1" s="1"/>
  <c r="G353" i="1"/>
  <c r="J353" i="1" s="1"/>
  <c r="G1129" i="1"/>
  <c r="J1129" i="1" s="1"/>
  <c r="G1074" i="1"/>
  <c r="J1074" i="1" s="1"/>
  <c r="G902" i="1"/>
  <c r="J902" i="1" s="1"/>
  <c r="G990" i="1"/>
  <c r="J990" i="1" s="1"/>
  <c r="G870" i="1"/>
  <c r="J870" i="1" s="1"/>
  <c r="G859" i="1"/>
  <c r="J859" i="1" s="1"/>
  <c r="G1061" i="1"/>
  <c r="J1061" i="1" s="1"/>
  <c r="G911" i="1"/>
  <c r="J911" i="1" s="1"/>
  <c r="G1125" i="1"/>
  <c r="J1125" i="1" s="1"/>
  <c r="G1066" i="1"/>
  <c r="J1066" i="1" s="1"/>
  <c r="G895" i="1"/>
  <c r="J895" i="1" s="1"/>
  <c r="G876" i="1"/>
  <c r="J876" i="1" s="1"/>
  <c r="G706" i="1"/>
  <c r="J706" i="1" s="1"/>
  <c r="G507" i="1"/>
  <c r="J507" i="1" s="1"/>
  <c r="G1057" i="1"/>
  <c r="J1057" i="1" s="1"/>
  <c r="G1094" i="1"/>
  <c r="J1094" i="1" s="1"/>
  <c r="G954" i="1"/>
  <c r="J954" i="1" s="1"/>
  <c r="G880" i="1"/>
  <c r="J880" i="1" s="1"/>
  <c r="G1017" i="1"/>
  <c r="J1017" i="1" s="1"/>
  <c r="G946" i="1"/>
  <c r="J946" i="1" s="1"/>
  <c r="G520" i="1"/>
  <c r="J520" i="1" s="1"/>
  <c r="G521" i="1"/>
  <c r="J521" i="1" s="1"/>
  <c r="G355" i="1"/>
  <c r="J355" i="1" s="1"/>
  <c r="G449" i="1"/>
  <c r="J449" i="1" s="1"/>
  <c r="G847" i="1"/>
  <c r="J847" i="1" s="1"/>
  <c r="G905" i="1"/>
  <c r="J905" i="1" s="1"/>
  <c r="G1001" i="1"/>
  <c r="J1001" i="1" s="1"/>
  <c r="G961" i="1"/>
  <c r="J961" i="1" s="1"/>
  <c r="G906" i="1"/>
  <c r="J906" i="1" s="1"/>
  <c r="G845" i="1"/>
  <c r="J845" i="1" s="1"/>
  <c r="G1018" i="1"/>
  <c r="J1018" i="1" s="1"/>
  <c r="G754" i="1"/>
  <c r="J754" i="1" s="1"/>
  <c r="G1030" i="1"/>
  <c r="J1030" i="1" s="1"/>
  <c r="G968" i="1"/>
  <c r="J968" i="1" s="1"/>
  <c r="G949" i="1"/>
  <c r="J949" i="1" s="1"/>
  <c r="G912" i="1"/>
  <c r="J912" i="1" s="1"/>
  <c r="G848" i="1"/>
  <c r="J848" i="1" s="1"/>
  <c r="G576" i="1"/>
  <c r="J576" i="1" s="1"/>
  <c r="G1078" i="1"/>
  <c r="J1078" i="1" s="1"/>
  <c r="G1029" i="1"/>
  <c r="J1029" i="1" s="1"/>
  <c r="G762" i="1"/>
  <c r="J762" i="1" s="1"/>
  <c r="G994" i="1"/>
  <c r="J994" i="1" s="1"/>
  <c r="G844" i="1"/>
  <c r="J844" i="1" s="1"/>
  <c r="G1089" i="1"/>
  <c r="J1089" i="1" s="1"/>
  <c r="G900" i="1"/>
  <c r="J900" i="1" s="1"/>
  <c r="G836" i="1"/>
  <c r="J836" i="1" s="1"/>
  <c r="G1133" i="1"/>
  <c r="J1133" i="1" s="1"/>
  <c r="G910" i="1"/>
  <c r="J910" i="1" s="1"/>
  <c r="G846" i="1"/>
  <c r="J846" i="1" s="1"/>
  <c r="G1049" i="1"/>
  <c r="J1049" i="1" s="1"/>
  <c r="G967" i="1"/>
  <c r="J967" i="1" s="1"/>
  <c r="G922" i="1"/>
  <c r="J922" i="1" s="1"/>
  <c r="G352" i="1"/>
  <c r="J352" i="1" s="1"/>
  <c r="G1142" i="1"/>
  <c r="J1142" i="1" s="1"/>
  <c r="G1138" i="1"/>
  <c r="J1138" i="1" s="1"/>
  <c r="G959" i="1"/>
  <c r="J959" i="1" s="1"/>
  <c r="G975" i="1"/>
  <c r="J975" i="1" s="1"/>
  <c r="G842" i="1"/>
  <c r="J842" i="1" s="1"/>
  <c r="G1082" i="1"/>
  <c r="J1082" i="1" s="1"/>
  <c r="G993" i="1"/>
  <c r="J993" i="1" s="1"/>
  <c r="G931" i="1"/>
  <c r="J931" i="1" s="1"/>
  <c r="G898" i="1"/>
  <c r="J898" i="1" s="1"/>
  <c r="G834" i="1"/>
  <c r="J834" i="1" s="1"/>
  <c r="G1126" i="1"/>
  <c r="J1126" i="1" s="1"/>
  <c r="G1005" i="1"/>
  <c r="J1005" i="1" s="1"/>
  <c r="G1042" i="1"/>
  <c r="J1042" i="1" s="1"/>
  <c r="G860" i="1"/>
  <c r="J860" i="1" s="1"/>
  <c r="G802" i="1"/>
  <c r="J802" i="1" s="1"/>
  <c r="G317" i="1"/>
  <c r="J317" i="1" s="1"/>
  <c r="G889" i="1"/>
  <c r="J889" i="1" s="1"/>
  <c r="G1130" i="1"/>
  <c r="J1130" i="1" s="1"/>
  <c r="G1041" i="1"/>
  <c r="J1041" i="1" s="1"/>
  <c r="G891" i="1"/>
  <c r="J891" i="1" s="1"/>
  <c r="G1137" i="1"/>
  <c r="J1137" i="1" s="1"/>
  <c r="G917" i="1"/>
  <c r="J917" i="1" s="1"/>
  <c r="G928" i="1"/>
  <c r="J928" i="1" s="1"/>
  <c r="G877" i="1"/>
  <c r="J877" i="1" s="1"/>
  <c r="G986" i="1"/>
  <c r="J986" i="1" s="1"/>
  <c r="G818" i="1"/>
  <c r="J818" i="1" s="1"/>
  <c r="G1119" i="1"/>
  <c r="J1119" i="1" s="1"/>
  <c r="G1090" i="1"/>
  <c r="J1090" i="1" s="1"/>
  <c r="G879" i="1"/>
  <c r="J879" i="1" s="1"/>
  <c r="G909" i="1"/>
  <c r="J909" i="1" s="1"/>
  <c r="G1025" i="1"/>
  <c r="J1025" i="1" s="1"/>
  <c r="G866" i="1"/>
  <c r="J866" i="1" s="1"/>
  <c r="G618" i="1"/>
  <c r="J618" i="1" s="1"/>
  <c r="G985" i="1"/>
  <c r="J985" i="1" s="1"/>
  <c r="G892" i="1"/>
  <c r="J892" i="1" s="1"/>
  <c r="G774" i="1"/>
  <c r="J774" i="1" s="1"/>
  <c r="G710" i="1"/>
  <c r="J710" i="1" s="1"/>
  <c r="G614" i="1"/>
  <c r="J614" i="1" s="1"/>
  <c r="G1132" i="1"/>
  <c r="J1132" i="1" s="1"/>
  <c r="G1100" i="1"/>
  <c r="J1100" i="1" s="1"/>
  <c r="G1068" i="1"/>
  <c r="J1068" i="1" s="1"/>
  <c r="G1036" i="1"/>
  <c r="J1036" i="1" s="1"/>
  <c r="G1004" i="1"/>
  <c r="J1004" i="1" s="1"/>
  <c r="G805" i="1"/>
  <c r="J805" i="1" s="1"/>
  <c r="G773" i="1"/>
  <c r="J773" i="1" s="1"/>
  <c r="G741" i="1"/>
  <c r="J741" i="1" s="1"/>
  <c r="G709" i="1"/>
  <c r="J709" i="1" s="1"/>
  <c r="G533" i="1"/>
  <c r="J533" i="1" s="1"/>
  <c r="G610" i="1"/>
  <c r="J610" i="1" s="1"/>
  <c r="G623" i="1"/>
  <c r="J623" i="1" s="1"/>
  <c r="G609" i="1"/>
  <c r="J609" i="1" s="1"/>
  <c r="G597" i="1"/>
  <c r="J597" i="1" s="1"/>
  <c r="G586" i="1"/>
  <c r="J586" i="1" s="1"/>
  <c r="G396" i="1"/>
  <c r="J396" i="1" s="1"/>
  <c r="G401" i="1"/>
  <c r="J401" i="1" s="1"/>
  <c r="G406" i="1"/>
  <c r="J406" i="1" s="1"/>
  <c r="G453" i="1"/>
  <c r="J453" i="1" s="1"/>
  <c r="G363" i="1"/>
  <c r="J363" i="1" s="1"/>
  <c r="G362" i="1"/>
  <c r="J362" i="1" s="1"/>
  <c r="G335" i="1"/>
  <c r="J335" i="1" s="1"/>
  <c r="G341" i="1"/>
  <c r="J341" i="1" s="1"/>
  <c r="G321" i="1"/>
  <c r="J321" i="1" s="1"/>
  <c r="G304" i="1"/>
  <c r="J304" i="1" s="1"/>
  <c r="G307" i="1"/>
  <c r="J307" i="1" s="1"/>
  <c r="G996" i="1"/>
  <c r="J996" i="1" s="1"/>
  <c r="G572" i="1"/>
  <c r="J572" i="1" s="1"/>
  <c r="G1116" i="1"/>
  <c r="J1116" i="1" s="1"/>
  <c r="G1033" i="1"/>
  <c r="J1033" i="1" s="1"/>
  <c r="G908" i="1"/>
  <c r="J908" i="1" s="1"/>
  <c r="G1101" i="1"/>
  <c r="J1101" i="1" s="1"/>
  <c r="G714" i="1"/>
  <c r="J714" i="1" s="1"/>
  <c r="G978" i="1"/>
  <c r="J978" i="1" s="1"/>
  <c r="G890" i="1"/>
  <c r="J890" i="1" s="1"/>
  <c r="G565" i="1"/>
  <c r="J565" i="1" s="1"/>
  <c r="G814" i="1"/>
  <c r="J814" i="1" s="1"/>
  <c r="G750" i="1"/>
  <c r="J750" i="1" s="1"/>
  <c r="G1128" i="1"/>
  <c r="J1128" i="1" s="1"/>
  <c r="G1096" i="1"/>
  <c r="J1096" i="1" s="1"/>
  <c r="G1064" i="1"/>
  <c r="J1064" i="1" s="1"/>
  <c r="G1032" i="1"/>
  <c r="J1032" i="1" s="1"/>
  <c r="G1000" i="1"/>
  <c r="J1000" i="1" s="1"/>
  <c r="G573" i="1"/>
  <c r="J573" i="1" s="1"/>
  <c r="G512" i="1"/>
  <c r="J512" i="1" s="1"/>
  <c r="G555" i="1"/>
  <c r="J555" i="1" s="1"/>
  <c r="G580" i="1"/>
  <c r="J580" i="1" s="1"/>
  <c r="G540" i="1"/>
  <c r="J540" i="1" s="1"/>
  <c r="G504" i="1"/>
  <c r="J504" i="1" s="1"/>
  <c r="G528" i="1"/>
  <c r="J528" i="1" s="1"/>
  <c r="G493" i="1"/>
  <c r="J493" i="1" s="1"/>
  <c r="G394" i="1"/>
  <c r="J394" i="1" s="1"/>
  <c r="G497" i="1"/>
  <c r="J497" i="1" s="1"/>
  <c r="G437" i="1"/>
  <c r="J437" i="1" s="1"/>
  <c r="G429" i="1"/>
  <c r="J429" i="1" s="1"/>
  <c r="G337" i="1"/>
  <c r="J337" i="1" s="1"/>
  <c r="G315" i="1"/>
  <c r="J315" i="1" s="1"/>
  <c r="G292" i="1"/>
  <c r="J292" i="1" s="1"/>
  <c r="G296" i="1"/>
  <c r="J296" i="1" s="1"/>
  <c r="G1092" i="1"/>
  <c r="J1092" i="1" s="1"/>
  <c r="G924" i="1"/>
  <c r="J924" i="1" s="1"/>
  <c r="G701" i="1"/>
  <c r="J701" i="1" s="1"/>
  <c r="G425" i="1"/>
  <c r="J425" i="1" s="1"/>
  <c r="G535" i="1"/>
  <c r="J535" i="1" s="1"/>
  <c r="G402" i="1"/>
  <c r="J402" i="1" s="1"/>
  <c r="G789" i="1"/>
  <c r="J789" i="1" s="1"/>
  <c r="G474" i="1"/>
  <c r="J474" i="1" s="1"/>
  <c r="G440" i="1"/>
  <c r="J440" i="1" s="1"/>
  <c r="G936" i="1"/>
  <c r="J936" i="1" s="1"/>
  <c r="G1062" i="1"/>
  <c r="J1062" i="1" s="1"/>
  <c r="G647" i="1"/>
  <c r="J647" i="1" s="1"/>
  <c r="G1021" i="1"/>
  <c r="J1021" i="1" s="1"/>
  <c r="G960" i="1"/>
  <c r="J960" i="1" s="1"/>
  <c r="G766" i="1"/>
  <c r="J766" i="1" s="1"/>
  <c r="G702" i="1"/>
  <c r="J702" i="1" s="1"/>
  <c r="G583" i="1"/>
  <c r="J583" i="1" s="1"/>
  <c r="G1120" i="1"/>
  <c r="J1120" i="1" s="1"/>
  <c r="G1088" i="1"/>
  <c r="J1088" i="1" s="1"/>
  <c r="G1056" i="1"/>
  <c r="J1056" i="1" s="1"/>
  <c r="G1024" i="1"/>
  <c r="J1024" i="1" s="1"/>
  <c r="G992" i="1"/>
  <c r="J992" i="1" s="1"/>
  <c r="G694" i="1"/>
  <c r="J694" i="1" s="1"/>
  <c r="G584" i="1"/>
  <c r="J584" i="1" s="1"/>
  <c r="G519" i="1"/>
  <c r="J519" i="1" s="1"/>
  <c r="G492" i="1"/>
  <c r="J492" i="1" s="1"/>
  <c r="G478" i="1"/>
  <c r="J478" i="1" s="1"/>
  <c r="G379" i="1"/>
  <c r="J379" i="1" s="1"/>
  <c r="G441" i="1"/>
  <c r="J441" i="1" s="1"/>
  <c r="G416" i="1"/>
  <c r="J416" i="1" s="1"/>
  <c r="G384" i="1"/>
  <c r="J384" i="1" s="1"/>
  <c r="G297" i="1"/>
  <c r="J297" i="1" s="1"/>
  <c r="G872" i="1"/>
  <c r="J872" i="1" s="1"/>
  <c r="G970" i="1"/>
  <c r="J970" i="1" s="1"/>
  <c r="G1121" i="1"/>
  <c r="J1121" i="1" s="1"/>
  <c r="G1037" i="1"/>
  <c r="J1037" i="1" s="1"/>
  <c r="G951" i="1"/>
  <c r="J951" i="1" s="1"/>
  <c r="G858" i="1"/>
  <c r="J858" i="1" s="1"/>
  <c r="G1014" i="1"/>
  <c r="J1014" i="1" s="1"/>
  <c r="G443" i="1"/>
  <c r="J443" i="1" s="1"/>
  <c r="G806" i="1"/>
  <c r="J806" i="1" s="1"/>
  <c r="G1084" i="1"/>
  <c r="J1084" i="1" s="1"/>
  <c r="G1052" i="1"/>
  <c r="J1052" i="1" s="1"/>
  <c r="G1020" i="1"/>
  <c r="J1020" i="1" s="1"/>
  <c r="G655" i="1"/>
  <c r="J655" i="1" s="1"/>
  <c r="G375" i="1"/>
  <c r="J375" i="1" s="1"/>
  <c r="G1114" i="1"/>
  <c r="J1114" i="1" s="1"/>
  <c r="G998" i="1"/>
  <c r="J998" i="1" s="1"/>
  <c r="G943" i="1"/>
  <c r="J943" i="1" s="1"/>
  <c r="G738" i="1"/>
  <c r="J738" i="1" s="1"/>
  <c r="G782" i="1"/>
  <c r="J782" i="1" s="1"/>
  <c r="G718" i="1"/>
  <c r="J718" i="1" s="1"/>
  <c r="G1112" i="1"/>
  <c r="J1112" i="1" s="1"/>
  <c r="G1080" i="1"/>
  <c r="J1080" i="1" s="1"/>
  <c r="G1048" i="1"/>
  <c r="J1048" i="1" s="1"/>
  <c r="G1016" i="1"/>
  <c r="J1016" i="1" s="1"/>
  <c r="G984" i="1"/>
  <c r="J984" i="1" s="1"/>
  <c r="G559" i="1"/>
  <c r="J559" i="1" s="1"/>
  <c r="G490" i="1"/>
  <c r="J490" i="1" s="1"/>
  <c r="G421" i="1"/>
  <c r="J421" i="1" s="1"/>
  <c r="G649" i="1"/>
  <c r="J649" i="1" s="1"/>
  <c r="G455" i="1"/>
  <c r="J455" i="1" s="1"/>
  <c r="G529" i="1"/>
  <c r="J529" i="1" s="1"/>
  <c r="G496" i="1"/>
  <c r="J496" i="1" s="1"/>
  <c r="G465" i="1"/>
  <c r="J465" i="1" s="1"/>
  <c r="G472" i="1"/>
  <c r="J472" i="1" s="1"/>
  <c r="G456" i="1"/>
  <c r="J456" i="1" s="1"/>
  <c r="G428" i="1"/>
  <c r="J428" i="1" s="1"/>
  <c r="G501" i="1"/>
  <c r="J501" i="1" s="1"/>
  <c r="G373" i="1"/>
  <c r="J373" i="1" s="1"/>
  <c r="G356" i="1"/>
  <c r="J356" i="1" s="1"/>
  <c r="G347" i="1"/>
  <c r="J347" i="1" s="1"/>
  <c r="G309" i="1"/>
  <c r="J309" i="1" s="1"/>
  <c r="G308" i="1"/>
  <c r="J308" i="1" s="1"/>
  <c r="G1026" i="1"/>
  <c r="J1026" i="1" s="1"/>
  <c r="G1069" i="1"/>
  <c r="J1069" i="1" s="1"/>
  <c r="G878" i="1"/>
  <c r="J878" i="1" s="1"/>
  <c r="G963" i="1"/>
  <c r="J963" i="1" s="1"/>
  <c r="G1060" i="1"/>
  <c r="J1060" i="1" s="1"/>
  <c r="G765" i="1"/>
  <c r="J765" i="1" s="1"/>
  <c r="G343" i="1"/>
  <c r="J343" i="1" s="1"/>
  <c r="G300" i="1"/>
  <c r="J300" i="1" s="1"/>
  <c r="G757" i="1"/>
  <c r="J757" i="1" s="1"/>
  <c r="G622" i="1"/>
  <c r="J622" i="1" s="1"/>
  <c r="G409" i="1"/>
  <c r="J409" i="1" s="1"/>
  <c r="G328" i="1"/>
  <c r="J328" i="1" s="1"/>
  <c r="G1118" i="1"/>
  <c r="J1118" i="1" s="1"/>
  <c r="G840" i="1"/>
  <c r="J840" i="1" s="1"/>
  <c r="G690" i="1"/>
  <c r="J690" i="1" s="1"/>
  <c r="G1050" i="1"/>
  <c r="J1050" i="1" s="1"/>
  <c r="G656" i="1"/>
  <c r="J656" i="1" s="1"/>
  <c r="G973" i="1"/>
  <c r="J973" i="1" s="1"/>
  <c r="G1010" i="1"/>
  <c r="J1010" i="1" s="1"/>
  <c r="G603" i="1"/>
  <c r="J603" i="1" s="1"/>
  <c r="G989" i="1"/>
  <c r="J989" i="1" s="1"/>
  <c r="G939" i="1"/>
  <c r="J939" i="1" s="1"/>
  <c r="G944" i="1"/>
  <c r="J944" i="1" s="1"/>
  <c r="G758" i="1"/>
  <c r="J758" i="1" s="1"/>
  <c r="G1140" i="1"/>
  <c r="J1140" i="1" s="1"/>
  <c r="G1108" i="1"/>
  <c r="J1108" i="1" s="1"/>
  <c r="G1076" i="1"/>
  <c r="J1076" i="1" s="1"/>
  <c r="G1044" i="1"/>
  <c r="J1044" i="1" s="1"/>
  <c r="G1012" i="1"/>
  <c r="J1012" i="1" s="1"/>
  <c r="G980" i="1"/>
  <c r="J980" i="1" s="1"/>
  <c r="G813" i="1"/>
  <c r="J813" i="1" s="1"/>
  <c r="G781" i="1"/>
  <c r="J781" i="1" s="1"/>
  <c r="G749" i="1"/>
  <c r="J749" i="1" s="1"/>
  <c r="G717" i="1"/>
  <c r="J717" i="1" s="1"/>
  <c r="G411" i="1"/>
  <c r="J411" i="1" s="1"/>
  <c r="G543" i="1"/>
  <c r="J543" i="1" s="1"/>
  <c r="G593" i="1"/>
  <c r="J593" i="1" s="1"/>
  <c r="G633" i="1"/>
  <c r="J633" i="1" s="1"/>
  <c r="G617" i="1"/>
  <c r="J617" i="1" s="1"/>
  <c r="G475" i="1"/>
  <c r="J475" i="1" s="1"/>
  <c r="G510" i="1"/>
  <c r="J510" i="1" s="1"/>
  <c r="G426" i="1"/>
  <c r="J426" i="1" s="1"/>
  <c r="G481" i="1"/>
  <c r="J481" i="1" s="1"/>
  <c r="G446" i="1"/>
  <c r="J446" i="1" s="1"/>
  <c r="G457" i="1"/>
  <c r="J457" i="1" s="1"/>
  <c r="G433" i="1"/>
  <c r="J433" i="1" s="1"/>
  <c r="G525" i="1"/>
  <c r="J525" i="1" s="1"/>
  <c r="G427" i="1"/>
  <c r="J427" i="1" s="1"/>
  <c r="G485" i="1"/>
  <c r="J485" i="1" s="1"/>
  <c r="G407" i="1"/>
  <c r="J407" i="1" s="1"/>
  <c r="G372" i="1"/>
  <c r="J372" i="1" s="1"/>
  <c r="G351" i="1"/>
  <c r="J351" i="1" s="1"/>
  <c r="G397" i="1"/>
  <c r="J397" i="1" s="1"/>
  <c r="G330" i="1"/>
  <c r="J330" i="1" s="1"/>
  <c r="G283" i="1"/>
  <c r="J283" i="1" s="1"/>
  <c r="G326" i="1"/>
  <c r="J326" i="1" s="1"/>
  <c r="G974" i="1"/>
  <c r="J974" i="1" s="1"/>
  <c r="G726" i="1"/>
  <c r="J726" i="1" s="1"/>
  <c r="G1124" i="1"/>
  <c r="J1124" i="1" s="1"/>
  <c r="G1028" i="1"/>
  <c r="J1028" i="1" s="1"/>
  <c r="G733" i="1"/>
  <c r="J733" i="1" s="1"/>
  <c r="G988" i="1"/>
  <c r="J988" i="1" s="1"/>
  <c r="G458" i="1"/>
  <c r="J458" i="1" s="1"/>
  <c r="G486" i="1"/>
  <c r="J486" i="1" s="1"/>
  <c r="G377" i="1"/>
  <c r="J377" i="1" s="1"/>
  <c r="G417" i="1"/>
  <c r="J417" i="1" s="1"/>
  <c r="G1117" i="1"/>
  <c r="J1117" i="1" s="1"/>
  <c r="G661" i="1"/>
  <c r="J661" i="1" s="1"/>
  <c r="G770" i="1"/>
  <c r="J770" i="1" s="1"/>
  <c r="G868" i="1"/>
  <c r="J868" i="1" s="1"/>
  <c r="G778" i="1"/>
  <c r="J778" i="1" s="1"/>
  <c r="G829" i="1"/>
  <c r="J829" i="1" s="1"/>
  <c r="G982" i="1"/>
  <c r="J982" i="1" s="1"/>
  <c r="G678" i="1"/>
  <c r="J678" i="1" s="1"/>
  <c r="G798" i="1"/>
  <c r="J798" i="1" s="1"/>
  <c r="G734" i="1"/>
  <c r="J734" i="1" s="1"/>
  <c r="G1136" i="1"/>
  <c r="J1136" i="1" s="1"/>
  <c r="G1104" i="1"/>
  <c r="J1104" i="1" s="1"/>
  <c r="G1072" i="1"/>
  <c r="J1072" i="1" s="1"/>
  <c r="G1040" i="1"/>
  <c r="J1040" i="1" s="1"/>
  <c r="G1008" i="1"/>
  <c r="J1008" i="1" s="1"/>
  <c r="G956" i="1"/>
  <c r="J956" i="1" s="1"/>
  <c r="G683" i="1"/>
  <c r="J683" i="1" s="1"/>
  <c r="G575" i="1"/>
  <c r="J575" i="1" s="1"/>
  <c r="G619" i="1"/>
  <c r="J619" i="1" s="1"/>
  <c r="G579" i="1"/>
  <c r="J579" i="1" s="1"/>
  <c r="G626" i="1"/>
  <c r="J626" i="1" s="1"/>
  <c r="G625" i="1"/>
  <c r="J625" i="1" s="1"/>
  <c r="G412" i="1"/>
  <c r="J412" i="1" s="1"/>
  <c r="G513" i="1"/>
  <c r="J513" i="1" s="1"/>
  <c r="G469" i="1"/>
  <c r="J469" i="1" s="1"/>
  <c r="G313" i="1"/>
  <c r="J313" i="1" s="1"/>
  <c r="G333" i="1"/>
  <c r="J333" i="1" s="1"/>
  <c r="G287" i="1"/>
  <c r="J287" i="1" s="1"/>
  <c r="G322" i="1"/>
  <c r="J322" i="1" s="1"/>
  <c r="G324" i="1"/>
  <c r="J324" i="1" s="1"/>
  <c r="G874" i="1"/>
  <c r="J874" i="1" s="1"/>
  <c r="G790" i="1"/>
  <c r="J790" i="1" s="1"/>
  <c r="G797" i="1"/>
  <c r="J797" i="1" s="1"/>
  <c r="G557" i="1"/>
  <c r="J557" i="1" s="1"/>
  <c r="G527" i="1"/>
  <c r="J527" i="1" s="1"/>
  <c r="G489" i="1"/>
  <c r="J489" i="1" s="1"/>
  <c r="G280" i="1"/>
  <c r="J280" i="1" s="1"/>
  <c r="G742" i="1"/>
  <c r="J742" i="1" s="1"/>
  <c r="G725" i="1"/>
  <c r="J725" i="1" s="1"/>
  <c r="G494" i="1"/>
  <c r="J494" i="1" s="1"/>
  <c r="E321" i="1"/>
  <c r="H321" i="1" s="1"/>
  <c r="E323" i="1"/>
  <c r="H323" i="1" s="1"/>
  <c r="E326" i="1"/>
  <c r="H326" i="1" s="1"/>
  <c r="E331" i="1"/>
  <c r="H331" i="1" s="1"/>
  <c r="E439" i="1"/>
  <c r="H439" i="1" s="1"/>
  <c r="E447" i="1"/>
  <c r="H447" i="1" s="1"/>
  <c r="E325" i="1"/>
  <c r="H325" i="1" s="1"/>
  <c r="E330" i="1"/>
  <c r="H330" i="1" s="1"/>
  <c r="E341" i="1"/>
  <c r="H341" i="1" s="1"/>
  <c r="E358" i="1"/>
  <c r="H358" i="1" s="1"/>
  <c r="E360" i="1"/>
  <c r="H360" i="1" s="1"/>
  <c r="E438" i="1"/>
  <c r="H438" i="1" s="1"/>
  <c r="E446" i="1"/>
  <c r="H446" i="1" s="1"/>
  <c r="E449" i="1"/>
  <c r="H449" i="1" s="1"/>
  <c r="E459" i="1"/>
  <c r="H459" i="1" s="1"/>
  <c r="E462" i="1"/>
  <c r="H462" i="1" s="1"/>
  <c r="E340" i="1"/>
  <c r="H340" i="1" s="1"/>
  <c r="E342" i="1"/>
  <c r="H342" i="1" s="1"/>
  <c r="E369" i="1"/>
  <c r="H369" i="1" s="1"/>
  <c r="E429" i="1"/>
  <c r="H429" i="1" s="1"/>
  <c r="E437" i="1"/>
  <c r="H437" i="1" s="1"/>
  <c r="E477" i="1"/>
  <c r="H477" i="1" s="1"/>
  <c r="E481" i="1"/>
  <c r="H481" i="1" s="1"/>
  <c r="E502" i="1"/>
  <c r="H502" i="1" s="1"/>
  <c r="E357" i="1"/>
  <c r="H357" i="1" s="1"/>
  <c r="E587" i="1"/>
  <c r="H587" i="1" s="1"/>
  <c r="E334" i="1"/>
  <c r="H334" i="1" s="1"/>
  <c r="E336" i="1"/>
  <c r="H336" i="1" s="1"/>
  <c r="E338" i="1"/>
  <c r="H338" i="1" s="1"/>
  <c r="E343" i="1"/>
  <c r="H343" i="1" s="1"/>
  <c r="E345" i="1"/>
  <c r="H345" i="1" s="1"/>
  <c r="E363" i="1"/>
  <c r="H363" i="1" s="1"/>
  <c r="E503" i="1"/>
  <c r="H503" i="1" s="1"/>
  <c r="E517" i="1"/>
  <c r="H517" i="1" s="1"/>
  <c r="E352" i="1"/>
  <c r="H352" i="1" s="1"/>
  <c r="E510" i="1"/>
  <c r="H510" i="1" s="1"/>
  <c r="E536" i="1"/>
  <c r="H536" i="1" s="1"/>
  <c r="E328" i="1"/>
  <c r="H328" i="1" s="1"/>
  <c r="E361" i="1"/>
  <c r="H361" i="1" s="1"/>
  <c r="E463" i="1"/>
  <c r="H463" i="1" s="1"/>
  <c r="E485" i="1"/>
  <c r="H485" i="1" s="1"/>
  <c r="E557" i="1"/>
  <c r="H557" i="1" s="1"/>
  <c r="E562" i="1"/>
  <c r="H562" i="1" s="1"/>
  <c r="E567" i="1"/>
  <c r="H567" i="1" s="1"/>
  <c r="E570" i="1"/>
  <c r="H570" i="1" s="1"/>
  <c r="E575" i="1"/>
  <c r="H575" i="1" s="1"/>
  <c r="E584" i="1"/>
  <c r="H584" i="1" s="1"/>
  <c r="E610" i="1"/>
  <c r="H610" i="1" s="1"/>
  <c r="E333" i="1"/>
  <c r="H333" i="1" s="1"/>
  <c r="E344" i="1"/>
  <c r="H344" i="1" s="1"/>
  <c r="E515" i="1"/>
  <c r="H515" i="1" s="1"/>
  <c r="E538" i="1"/>
  <c r="H538" i="1" s="1"/>
  <c r="E564" i="1"/>
  <c r="H564" i="1" s="1"/>
  <c r="E579" i="1"/>
  <c r="H579" i="1" s="1"/>
  <c r="E581" i="1"/>
  <c r="H581" i="1" s="1"/>
  <c r="E362" i="1"/>
  <c r="H362" i="1" s="1"/>
  <c r="E474" i="1"/>
  <c r="H474" i="1" s="1"/>
  <c r="E522" i="1"/>
  <c r="H522" i="1" s="1"/>
  <c r="E526" i="1"/>
  <c r="H526" i="1" s="1"/>
  <c r="E530" i="1"/>
  <c r="H530" i="1" s="1"/>
  <c r="E560" i="1"/>
  <c r="H560" i="1" s="1"/>
  <c r="E568" i="1"/>
  <c r="H568" i="1" s="1"/>
  <c r="E578" i="1"/>
  <c r="H578" i="1" s="1"/>
  <c r="E585" i="1"/>
  <c r="H585" i="1" s="1"/>
  <c r="E593" i="1"/>
  <c r="H593" i="1" s="1"/>
  <c r="E601" i="1"/>
  <c r="H601" i="1" s="1"/>
  <c r="E611" i="1"/>
  <c r="H611" i="1" s="1"/>
  <c r="E614" i="1"/>
  <c r="H614" i="1" s="1"/>
  <c r="E626" i="1"/>
  <c r="H626" i="1" s="1"/>
  <c r="E640" i="1"/>
  <c r="H640" i="1" s="1"/>
  <c r="E354" i="1"/>
  <c r="H354" i="1" s="1"/>
  <c r="E368" i="1"/>
  <c r="H368" i="1" s="1"/>
  <c r="E370" i="1"/>
  <c r="H370" i="1" s="1"/>
  <c r="E366" i="1"/>
  <c r="H366" i="1" s="1"/>
  <c r="E540" i="1"/>
  <c r="H540" i="1" s="1"/>
  <c r="E546" i="1"/>
  <c r="H546" i="1" s="1"/>
  <c r="E548" i="1"/>
  <c r="H548" i="1" s="1"/>
  <c r="E556" i="1"/>
  <c r="H556" i="1" s="1"/>
  <c r="E589" i="1"/>
  <c r="H589" i="1" s="1"/>
  <c r="E598" i="1"/>
  <c r="H598" i="1" s="1"/>
  <c r="E662" i="1"/>
  <c r="H662" i="1" s="1"/>
  <c r="E665" i="1"/>
  <c r="H665" i="1" s="1"/>
  <c r="E681" i="1"/>
  <c r="H681" i="1" s="1"/>
  <c r="E469" i="1"/>
  <c r="H469" i="1" s="1"/>
  <c r="E591" i="1"/>
  <c r="H591" i="1" s="1"/>
  <c r="E595" i="1"/>
  <c r="H595" i="1" s="1"/>
  <c r="E535" i="1"/>
  <c r="H535" i="1" s="1"/>
  <c r="E543" i="1"/>
  <c r="H543" i="1" s="1"/>
  <c r="E569" i="1"/>
  <c r="H569" i="1" s="1"/>
  <c r="E603" i="1"/>
  <c r="H603" i="1" s="1"/>
  <c r="E609" i="1"/>
  <c r="H609" i="1" s="1"/>
  <c r="E671" i="1"/>
  <c r="H671" i="1" s="1"/>
  <c r="E511" i="1"/>
  <c r="H511" i="1" s="1"/>
  <c r="E533" i="1"/>
  <c r="H533" i="1" s="1"/>
  <c r="E547" i="1"/>
  <c r="H547" i="1" s="1"/>
  <c r="E637" i="1"/>
  <c r="H637" i="1" s="1"/>
  <c r="E1002" i="1"/>
  <c r="H1002" i="1" s="1"/>
  <c r="E1007" i="1"/>
  <c r="H1007" i="1" s="1"/>
  <c r="E1034" i="1"/>
  <c r="H1034" i="1" s="1"/>
  <c r="E1039" i="1"/>
  <c r="H1039" i="1" s="1"/>
  <c r="E1067" i="1"/>
  <c r="H1067" i="1" s="1"/>
  <c r="E1079" i="1"/>
  <c r="H1079" i="1" s="1"/>
  <c r="E559" i="1"/>
  <c r="H559" i="1" s="1"/>
  <c r="E602" i="1"/>
  <c r="H602" i="1" s="1"/>
  <c r="E676" i="1"/>
  <c r="H676" i="1" s="1"/>
  <c r="E974" i="1"/>
  <c r="H974" i="1" s="1"/>
  <c r="E1006" i="1"/>
  <c r="H1006" i="1" s="1"/>
  <c r="E1014" i="1"/>
  <c r="H1014" i="1" s="1"/>
  <c r="E1038" i="1"/>
  <c r="H1038" i="1" s="1"/>
  <c r="E335" i="1"/>
  <c r="H335" i="1" s="1"/>
  <c r="E553" i="1"/>
  <c r="H553" i="1" s="1"/>
  <c r="E590" i="1"/>
  <c r="H590" i="1" s="1"/>
  <c r="E592" i="1"/>
  <c r="H592" i="1" s="1"/>
  <c r="E628" i="1"/>
  <c r="H628" i="1" s="1"/>
  <c r="E630" i="1"/>
  <c r="H630" i="1" s="1"/>
  <c r="E964" i="1"/>
  <c r="H964" i="1" s="1"/>
  <c r="E966" i="1"/>
  <c r="H966" i="1" s="1"/>
  <c r="E989" i="1"/>
  <c r="H989" i="1" s="1"/>
  <c r="E991" i="1"/>
  <c r="H991" i="1" s="1"/>
  <c r="E1050" i="1"/>
  <c r="H1050" i="1" s="1"/>
  <c r="E1059" i="1"/>
  <c r="H1059" i="1" s="1"/>
  <c r="E1070" i="1"/>
  <c r="H1070" i="1" s="1"/>
  <c r="E1090" i="1"/>
  <c r="H1090" i="1" s="1"/>
  <c r="E561" i="1"/>
  <c r="H561" i="1" s="1"/>
  <c r="E1011" i="1"/>
  <c r="H1011" i="1" s="1"/>
  <c r="E1019" i="1"/>
  <c r="H1019" i="1" s="1"/>
  <c r="E1071" i="1"/>
  <c r="H1071" i="1" s="1"/>
  <c r="E1110" i="1"/>
  <c r="H1110" i="1" s="1"/>
  <c r="E1123" i="1"/>
  <c r="H1123" i="1" s="1"/>
  <c r="E539" i="1"/>
  <c r="H539" i="1" s="1"/>
  <c r="E596" i="1"/>
  <c r="H596" i="1" s="1"/>
  <c r="E644" i="1"/>
  <c r="H644" i="1" s="1"/>
  <c r="E1001" i="1"/>
  <c r="H1001" i="1" s="1"/>
  <c r="E1009" i="1"/>
  <c r="H1009" i="1" s="1"/>
  <c r="E1098" i="1"/>
  <c r="H1098" i="1" s="1"/>
  <c r="E1026" i="1"/>
  <c r="H1026" i="1" s="1"/>
  <c r="E545" i="1"/>
  <c r="H545" i="1" s="1"/>
  <c r="E636" i="1"/>
  <c r="H636" i="1" s="1"/>
  <c r="E638" i="1"/>
  <c r="H638" i="1" s="1"/>
  <c r="E664" i="1"/>
  <c r="H664" i="1" s="1"/>
  <c r="E976" i="1"/>
  <c r="H976" i="1" s="1"/>
  <c r="E987" i="1"/>
  <c r="H987" i="1" s="1"/>
  <c r="E1018" i="1"/>
  <c r="H1018" i="1" s="1"/>
  <c r="E1057" i="1"/>
  <c r="H1057" i="1" s="1"/>
  <c r="E972" i="1"/>
  <c r="H972" i="1" s="1"/>
  <c r="E605" i="1"/>
  <c r="H605" i="1" s="1"/>
  <c r="E970" i="1"/>
  <c r="H970" i="1" s="1"/>
  <c r="E994" i="1"/>
  <c r="H994" i="1" s="1"/>
  <c r="E1035" i="1"/>
  <c r="H1035" i="1" s="1"/>
  <c r="E1043" i="1"/>
  <c r="H1043" i="1" s="1"/>
  <c r="E1045" i="1"/>
  <c r="H1045" i="1" s="1"/>
  <c r="E1087" i="1"/>
  <c r="H1087" i="1" s="1"/>
  <c r="E968" i="1"/>
  <c r="H968" i="1" s="1"/>
  <c r="E979" i="1"/>
  <c r="H979" i="1" s="1"/>
  <c r="E1023" i="1"/>
  <c r="H1023" i="1" s="1"/>
  <c r="E1025" i="1"/>
  <c r="H1025" i="1" s="1"/>
  <c r="E1033" i="1"/>
  <c r="H1033" i="1" s="1"/>
  <c r="E1041" i="1"/>
  <c r="H1041" i="1" s="1"/>
  <c r="E1047" i="1"/>
  <c r="H1047" i="1" s="1"/>
  <c r="E1077" i="1"/>
  <c r="H1077" i="1" s="1"/>
  <c r="E1083" i="1"/>
  <c r="H1083" i="1" s="1"/>
  <c r="E1085" i="1"/>
  <c r="H1085" i="1" s="1"/>
  <c r="E1093" i="1"/>
  <c r="H1093" i="1" s="1"/>
  <c r="E1055" i="1"/>
  <c r="H1055" i="1" s="1"/>
  <c r="E1121" i="1"/>
  <c r="H1121" i="1" s="1"/>
  <c r="E1103" i="1"/>
  <c r="H1103" i="1" s="1"/>
  <c r="E1129" i="1"/>
  <c r="H1129" i="1" s="1"/>
  <c r="E1073" i="1"/>
  <c r="H1073" i="1" s="1"/>
  <c r="E877" i="1"/>
  <c r="H877" i="1" s="1"/>
  <c r="E1124" i="1"/>
  <c r="H1124" i="1" s="1"/>
  <c r="E769" i="1"/>
  <c r="H769" i="1" s="1"/>
  <c r="E586" i="1"/>
  <c r="H586" i="1" s="1"/>
  <c r="E620" i="1"/>
  <c r="H620" i="1" s="1"/>
  <c r="E1068" i="1"/>
  <c r="H1068" i="1" s="1"/>
  <c r="E829" i="1"/>
  <c r="H829" i="1" s="1"/>
  <c r="E992" i="1"/>
  <c r="H992" i="1" s="1"/>
  <c r="E926" i="1"/>
  <c r="H926" i="1" s="1"/>
  <c r="E1016" i="1"/>
  <c r="H1016" i="1" s="1"/>
  <c r="E918" i="1"/>
  <c r="H918" i="1" s="1"/>
  <c r="E1003" i="1"/>
  <c r="H1003" i="1" s="1"/>
  <c r="E910" i="1"/>
  <c r="H910" i="1" s="1"/>
  <c r="E850" i="1"/>
  <c r="H850" i="1" s="1"/>
  <c r="E1080" i="1"/>
  <c r="H1080" i="1" s="1"/>
  <c r="E622" i="1"/>
  <c r="H622" i="1" s="1"/>
  <c r="E276" i="1"/>
  <c r="H276" i="1" s="1"/>
  <c r="E920" i="1"/>
  <c r="H920" i="1" s="1"/>
  <c r="E745" i="1"/>
  <c r="H745" i="1" s="1"/>
  <c r="E1004" i="1"/>
  <c r="H1004" i="1" s="1"/>
  <c r="E876" i="1"/>
  <c r="H876" i="1" s="1"/>
  <c r="E834" i="1"/>
  <c r="H834" i="1" s="1"/>
  <c r="E435" i="1"/>
  <c r="H435" i="1" s="1"/>
  <c r="E923" i="1"/>
  <c r="H923" i="1" s="1"/>
  <c r="E1063" i="1"/>
  <c r="H1063" i="1" s="1"/>
  <c r="E1046" i="1"/>
  <c r="H1046" i="1" s="1"/>
  <c r="E917" i="1"/>
  <c r="H917" i="1" s="1"/>
  <c r="E1122" i="1"/>
  <c r="H1122" i="1" s="1"/>
  <c r="E912" i="1"/>
  <c r="H912" i="1" s="1"/>
  <c r="E576" i="1"/>
  <c r="H576" i="1" s="1"/>
  <c r="E890" i="1"/>
  <c r="H890" i="1" s="1"/>
  <c r="E942" i="1"/>
  <c r="H942" i="1" s="1"/>
  <c r="E1141" i="1"/>
  <c r="H1141" i="1" s="1"/>
  <c r="E654" i="1"/>
  <c r="H654" i="1" s="1"/>
  <c r="E1008" i="1"/>
  <c r="H1008" i="1" s="1"/>
  <c r="E904" i="1"/>
  <c r="H904" i="1" s="1"/>
  <c r="E1139" i="1"/>
  <c r="H1139" i="1" s="1"/>
  <c r="E1120" i="1"/>
  <c r="H1120" i="1" s="1"/>
  <c r="E998" i="1"/>
  <c r="H998" i="1" s="1"/>
  <c r="E853" i="1"/>
  <c r="H853" i="1" s="1"/>
  <c r="E793" i="1"/>
  <c r="H793" i="1" s="1"/>
  <c r="E663" i="1"/>
  <c r="H663" i="1" s="1"/>
  <c r="E617" i="1"/>
  <c r="H617" i="1" s="1"/>
  <c r="E270" i="1"/>
  <c r="H270" i="1" s="1"/>
  <c r="E799" i="1"/>
  <c r="H799" i="1" s="1"/>
  <c r="E312" i="1"/>
  <c r="H312" i="1" s="1"/>
  <c r="E909" i="1"/>
  <c r="H909" i="1" s="1"/>
  <c r="E832" i="1"/>
  <c r="H832" i="1" s="1"/>
  <c r="E747" i="1"/>
  <c r="H747" i="1" s="1"/>
  <c r="E1072" i="1"/>
  <c r="H1072" i="1" s="1"/>
  <c r="E880" i="1"/>
  <c r="H880" i="1" s="1"/>
  <c r="E1058" i="1"/>
  <c r="H1058" i="1" s="1"/>
  <c r="E868" i="1"/>
  <c r="H868" i="1" s="1"/>
  <c r="E1109" i="1"/>
  <c r="H1109" i="1" s="1"/>
  <c r="E854" i="1"/>
  <c r="H854" i="1" s="1"/>
  <c r="E544" i="1"/>
  <c r="H544" i="1" s="1"/>
  <c r="E670" i="1"/>
  <c r="H670" i="1" s="1"/>
  <c r="E1091" i="1"/>
  <c r="H1091" i="1" s="1"/>
  <c r="E865" i="1"/>
  <c r="H865" i="1" s="1"/>
  <c r="E1136" i="1"/>
  <c r="H1136" i="1" s="1"/>
  <c r="E908" i="1"/>
  <c r="H908" i="1" s="1"/>
  <c r="E785" i="1"/>
  <c r="H785" i="1" s="1"/>
  <c r="E995" i="1"/>
  <c r="H995" i="1" s="1"/>
  <c r="E679" i="1"/>
  <c r="H679" i="1" s="1"/>
  <c r="E1131" i="1"/>
  <c r="H1131" i="1" s="1"/>
  <c r="E1086" i="1"/>
  <c r="H1086" i="1" s="1"/>
  <c r="E1031" i="1"/>
  <c r="H1031" i="1" s="1"/>
  <c r="E986" i="1"/>
  <c r="H986" i="1" s="1"/>
  <c r="E873" i="1"/>
  <c r="H873" i="1" s="1"/>
  <c r="E542" i="1"/>
  <c r="H542" i="1" s="1"/>
  <c r="E1112" i="1"/>
  <c r="H1112" i="1" s="1"/>
  <c r="E838" i="1"/>
  <c r="H838" i="1" s="1"/>
  <c r="E403" i="1"/>
  <c r="H403" i="1" s="1"/>
  <c r="E1142" i="1"/>
  <c r="H1142" i="1" s="1"/>
  <c r="E1060" i="1"/>
  <c r="H1060" i="1" s="1"/>
  <c r="E997" i="1"/>
  <c r="H997" i="1" s="1"/>
  <c r="E914" i="1"/>
  <c r="H914" i="1" s="1"/>
  <c r="E771" i="1"/>
  <c r="H771" i="1" s="1"/>
  <c r="E897" i="1"/>
  <c r="H897" i="1" s="1"/>
  <c r="E864" i="1"/>
  <c r="H864" i="1" s="1"/>
  <c r="E817" i="1"/>
  <c r="H817" i="1" s="1"/>
  <c r="E1104" i="1"/>
  <c r="H1104" i="1" s="1"/>
  <c r="E905" i="1"/>
  <c r="H905" i="1" s="1"/>
  <c r="E872" i="1"/>
  <c r="H872" i="1" s="1"/>
  <c r="E955" i="1"/>
  <c r="H955" i="1" s="1"/>
  <c r="E830" i="1"/>
  <c r="H830" i="1" s="1"/>
  <c r="E675" i="1"/>
  <c r="H675" i="1" s="1"/>
  <c r="E356" i="1"/>
  <c r="H356" i="1" s="1"/>
  <c r="E881" i="1"/>
  <c r="H881" i="1" s="1"/>
  <c r="E711" i="1"/>
  <c r="H711" i="1" s="1"/>
  <c r="E1143" i="1"/>
  <c r="H1143" i="1" s="1"/>
  <c r="E1028" i="1"/>
  <c r="H1028" i="1" s="1"/>
  <c r="E950" i="1"/>
  <c r="H950" i="1" s="1"/>
  <c r="E391" i="1"/>
  <c r="H391" i="1" s="1"/>
  <c r="E906" i="1"/>
  <c r="H906" i="1" s="1"/>
  <c r="E453" i="1"/>
  <c r="H453" i="1" s="1"/>
  <c r="E1119" i="1"/>
  <c r="H1119" i="1" s="1"/>
  <c r="E962" i="1"/>
  <c r="H962" i="1" s="1"/>
  <c r="E1078" i="1"/>
  <c r="H1078" i="1" s="1"/>
  <c r="E1027" i="1"/>
  <c r="H1027" i="1" s="1"/>
  <c r="E866" i="1"/>
  <c r="H866" i="1" s="1"/>
  <c r="E537" i="1"/>
  <c r="H537" i="1" s="1"/>
  <c r="E900" i="1"/>
  <c r="H900" i="1" s="1"/>
  <c r="E751" i="1"/>
  <c r="H751" i="1" s="1"/>
  <c r="E348" i="1"/>
  <c r="H348" i="1" s="1"/>
  <c r="E1132" i="1"/>
  <c r="H1132" i="1" s="1"/>
  <c r="E1130" i="1"/>
  <c r="H1130" i="1" s="1"/>
  <c r="E1036" i="1"/>
  <c r="H1036" i="1" s="1"/>
  <c r="E954" i="1"/>
  <c r="H954" i="1" s="1"/>
  <c r="E862" i="1"/>
  <c r="H862" i="1" s="1"/>
  <c r="E653" i="1"/>
  <c r="H653" i="1" s="1"/>
  <c r="E529" i="1"/>
  <c r="H529" i="1" s="1"/>
  <c r="E1134" i="1"/>
  <c r="H1134" i="1" s="1"/>
  <c r="E1065" i="1"/>
  <c r="H1065" i="1" s="1"/>
  <c r="E1137" i="1"/>
  <c r="H1137" i="1" s="1"/>
  <c r="E953" i="1"/>
  <c r="H953" i="1" s="1"/>
  <c r="E673" i="1"/>
  <c r="H673" i="1" s="1"/>
  <c r="E427" i="1"/>
  <c r="H427" i="1" s="1"/>
  <c r="E811" i="1"/>
  <c r="H811" i="1" s="1"/>
  <c r="E1135" i="1"/>
  <c r="H1135" i="1" s="1"/>
  <c r="E608" i="1"/>
  <c r="H608" i="1" s="1"/>
  <c r="E858" i="1"/>
  <c r="H858" i="1" s="1"/>
  <c r="E677" i="1"/>
  <c r="H677" i="1" s="1"/>
  <c r="E846" i="1"/>
  <c r="H846" i="1" s="1"/>
  <c r="E983" i="1"/>
  <c r="H983" i="1" s="1"/>
  <c r="E743" i="1"/>
  <c r="H743" i="1" s="1"/>
  <c r="E1102" i="1"/>
  <c r="H1102" i="1" s="1"/>
  <c r="E1099" i="1"/>
  <c r="H1099" i="1" s="1"/>
  <c r="E627" i="1"/>
  <c r="H627" i="1" s="1"/>
  <c r="E1111" i="1"/>
  <c r="H1111" i="1" s="1"/>
  <c r="E1013" i="1"/>
  <c r="H1013" i="1" s="1"/>
  <c r="E930" i="1"/>
  <c r="H930" i="1" s="1"/>
  <c r="E1030" i="1"/>
  <c r="H1030" i="1" s="1"/>
  <c r="E894" i="1"/>
  <c r="H894" i="1" s="1"/>
  <c r="E635" i="1"/>
  <c r="H635" i="1" s="1"/>
  <c r="E346" i="1"/>
  <c r="H346" i="1" s="1"/>
  <c r="E302" i="1"/>
  <c r="H302" i="1" s="1"/>
  <c r="E943" i="1"/>
  <c r="H943" i="1" s="1"/>
  <c r="E885" i="1"/>
  <c r="H885" i="1" s="1"/>
  <c r="E815" i="1"/>
  <c r="H815" i="1" s="1"/>
  <c r="E660" i="1"/>
  <c r="H660" i="1" s="1"/>
  <c r="E1024" i="1"/>
  <c r="H1024" i="1" s="1"/>
  <c r="E945" i="1"/>
  <c r="H945" i="1" s="1"/>
  <c r="E641" i="1"/>
  <c r="H641" i="1" s="1"/>
  <c r="E1126" i="1"/>
  <c r="H1126" i="1" s="1"/>
  <c r="E1094" i="1"/>
  <c r="H1094" i="1" s="1"/>
  <c r="E941" i="1"/>
  <c r="H941" i="1" s="1"/>
  <c r="E888" i="1"/>
  <c r="H888" i="1" s="1"/>
  <c r="E823" i="1"/>
  <c r="H823" i="1" s="1"/>
  <c r="E1051" i="1"/>
  <c r="H1051" i="1" s="1"/>
  <c r="E739" i="1"/>
  <c r="H739" i="1" s="1"/>
  <c r="E938" i="1"/>
  <c r="H938" i="1" s="1"/>
  <c r="E999" i="1"/>
  <c r="H999" i="1" s="1"/>
  <c r="E621" i="1"/>
  <c r="H621" i="1" s="1"/>
  <c r="E1075" i="1"/>
  <c r="H1075" i="1" s="1"/>
  <c r="E878" i="1"/>
  <c r="H878" i="1" s="1"/>
  <c r="E347" i="1"/>
  <c r="H347" i="1" s="1"/>
  <c r="E468" i="1"/>
  <c r="H468" i="1" s="1"/>
  <c r="E705" i="1"/>
  <c r="H705" i="1" s="1"/>
  <c r="E643" i="1"/>
  <c r="H643" i="1" s="1"/>
  <c r="E554" i="1"/>
  <c r="H554" i="1" s="1"/>
  <c r="E848" i="1"/>
  <c r="H848" i="1" s="1"/>
  <c r="E755" i="1"/>
  <c r="H755" i="1" s="1"/>
  <c r="E715" i="1"/>
  <c r="H715" i="1" s="1"/>
  <c r="E599" i="1"/>
  <c r="H599" i="1" s="1"/>
  <c r="E583" i="1"/>
  <c r="H583" i="1" s="1"/>
  <c r="E415" i="1"/>
  <c r="H415" i="1" s="1"/>
  <c r="E827" i="1"/>
  <c r="H827" i="1" s="1"/>
  <c r="E697" i="1"/>
  <c r="H697" i="1" s="1"/>
  <c r="E367" i="1"/>
  <c r="H367" i="1" s="1"/>
  <c r="E574" i="1"/>
  <c r="H574" i="1" s="1"/>
  <c r="E264" i="1"/>
  <c r="H264" i="1" s="1"/>
  <c r="E454" i="1"/>
  <c r="H454" i="1" s="1"/>
  <c r="E984" i="1"/>
  <c r="H984" i="1" s="1"/>
  <c r="E861" i="1"/>
  <c r="H861" i="1" s="1"/>
  <c r="E893" i="1"/>
  <c r="H893" i="1" s="1"/>
  <c r="E795" i="1"/>
  <c r="H795" i="1" s="1"/>
  <c r="E922" i="1"/>
  <c r="H922" i="1" s="1"/>
  <c r="E1116" i="1"/>
  <c r="H1116" i="1" s="1"/>
  <c r="E1052" i="1"/>
  <c r="H1052" i="1" s="1"/>
  <c r="E1020" i="1"/>
  <c r="H1020" i="1" s="1"/>
  <c r="E825" i="1"/>
  <c r="H825" i="1" s="1"/>
  <c r="E870" i="1"/>
  <c r="H870" i="1" s="1"/>
  <c r="E314" i="1"/>
  <c r="H314" i="1" s="1"/>
  <c r="E990" i="1"/>
  <c r="H990" i="1" s="1"/>
  <c r="E836" i="1"/>
  <c r="H836" i="1" s="1"/>
  <c r="E633" i="1"/>
  <c r="H633" i="1" s="1"/>
  <c r="E842" i="1"/>
  <c r="H842" i="1" s="1"/>
  <c r="E753" i="1"/>
  <c r="H753" i="1" s="1"/>
  <c r="E713" i="1"/>
  <c r="H713" i="1" s="1"/>
  <c r="E735" i="1"/>
  <c r="H735" i="1" s="1"/>
  <c r="E685" i="1"/>
  <c r="H685" i="1" s="1"/>
  <c r="E695" i="1"/>
  <c r="H695" i="1" s="1"/>
  <c r="E652" i="1"/>
  <c r="H652" i="1" s="1"/>
  <c r="E549" i="1"/>
  <c r="H549" i="1" s="1"/>
  <c r="E496" i="1"/>
  <c r="H496" i="1" s="1"/>
  <c r="E566" i="1"/>
  <c r="H566" i="1" s="1"/>
  <c r="E313" i="1"/>
  <c r="H313" i="1" s="1"/>
  <c r="E551" i="1"/>
  <c r="H551" i="1" s="1"/>
  <c r="E513" i="1"/>
  <c r="H513" i="1" s="1"/>
  <c r="E436" i="1"/>
  <c r="H436" i="1" s="1"/>
  <c r="E278" i="1"/>
  <c r="H278" i="1" s="1"/>
  <c r="E809" i="1"/>
  <c r="H809" i="1" s="1"/>
  <c r="E981" i="1"/>
  <c r="H981" i="1" s="1"/>
  <c r="E1105" i="1"/>
  <c r="H1105" i="1" s="1"/>
  <c r="E844" i="1"/>
  <c r="H844" i="1" s="1"/>
  <c r="E1082" i="1"/>
  <c r="H1082" i="1" s="1"/>
  <c r="E826" i="1"/>
  <c r="H826" i="1" s="1"/>
  <c r="E957" i="1"/>
  <c r="H957" i="1" s="1"/>
  <c r="E779" i="1"/>
  <c r="H779" i="1" s="1"/>
  <c r="E841" i="1"/>
  <c r="H841" i="1" s="1"/>
  <c r="E935" i="1"/>
  <c r="H935" i="1" s="1"/>
  <c r="E791" i="1"/>
  <c r="H791" i="1" s="1"/>
  <c r="E775" i="1"/>
  <c r="H775" i="1" s="1"/>
  <c r="E624" i="1"/>
  <c r="H624" i="1" s="1"/>
  <c r="E472" i="1"/>
  <c r="H472" i="1" s="1"/>
  <c r="E767" i="1"/>
  <c r="H767" i="1" s="1"/>
  <c r="E731" i="1"/>
  <c r="H731" i="1" s="1"/>
  <c r="E668" i="1"/>
  <c r="H668" i="1" s="1"/>
  <c r="E311" i="1"/>
  <c r="H311" i="1" s="1"/>
  <c r="E807" i="1"/>
  <c r="H807" i="1" s="1"/>
  <c r="E691" i="1"/>
  <c r="H691" i="1" s="1"/>
  <c r="E650" i="1"/>
  <c r="H650" i="1" s="1"/>
  <c r="E479" i="1"/>
  <c r="H479" i="1" s="1"/>
  <c r="E364" i="1"/>
  <c r="H364" i="1" s="1"/>
  <c r="E466" i="1"/>
  <c r="H466" i="1" s="1"/>
  <c r="E651" i="1"/>
  <c r="H651" i="1" s="1"/>
  <c r="E516" i="1"/>
  <c r="H516" i="1" s="1"/>
  <c r="E1100" i="1"/>
  <c r="H1100" i="1" s="1"/>
  <c r="E573" i="1"/>
  <c r="H573" i="1" s="1"/>
  <c r="E1097" i="1"/>
  <c r="H1097" i="1" s="1"/>
  <c r="E1022" i="1"/>
  <c r="H1022" i="1" s="1"/>
  <c r="E1115" i="1"/>
  <c r="H1115" i="1" s="1"/>
  <c r="E993" i="1"/>
  <c r="H993" i="1" s="1"/>
  <c r="E351" i="1"/>
  <c r="H351" i="1" s="1"/>
  <c r="E1062" i="1"/>
  <c r="H1062" i="1" s="1"/>
  <c r="E934" i="1"/>
  <c r="H934" i="1" s="1"/>
  <c r="E925" i="1"/>
  <c r="H925" i="1" s="1"/>
  <c r="E787" i="1"/>
  <c r="H787" i="1" s="1"/>
  <c r="E572" i="1"/>
  <c r="H572" i="1" s="1"/>
  <c r="E1084" i="1"/>
  <c r="H1084" i="1" s="1"/>
  <c r="E580" i="1"/>
  <c r="H580" i="1" s="1"/>
  <c r="E856" i="1"/>
  <c r="H856" i="1" s="1"/>
  <c r="E727" i="1"/>
  <c r="H727" i="1" s="1"/>
  <c r="E763" i="1"/>
  <c r="H763" i="1" s="1"/>
  <c r="E723" i="1"/>
  <c r="H723" i="1" s="1"/>
  <c r="E597" i="1"/>
  <c r="H597" i="1" s="1"/>
  <c r="E550" i="1"/>
  <c r="H550" i="1" s="1"/>
  <c r="E445" i="1"/>
  <c r="H445" i="1" s="1"/>
  <c r="E845" i="1"/>
  <c r="H845" i="1" s="1"/>
  <c r="E801" i="1"/>
  <c r="H801" i="1" s="1"/>
  <c r="E703" i="1"/>
  <c r="H703" i="1" s="1"/>
  <c r="E612" i="1"/>
  <c r="H612" i="1" s="1"/>
  <c r="E389" i="1"/>
  <c r="H389" i="1" s="1"/>
  <c r="E337" i="1"/>
  <c r="H337" i="1" s="1"/>
  <c r="E444" i="1"/>
  <c r="H444" i="1" s="1"/>
  <c r="E349" i="1"/>
  <c r="H349" i="1" s="1"/>
  <c r="E506" i="1"/>
  <c r="H506" i="1" s="1"/>
  <c r="E896" i="1"/>
  <c r="H896" i="1" s="1"/>
  <c r="E1095" i="1"/>
  <c r="H1095" i="1" s="1"/>
  <c r="E1107" i="1"/>
  <c r="H1107" i="1" s="1"/>
  <c r="E898" i="1"/>
  <c r="H898" i="1" s="1"/>
  <c r="E308" i="1"/>
  <c r="H308" i="1" s="1"/>
  <c r="E916" i="1"/>
  <c r="H916" i="1" s="1"/>
  <c r="E819" i="1"/>
  <c r="H819" i="1" s="1"/>
  <c r="E737" i="1"/>
  <c r="H737" i="1" s="1"/>
  <c r="E657" i="1"/>
  <c r="H657" i="1" s="1"/>
  <c r="E619" i="1"/>
  <c r="H619" i="1" s="1"/>
  <c r="E555" i="1"/>
  <c r="H555" i="1" s="1"/>
  <c r="E413" i="1"/>
  <c r="H413" i="1" s="1"/>
  <c r="E761" i="1"/>
  <c r="H761" i="1" s="1"/>
  <c r="E721" i="1"/>
  <c r="H721" i="1" s="1"/>
  <c r="E683" i="1"/>
  <c r="H683" i="1" s="1"/>
  <c r="E600" i="1"/>
  <c r="H600" i="1" s="1"/>
  <c r="E534" i="1"/>
  <c r="H534" i="1" s="1"/>
  <c r="E577" i="1"/>
  <c r="H577" i="1" s="1"/>
  <c r="E470" i="1"/>
  <c r="H470" i="1" s="1"/>
  <c r="E639" i="1"/>
  <c r="H639" i="1" s="1"/>
  <c r="E327" i="1"/>
  <c r="H327" i="1" s="1"/>
  <c r="E498" i="1"/>
  <c r="H498" i="1" s="1"/>
  <c r="E419" i="1"/>
  <c r="H419" i="1" s="1"/>
  <c r="E317" i="1"/>
  <c r="H317" i="1" s="1"/>
  <c r="E274" i="1"/>
  <c r="H274" i="1" s="1"/>
  <c r="E849" i="1"/>
  <c r="H849" i="1" s="1"/>
  <c r="E958" i="1"/>
  <c r="H958" i="1" s="1"/>
  <c r="E996" i="1"/>
  <c r="H996" i="1" s="1"/>
  <c r="E1092" i="1"/>
  <c r="H1092" i="1" s="1"/>
  <c r="E1114" i="1"/>
  <c r="H1114" i="1" s="1"/>
  <c r="E947" i="1"/>
  <c r="H947" i="1" s="1"/>
  <c r="E552" i="1"/>
  <c r="H552" i="1" s="1"/>
  <c r="E558" i="1"/>
  <c r="H558" i="1" s="1"/>
  <c r="E729" i="1"/>
  <c r="H729" i="1" s="1"/>
  <c r="E833" i="1"/>
  <c r="H833" i="1" s="1"/>
  <c r="E689" i="1"/>
  <c r="H689" i="1" s="1"/>
  <c r="E280" i="1"/>
  <c r="H280" i="1" s="1"/>
  <c r="E457" i="1"/>
  <c r="H457" i="1" s="1"/>
  <c r="E521" i="1"/>
  <c r="H521" i="1" s="1"/>
  <c r="E524" i="1"/>
  <c r="H524" i="1" s="1"/>
  <c r="E417" i="1"/>
  <c r="H417" i="1" s="1"/>
  <c r="E316" i="1"/>
  <c r="H316" i="1" s="1"/>
  <c r="E288" i="1"/>
  <c r="H288" i="1" s="1"/>
  <c r="E432" i="1"/>
  <c r="H432" i="1" s="1"/>
  <c r="E1040" i="1"/>
  <c r="H1040" i="1" s="1"/>
  <c r="E494" i="1"/>
  <c r="H494" i="1" s="1"/>
  <c r="E365" i="1"/>
  <c r="H365" i="1" s="1"/>
  <c r="E423" i="1"/>
  <c r="H423" i="1" s="1"/>
  <c r="E397" i="1"/>
  <c r="H397" i="1" s="1"/>
  <c r="E642" i="1"/>
  <c r="H642" i="1" s="1"/>
  <c r="E451" i="1"/>
  <c r="H451" i="1" s="1"/>
  <c r="E390" i="1"/>
  <c r="H390" i="1" s="1"/>
  <c r="E262" i="1"/>
  <c r="H262" i="1" s="1"/>
  <c r="E266" i="1"/>
  <c r="H266" i="1" s="1"/>
  <c r="E525" i="1"/>
  <c r="H525" i="1" s="1"/>
  <c r="E355" i="1"/>
  <c r="H355" i="1" s="1"/>
  <c r="E410" i="1"/>
  <c r="H410" i="1" s="1"/>
  <c r="E315" i="1"/>
  <c r="H315" i="1" s="1"/>
  <c r="E514" i="1"/>
  <c r="H514" i="1" s="1"/>
  <c r="E1127" i="1"/>
  <c r="H1127" i="1" s="1"/>
  <c r="E988" i="1"/>
  <c r="H988" i="1" s="1"/>
  <c r="E431" i="1"/>
  <c r="H431" i="1" s="1"/>
  <c r="E860" i="1"/>
  <c r="H860" i="1" s="1"/>
  <c r="E840" i="1"/>
  <c r="H840" i="1" s="1"/>
  <c r="E319" i="1"/>
  <c r="H319" i="1" s="1"/>
  <c r="E803" i="1"/>
  <c r="H803" i="1" s="1"/>
  <c r="E483" i="1"/>
  <c r="H483" i="1" s="1"/>
  <c r="E286" i="1"/>
  <c r="H286" i="1" s="1"/>
  <c r="E499" i="1"/>
  <c r="H499" i="1" s="1"/>
  <c r="E520" i="1"/>
  <c r="H520" i="1" s="1"/>
  <c r="E464" i="1"/>
  <c r="H464" i="1" s="1"/>
  <c r="E405" i="1"/>
  <c r="H405" i="1" s="1"/>
  <c r="E309" i="1"/>
  <c r="H309" i="1" s="1"/>
  <c r="E505" i="1"/>
  <c r="H505" i="1" s="1"/>
  <c r="E456" i="1"/>
  <c r="H456" i="1" s="1"/>
  <c r="E271" i="1"/>
  <c r="H271" i="1" s="1"/>
  <c r="E1015" i="1"/>
  <c r="H1015" i="1" s="1"/>
  <c r="E946" i="1"/>
  <c r="H946" i="1" s="1"/>
  <c r="E1048" i="1"/>
  <c r="H1048" i="1" s="1"/>
  <c r="E933" i="1"/>
  <c r="H933" i="1" s="1"/>
  <c r="E631" i="1"/>
  <c r="H631" i="1" s="1"/>
  <c r="E588" i="1"/>
  <c r="H588" i="1" s="1"/>
  <c r="E528" i="1"/>
  <c r="H528" i="1" s="1"/>
  <c r="E382" i="1"/>
  <c r="H382" i="1" s="1"/>
  <c r="E489" i="1"/>
  <c r="H489" i="1" s="1"/>
  <c r="E353" i="1"/>
  <c r="H353" i="1" s="1"/>
  <c r="E495" i="1"/>
  <c r="H495" i="1" s="1"/>
  <c r="E434" i="1"/>
  <c r="H434" i="1" s="1"/>
  <c r="E518" i="1"/>
  <c r="H518" i="1" s="1"/>
  <c r="E461" i="1"/>
  <c r="H461" i="1" s="1"/>
  <c r="E401" i="1"/>
  <c r="H401" i="1" s="1"/>
  <c r="E307" i="1"/>
  <c r="H307" i="1" s="1"/>
  <c r="E500" i="1"/>
  <c r="H500" i="1" s="1"/>
  <c r="E374" i="1"/>
  <c r="H374" i="1" s="1"/>
  <c r="E488" i="1"/>
  <c r="H488" i="1" s="1"/>
  <c r="E450" i="1"/>
  <c r="H450" i="1" s="1"/>
  <c r="E269" i="1"/>
  <c r="H269" i="1" s="1"/>
  <c r="E669" i="1"/>
  <c r="H669" i="1" s="1"/>
  <c r="E777" i="1"/>
  <c r="H777" i="1" s="1"/>
  <c r="E1029" i="1"/>
  <c r="H1029" i="1" s="1"/>
  <c r="E659" i="1"/>
  <c r="H659" i="1" s="1"/>
  <c r="E874" i="1"/>
  <c r="H874" i="1" s="1"/>
  <c r="E606" i="1"/>
  <c r="H606" i="1" s="1"/>
  <c r="E541" i="1"/>
  <c r="H541" i="1" s="1"/>
  <c r="E430" i="1"/>
  <c r="H430" i="1" s="1"/>
  <c r="E339" i="1"/>
  <c r="H339" i="1" s="1"/>
  <c r="E414" i="1"/>
  <c r="H414" i="1" s="1"/>
  <c r="E318" i="1"/>
  <c r="H318" i="1" s="1"/>
  <c r="E268" i="1"/>
  <c r="H268" i="1" s="1"/>
  <c r="E448" i="1"/>
  <c r="H448" i="1" s="1"/>
  <c r="E383" i="1"/>
  <c r="H383" i="1" s="1"/>
  <c r="E324" i="1"/>
  <c r="H324" i="1" s="1"/>
  <c r="E294" i="1"/>
  <c r="H294" i="1" s="1"/>
  <c r="E298" i="1"/>
  <c r="H298" i="1" s="1"/>
  <c r="E482" i="1"/>
  <c r="H482" i="1" s="1"/>
  <c r="E304" i="1"/>
  <c r="H304" i="1" s="1"/>
  <c r="E265" i="1"/>
  <c r="H265" i="1" s="1"/>
  <c r="E882" i="1"/>
  <c r="H882" i="1" s="1"/>
  <c r="E615" i="1"/>
  <c r="H615" i="1" s="1"/>
  <c r="E886" i="1"/>
  <c r="H886" i="1" s="1"/>
  <c r="E604" i="1"/>
  <c r="H604" i="1" s="1"/>
  <c r="E625" i="1"/>
  <c r="H625" i="1" s="1"/>
  <c r="E378" i="1"/>
  <c r="H378" i="1" s="1"/>
  <c r="E699" i="1"/>
  <c r="H699" i="1" s="1"/>
  <c r="E310" i="1"/>
  <c r="H310" i="1" s="1"/>
  <c r="E571" i="1"/>
  <c r="H571" i="1" s="1"/>
  <c r="E491" i="1"/>
  <c r="H491" i="1" s="1"/>
  <c r="E329" i="1"/>
  <c r="H329" i="1" s="1"/>
  <c r="E305" i="1"/>
  <c r="H305" i="1" s="1"/>
  <c r="E394" i="1"/>
  <c r="H394" i="1" s="1"/>
  <c r="E282" i="1"/>
  <c r="H282" i="1" s="1"/>
  <c r="E509" i="1"/>
  <c r="H509" i="1" s="1"/>
  <c r="E426" i="1"/>
  <c r="H426" i="1" s="1"/>
  <c r="E473" i="1"/>
  <c r="H473" i="1" s="1"/>
  <c r="E480" i="1"/>
  <c r="H480" i="1" s="1"/>
  <c r="E422" i="1"/>
  <c r="H422" i="1" s="1"/>
  <c r="E263" i="1"/>
  <c r="H263" i="1" s="1"/>
  <c r="E1088" i="1"/>
  <c r="H1088" i="1" s="1"/>
  <c r="E759" i="1"/>
  <c r="H759" i="1" s="1"/>
  <c r="E350" i="1"/>
  <c r="H350" i="1" s="1"/>
  <c r="E272" i="1"/>
  <c r="H272" i="1" s="1"/>
  <c r="E300" i="1"/>
  <c r="H300" i="1" s="1"/>
  <c r="E852" i="1"/>
  <c r="H852" i="1" s="1"/>
  <c r="E719" i="1"/>
  <c r="H719" i="1" s="1"/>
  <c r="E284" i="1"/>
  <c r="H284" i="1" s="1"/>
  <c r="E290" i="1"/>
  <c r="H290" i="1" s="1"/>
  <c r="E884" i="1"/>
  <c r="H884" i="1" s="1"/>
  <c r="E594" i="1"/>
  <c r="H594" i="1" s="1"/>
  <c r="E565" i="1"/>
  <c r="H565" i="1" s="1"/>
  <c r="E484" i="1"/>
  <c r="H484" i="1" s="1"/>
  <c r="E267" i="1"/>
  <c r="H267" i="1" s="1"/>
  <c r="E707" i="1"/>
  <c r="H707" i="1" s="1"/>
  <c r="E460" i="1"/>
  <c r="H460" i="1" s="1"/>
  <c r="E693" i="1"/>
  <c r="H693" i="1" s="1"/>
  <c r="E563" i="1"/>
  <c r="H563" i="1" s="1"/>
  <c r="E476" i="1"/>
  <c r="H476" i="1" s="1"/>
  <c r="E261" i="1"/>
  <c r="H261" i="1" s="1"/>
  <c r="E902" i="1"/>
  <c r="H902" i="1" s="1"/>
  <c r="E428" i="1"/>
  <c r="H428" i="1" s="1"/>
  <c r="E385" i="1"/>
  <c r="H385" i="1" s="1"/>
  <c r="E441" i="1"/>
  <c r="H441" i="1" s="1"/>
  <c r="E783" i="1"/>
  <c r="H783" i="1" s="1"/>
  <c r="E892" i="1"/>
  <c r="H892" i="1" s="1"/>
  <c r="E913" i="1"/>
  <c r="H913" i="1" s="1"/>
  <c r="E634" i="1"/>
  <c r="H634" i="1" s="1"/>
  <c r="E332" i="1"/>
  <c r="H332" i="1" s="1"/>
  <c r="E320" i="1"/>
  <c r="H320" i="1" s="1"/>
  <c r="E399" i="1"/>
  <c r="H399" i="1" s="1"/>
  <c r="E1061" i="1"/>
  <c r="H1061" i="1" s="1"/>
  <c r="E963" i="1"/>
  <c r="H963" i="1" s="1"/>
  <c r="E967" i="1"/>
  <c r="H967" i="1" s="1"/>
  <c r="E869" i="1"/>
  <c r="H869" i="1" s="1"/>
  <c r="E734" i="1"/>
  <c r="H734" i="1" s="1"/>
  <c r="E1042" i="1"/>
  <c r="H1042" i="1" s="1"/>
  <c r="E901" i="1"/>
  <c r="H901" i="1" s="1"/>
  <c r="E690" i="1"/>
  <c r="H690" i="1" s="1"/>
  <c r="E915" i="1"/>
  <c r="H915" i="1" s="1"/>
  <c r="E975" i="1"/>
  <c r="H975" i="1" s="1"/>
  <c r="E794" i="1"/>
  <c r="H794" i="1" s="1"/>
  <c r="E656" i="1"/>
  <c r="H656" i="1" s="1"/>
  <c r="E929" i="1"/>
  <c r="H929" i="1" s="1"/>
  <c r="E782" i="1"/>
  <c r="H782" i="1" s="1"/>
  <c r="E647" i="1"/>
  <c r="H647" i="1" s="1"/>
  <c r="E275" i="1"/>
  <c r="H275" i="1" s="1"/>
  <c r="E1074" i="1"/>
  <c r="H1074" i="1" s="1"/>
  <c r="E1108" i="1"/>
  <c r="H1108" i="1" s="1"/>
  <c r="E798" i="1"/>
  <c r="H798" i="1" s="1"/>
  <c r="E1106" i="1"/>
  <c r="H1106" i="1" s="1"/>
  <c r="E1049" i="1"/>
  <c r="H1049" i="1" s="1"/>
  <c r="E837" i="1"/>
  <c r="H837" i="1" s="1"/>
  <c r="E1010" i="1"/>
  <c r="H1010" i="1" s="1"/>
  <c r="E762" i="1"/>
  <c r="H762" i="1" s="1"/>
  <c r="E1101" i="1"/>
  <c r="H1101" i="1" s="1"/>
  <c r="E1081" i="1"/>
  <c r="H1081" i="1" s="1"/>
  <c r="E790" i="1"/>
  <c r="H790" i="1" s="1"/>
  <c r="E1125" i="1"/>
  <c r="H1125" i="1" s="1"/>
  <c r="E944" i="1"/>
  <c r="H944" i="1" s="1"/>
  <c r="E770" i="1"/>
  <c r="H770" i="1" s="1"/>
  <c r="E746" i="1"/>
  <c r="H746" i="1" s="1"/>
  <c r="E821" i="1"/>
  <c r="H821" i="1" s="1"/>
  <c r="E471" i="1"/>
  <c r="H471" i="1" s="1"/>
  <c r="E306" i="1"/>
  <c r="H306" i="1" s="1"/>
  <c r="E1000" i="1"/>
  <c r="H1000" i="1" s="1"/>
  <c r="E982" i="1"/>
  <c r="H982" i="1" s="1"/>
  <c r="E1076" i="1"/>
  <c r="H1076" i="1" s="1"/>
  <c r="E1054" i="1"/>
  <c r="H1054" i="1" s="1"/>
  <c r="E891" i="1"/>
  <c r="H891" i="1" s="1"/>
  <c r="E623" i="1"/>
  <c r="H623" i="1" s="1"/>
  <c r="E661" i="1"/>
  <c r="H661" i="1" s="1"/>
  <c r="E937" i="1"/>
  <c r="H937" i="1" s="1"/>
  <c r="E883" i="1"/>
  <c r="H883" i="1" s="1"/>
  <c r="E629" i="1"/>
  <c r="H629" i="1" s="1"/>
  <c r="E931" i="1"/>
  <c r="H931" i="1" s="1"/>
  <c r="E730" i="1"/>
  <c r="H730" i="1" s="1"/>
  <c r="E956" i="1"/>
  <c r="H956" i="1" s="1"/>
  <c r="E948" i="1"/>
  <c r="H948" i="1" s="1"/>
  <c r="E718" i="1"/>
  <c r="H718" i="1" s="1"/>
  <c r="E582" i="1"/>
  <c r="H582" i="1" s="1"/>
  <c r="E1133" i="1"/>
  <c r="H1133" i="1" s="1"/>
  <c r="E1138" i="1"/>
  <c r="H1138" i="1" s="1"/>
  <c r="E973" i="1"/>
  <c r="H973" i="1" s="1"/>
  <c r="E1064" i="1"/>
  <c r="H1064" i="1" s="1"/>
  <c r="E980" i="1"/>
  <c r="H980" i="1" s="1"/>
  <c r="E738" i="1"/>
  <c r="H738" i="1" s="1"/>
  <c r="E1096" i="1"/>
  <c r="H1096" i="1" s="1"/>
  <c r="E859" i="1"/>
  <c r="H859" i="1" s="1"/>
  <c r="E1066" i="1"/>
  <c r="H1066" i="1" s="1"/>
  <c r="E911" i="1"/>
  <c r="H911" i="1" s="1"/>
  <c r="E702" i="1"/>
  <c r="H702" i="1" s="1"/>
  <c r="E706" i="1"/>
  <c r="H706" i="1" s="1"/>
  <c r="E710" i="1"/>
  <c r="H710" i="1" s="1"/>
  <c r="E507" i="1"/>
  <c r="H507" i="1" s="1"/>
  <c r="E887" i="1"/>
  <c r="H887" i="1" s="1"/>
  <c r="E818" i="1"/>
  <c r="H818" i="1" s="1"/>
  <c r="E949" i="1"/>
  <c r="H949" i="1" s="1"/>
  <c r="E359" i="1"/>
  <c r="H359" i="1" s="1"/>
  <c r="E698" i="1"/>
  <c r="H698" i="1" s="1"/>
  <c r="E985" i="1"/>
  <c r="H985" i="1" s="1"/>
  <c r="E959" i="1"/>
  <c r="H959" i="1" s="1"/>
  <c r="E1140" i="1"/>
  <c r="H1140" i="1" s="1"/>
  <c r="E1069" i="1"/>
  <c r="H1069" i="1" s="1"/>
  <c r="E971" i="1"/>
  <c r="H971" i="1" s="1"/>
  <c r="E810" i="1"/>
  <c r="H810" i="1" s="1"/>
  <c r="E928" i="1"/>
  <c r="H928" i="1" s="1"/>
  <c r="E875" i="1"/>
  <c r="H875" i="1" s="1"/>
  <c r="E1044" i="1"/>
  <c r="H1044" i="1" s="1"/>
  <c r="E1118" i="1"/>
  <c r="H1118" i="1" s="1"/>
  <c r="E895" i="1"/>
  <c r="H895" i="1" s="1"/>
  <c r="E754" i="1"/>
  <c r="H754" i="1" s="1"/>
  <c r="E806" i="1"/>
  <c r="H806" i="1" s="1"/>
  <c r="E694" i="1"/>
  <c r="H694" i="1" s="1"/>
  <c r="E977" i="1"/>
  <c r="H977" i="1" s="1"/>
  <c r="E940" i="1"/>
  <c r="H940" i="1" s="1"/>
  <c r="E796" i="1"/>
  <c r="H796" i="1" s="1"/>
  <c r="E732" i="1"/>
  <c r="H732" i="1" s="1"/>
  <c r="E932" i="1"/>
  <c r="H932" i="1" s="1"/>
  <c r="E655" i="1"/>
  <c r="H655" i="1" s="1"/>
  <c r="E824" i="1"/>
  <c r="H824" i="1" s="1"/>
  <c r="E760" i="1"/>
  <c r="H760" i="1" s="1"/>
  <c r="E686" i="1"/>
  <c r="H686" i="1" s="1"/>
  <c r="E527" i="1"/>
  <c r="H527" i="1" s="1"/>
  <c r="E425" i="1"/>
  <c r="H425" i="1" s="1"/>
  <c r="E523" i="1"/>
  <c r="H523" i="1" s="1"/>
  <c r="E487" i="1"/>
  <c r="H487" i="1" s="1"/>
  <c r="E408" i="1"/>
  <c r="H408" i="1" s="1"/>
  <c r="E297" i="1"/>
  <c r="H297" i="1" s="1"/>
  <c r="E293" i="1"/>
  <c r="H293" i="1" s="1"/>
  <c r="E951" i="1"/>
  <c r="H951" i="1" s="1"/>
  <c r="E812" i="1"/>
  <c r="H812" i="1" s="1"/>
  <c r="E519" i="1"/>
  <c r="H519" i="1" s="1"/>
  <c r="E295" i="1"/>
  <c r="H295" i="1" s="1"/>
  <c r="E531" i="1"/>
  <c r="H531" i="1" s="1"/>
  <c r="E1056" i="1"/>
  <c r="H1056" i="1" s="1"/>
  <c r="E1037" i="1"/>
  <c r="H1037" i="1" s="1"/>
  <c r="E766" i="1"/>
  <c r="H766" i="1" s="1"/>
  <c r="E1017" i="1"/>
  <c r="H1017" i="1" s="1"/>
  <c r="E1089" i="1"/>
  <c r="H1089" i="1" s="1"/>
  <c r="E648" i="1"/>
  <c r="H648" i="1" s="1"/>
  <c r="E843" i="1"/>
  <c r="H843" i="1" s="1"/>
  <c r="E778" i="1"/>
  <c r="H778" i="1" s="1"/>
  <c r="E903" i="1"/>
  <c r="H903" i="1" s="1"/>
  <c r="E786" i="1"/>
  <c r="H786" i="1" s="1"/>
  <c r="E772" i="1"/>
  <c r="H772" i="1" s="1"/>
  <c r="E708" i="1"/>
  <c r="H708" i="1" s="1"/>
  <c r="E797" i="1"/>
  <c r="H797" i="1" s="1"/>
  <c r="E765" i="1"/>
  <c r="H765" i="1" s="1"/>
  <c r="E733" i="1"/>
  <c r="H733" i="1" s="1"/>
  <c r="E701" i="1"/>
  <c r="H701" i="1" s="1"/>
  <c r="E649" i="1"/>
  <c r="H649" i="1" s="1"/>
  <c r="E800" i="1"/>
  <c r="H800" i="1" s="1"/>
  <c r="E736" i="1"/>
  <c r="H736" i="1" s="1"/>
  <c r="E387" i="1"/>
  <c r="H387" i="1" s="1"/>
  <c r="E381" i="1"/>
  <c r="H381" i="1" s="1"/>
  <c r="E379" i="1"/>
  <c r="H379" i="1" s="1"/>
  <c r="E398" i="1"/>
  <c r="H398" i="1" s="1"/>
  <c r="E393" i="1"/>
  <c r="H393" i="1" s="1"/>
  <c r="E416" i="1"/>
  <c r="H416" i="1" s="1"/>
  <c r="E283" i="1"/>
  <c r="H283" i="1" s="1"/>
  <c r="E418" i="1"/>
  <c r="H418" i="1" s="1"/>
  <c r="E684" i="1"/>
  <c r="H684" i="1" s="1"/>
  <c r="E748" i="1"/>
  <c r="H748" i="1" s="1"/>
  <c r="E776" i="1"/>
  <c r="H776" i="1" s="1"/>
  <c r="E667" i="1"/>
  <c r="H667" i="1" s="1"/>
  <c r="E291" i="1"/>
  <c r="H291" i="1" s="1"/>
  <c r="E764" i="1"/>
  <c r="H764" i="1" s="1"/>
  <c r="E532" i="1"/>
  <c r="H532" i="1" s="1"/>
  <c r="E889" i="1"/>
  <c r="H889" i="1" s="1"/>
  <c r="E960" i="1"/>
  <c r="H960" i="1" s="1"/>
  <c r="E726" i="1"/>
  <c r="H726" i="1" s="1"/>
  <c r="E857" i="1"/>
  <c r="H857" i="1" s="1"/>
  <c r="E1053" i="1"/>
  <c r="H1053" i="1" s="1"/>
  <c r="E851" i="1"/>
  <c r="H851" i="1" s="1"/>
  <c r="E961" i="1"/>
  <c r="H961" i="1" s="1"/>
  <c r="E758" i="1"/>
  <c r="H758" i="1" s="1"/>
  <c r="E855" i="1"/>
  <c r="H855" i="1" s="1"/>
  <c r="E867" i="1"/>
  <c r="H867" i="1" s="1"/>
  <c r="E742" i="1"/>
  <c r="H742" i="1" s="1"/>
  <c r="E871" i="1"/>
  <c r="H871" i="1" s="1"/>
  <c r="E750" i="1"/>
  <c r="H750" i="1" s="1"/>
  <c r="E443" i="1"/>
  <c r="H443" i="1" s="1"/>
  <c r="E788" i="1"/>
  <c r="H788" i="1" s="1"/>
  <c r="E724" i="1"/>
  <c r="H724" i="1" s="1"/>
  <c r="E822" i="1"/>
  <c r="H822" i="1" s="1"/>
  <c r="E789" i="1"/>
  <c r="H789" i="1" s="1"/>
  <c r="E757" i="1"/>
  <c r="H757" i="1" s="1"/>
  <c r="E725" i="1"/>
  <c r="H725" i="1" s="1"/>
  <c r="E828" i="1"/>
  <c r="H828" i="1" s="1"/>
  <c r="E816" i="1"/>
  <c r="H816" i="1" s="1"/>
  <c r="E752" i="1"/>
  <c r="H752" i="1" s="1"/>
  <c r="E666" i="1"/>
  <c r="H666" i="1" s="1"/>
  <c r="E458" i="1"/>
  <c r="H458" i="1" s="1"/>
  <c r="E421" i="1"/>
  <c r="H421" i="1" s="1"/>
  <c r="E493" i="1"/>
  <c r="H493" i="1" s="1"/>
  <c r="E486" i="1"/>
  <c r="H486" i="1" s="1"/>
  <c r="E508" i="1"/>
  <c r="H508" i="1" s="1"/>
  <c r="E384" i="1"/>
  <c r="H384" i="1" s="1"/>
  <c r="E377" i="1"/>
  <c r="H377" i="1" s="1"/>
  <c r="E372" i="1"/>
  <c r="H372" i="1" s="1"/>
  <c r="E424" i="1"/>
  <c r="H424" i="1" s="1"/>
  <c r="E404" i="1"/>
  <c r="H404" i="1" s="1"/>
  <c r="E388" i="1"/>
  <c r="H388" i="1" s="1"/>
  <c r="E289" i="1"/>
  <c r="H289" i="1" s="1"/>
  <c r="E279" i="1"/>
  <c r="H279" i="1" s="1"/>
  <c r="E299" i="1"/>
  <c r="H299" i="1" s="1"/>
  <c r="E1012" i="1"/>
  <c r="H1012" i="1" s="1"/>
  <c r="E802" i="1"/>
  <c r="H802" i="1" s="1"/>
  <c r="E1005" i="1"/>
  <c r="H1005" i="1" s="1"/>
  <c r="E921" i="1"/>
  <c r="H921" i="1" s="1"/>
  <c r="E1128" i="1"/>
  <c r="H1128" i="1" s="1"/>
  <c r="E927" i="1"/>
  <c r="H927" i="1" s="1"/>
  <c r="E924" i="1"/>
  <c r="H924" i="1" s="1"/>
  <c r="E645" i="1"/>
  <c r="H645" i="1" s="1"/>
  <c r="E939" i="1"/>
  <c r="H939" i="1" s="1"/>
  <c r="E952" i="1"/>
  <c r="H952" i="1" s="1"/>
  <c r="E613" i="1"/>
  <c r="H613" i="1" s="1"/>
  <c r="E792" i="1"/>
  <c r="H792" i="1" s="1"/>
  <c r="E490" i="1"/>
  <c r="H490" i="1" s="1"/>
  <c r="E433" i="1"/>
  <c r="H433" i="1" s="1"/>
  <c r="E863" i="1"/>
  <c r="H863" i="1" s="1"/>
  <c r="E1032" i="1"/>
  <c r="H1032" i="1" s="1"/>
  <c r="E965" i="1"/>
  <c r="H965" i="1" s="1"/>
  <c r="E774" i="1"/>
  <c r="H774" i="1" s="1"/>
  <c r="E835" i="1"/>
  <c r="H835" i="1" s="1"/>
  <c r="E839" i="1"/>
  <c r="H839" i="1" s="1"/>
  <c r="E722" i="1"/>
  <c r="H722" i="1" s="1"/>
  <c r="E804" i="1"/>
  <c r="H804" i="1" s="1"/>
  <c r="E740" i="1"/>
  <c r="H740" i="1" s="1"/>
  <c r="E813" i="1"/>
  <c r="H813" i="1" s="1"/>
  <c r="E781" i="1"/>
  <c r="H781" i="1" s="1"/>
  <c r="E749" i="1"/>
  <c r="H749" i="1" s="1"/>
  <c r="E717" i="1"/>
  <c r="H717" i="1" s="1"/>
  <c r="E696" i="1"/>
  <c r="H696" i="1" s="1"/>
  <c r="E768" i="1"/>
  <c r="H768" i="1" s="1"/>
  <c r="E704" i="1"/>
  <c r="H704" i="1" s="1"/>
  <c r="E497" i="1"/>
  <c r="H497" i="1" s="1"/>
  <c r="E475" i="1"/>
  <c r="H475" i="1" s="1"/>
  <c r="E442" i="1"/>
  <c r="H442" i="1" s="1"/>
  <c r="E371" i="1"/>
  <c r="H371" i="1" s="1"/>
  <c r="E287" i="1"/>
  <c r="H287" i="1" s="1"/>
  <c r="E285" i="1"/>
  <c r="H285" i="1" s="1"/>
  <c r="E687" i="1"/>
  <c r="H687" i="1" s="1"/>
  <c r="E501" i="1"/>
  <c r="H501" i="1" s="1"/>
  <c r="E616" i="1"/>
  <c r="H616" i="1" s="1"/>
  <c r="E452" i="1"/>
  <c r="H452" i="1" s="1"/>
  <c r="E380" i="1"/>
  <c r="H380" i="1" s="1"/>
  <c r="E392" i="1"/>
  <c r="H392" i="1" s="1"/>
  <c r="E322" i="1"/>
  <c r="H322" i="1" s="1"/>
  <c r="E407" i="1"/>
  <c r="H407" i="1" s="1"/>
  <c r="E411" i="1"/>
  <c r="H411" i="1" s="1"/>
  <c r="E674" i="1"/>
  <c r="H674" i="1" s="1"/>
  <c r="E375" i="1"/>
  <c r="H375" i="1" s="1"/>
  <c r="E978" i="1"/>
  <c r="H978" i="1" s="1"/>
  <c r="E847" i="1"/>
  <c r="H847" i="1" s="1"/>
  <c r="E1117" i="1"/>
  <c r="H1117" i="1" s="1"/>
  <c r="E879" i="1"/>
  <c r="H879" i="1" s="1"/>
  <c r="E907" i="1"/>
  <c r="H907" i="1" s="1"/>
  <c r="E714" i="1"/>
  <c r="H714" i="1" s="1"/>
  <c r="E678" i="1"/>
  <c r="H678" i="1" s="1"/>
  <c r="E780" i="1"/>
  <c r="H780" i="1" s="1"/>
  <c r="E716" i="1"/>
  <c r="H716" i="1" s="1"/>
  <c r="E672" i="1"/>
  <c r="H672" i="1" s="1"/>
  <c r="E658" i="1"/>
  <c r="H658" i="1" s="1"/>
  <c r="E808" i="1"/>
  <c r="H808" i="1" s="1"/>
  <c r="E744" i="1"/>
  <c r="H744" i="1" s="1"/>
  <c r="E632" i="1"/>
  <c r="H632" i="1" s="1"/>
  <c r="E373" i="1"/>
  <c r="H373" i="1" s="1"/>
  <c r="E402" i="1"/>
  <c r="H402" i="1" s="1"/>
  <c r="E512" i="1"/>
  <c r="H512" i="1" s="1"/>
  <c r="E386" i="1"/>
  <c r="H386" i="1" s="1"/>
  <c r="E296" i="1"/>
  <c r="H296" i="1" s="1"/>
  <c r="E303" i="1"/>
  <c r="H303" i="1" s="1"/>
  <c r="E273" i="1"/>
  <c r="H273" i="1" s="1"/>
  <c r="E455" i="1"/>
  <c r="H455" i="1" s="1"/>
  <c r="E688" i="1"/>
  <c r="H688" i="1" s="1"/>
  <c r="E492" i="1"/>
  <c r="H492" i="1" s="1"/>
  <c r="E700" i="1"/>
  <c r="H700" i="1" s="1"/>
  <c r="E680" i="1"/>
  <c r="H680" i="1" s="1"/>
  <c r="E728" i="1"/>
  <c r="H728" i="1" s="1"/>
  <c r="E440" i="1"/>
  <c r="H440" i="1" s="1"/>
  <c r="E376" i="1"/>
  <c r="H376" i="1" s="1"/>
  <c r="E281" i="1"/>
  <c r="H281" i="1" s="1"/>
  <c r="E831" i="1"/>
  <c r="H831" i="1" s="1"/>
  <c r="E1021" i="1"/>
  <c r="H1021" i="1" s="1"/>
  <c r="E618" i="1"/>
  <c r="H618" i="1" s="1"/>
  <c r="E969" i="1"/>
  <c r="H969" i="1" s="1"/>
  <c r="E919" i="1"/>
  <c r="H919" i="1" s="1"/>
  <c r="E899" i="1"/>
  <c r="H899" i="1" s="1"/>
  <c r="E936" i="1"/>
  <c r="H936" i="1" s="1"/>
  <c r="E814" i="1"/>
  <c r="H814" i="1" s="1"/>
  <c r="E692" i="1"/>
  <c r="H692" i="1" s="1"/>
  <c r="E820" i="1"/>
  <c r="H820" i="1" s="1"/>
  <c r="E756" i="1"/>
  <c r="H756" i="1" s="1"/>
  <c r="E646" i="1"/>
  <c r="H646" i="1" s="1"/>
  <c r="E805" i="1"/>
  <c r="H805" i="1" s="1"/>
  <c r="E773" i="1"/>
  <c r="H773" i="1" s="1"/>
  <c r="E741" i="1"/>
  <c r="H741" i="1" s="1"/>
  <c r="E709" i="1"/>
  <c r="H709" i="1" s="1"/>
  <c r="E682" i="1"/>
  <c r="H682" i="1" s="1"/>
  <c r="E784" i="1"/>
  <c r="H784" i="1" s="1"/>
  <c r="E720" i="1"/>
  <c r="H720" i="1" s="1"/>
  <c r="E465" i="1"/>
  <c r="H465" i="1" s="1"/>
  <c r="E607" i="1"/>
  <c r="H607" i="1" s="1"/>
  <c r="E478" i="1"/>
  <c r="H478" i="1" s="1"/>
  <c r="E396" i="1"/>
  <c r="H396" i="1" s="1"/>
  <c r="E467" i="1"/>
  <c r="H467" i="1" s="1"/>
  <c r="E420" i="1"/>
  <c r="H420" i="1" s="1"/>
  <c r="E409" i="1"/>
  <c r="H409" i="1" s="1"/>
  <c r="E406" i="1"/>
  <c r="H406" i="1" s="1"/>
  <c r="E400" i="1"/>
  <c r="H400" i="1" s="1"/>
  <c r="E301" i="1"/>
  <c r="H301" i="1" s="1"/>
  <c r="E395" i="1"/>
  <c r="H395" i="1" s="1"/>
  <c r="E1113" i="1"/>
  <c r="H1113" i="1" s="1"/>
  <c r="E712" i="1"/>
  <c r="H712" i="1" s="1"/>
  <c r="E504" i="1"/>
  <c r="H504" i="1" s="1"/>
  <c r="E292" i="1"/>
  <c r="H292" i="1" s="1"/>
  <c r="E412" i="1"/>
  <c r="H412" i="1" s="1"/>
  <c r="E277" i="1"/>
  <c r="H277" i="1" s="1"/>
  <c r="F354" i="1"/>
  <c r="I354" i="1" s="1"/>
  <c r="F511" i="1"/>
  <c r="I511" i="1" s="1"/>
  <c r="F350" i="1"/>
  <c r="I350" i="1" s="1"/>
  <c r="F382" i="1"/>
  <c r="I382" i="1" s="1"/>
  <c r="F324" i="1"/>
  <c r="I324" i="1" s="1"/>
  <c r="F357" i="1"/>
  <c r="I357" i="1" s="1"/>
  <c r="F414" i="1"/>
  <c r="I414" i="1" s="1"/>
  <c r="F513" i="1"/>
  <c r="I513" i="1" s="1"/>
  <c r="F410" i="1"/>
  <c r="I410" i="1" s="1"/>
  <c r="F444" i="1"/>
  <c r="I444" i="1" s="1"/>
  <c r="F434" i="1"/>
  <c r="I434" i="1" s="1"/>
  <c r="F461" i="1"/>
  <c r="I461" i="1" s="1"/>
  <c r="F554" i="1"/>
  <c r="I554" i="1" s="1"/>
  <c r="F606" i="1"/>
  <c r="I606" i="1" s="1"/>
  <c r="F612" i="1"/>
  <c r="I612" i="1" s="1"/>
  <c r="F637" i="1"/>
  <c r="I637" i="1" s="1"/>
  <c r="F652" i="1"/>
  <c r="I652" i="1" s="1"/>
  <c r="F671" i="1"/>
  <c r="I671" i="1" s="1"/>
  <c r="F528" i="1"/>
  <c r="I528" i="1" s="1"/>
  <c r="F574" i="1"/>
  <c r="I574" i="1" s="1"/>
  <c r="F597" i="1"/>
  <c r="I597" i="1" s="1"/>
  <c r="F491" i="1"/>
  <c r="I491" i="1" s="1"/>
  <c r="F540" i="1"/>
  <c r="I540" i="1" s="1"/>
  <c r="F741" i="1"/>
  <c r="I741" i="1" s="1"/>
  <c r="F793" i="1"/>
  <c r="I793" i="1" s="1"/>
  <c r="F568" i="1"/>
  <c r="I568" i="1" s="1"/>
  <c r="F737" i="1"/>
  <c r="I737" i="1" s="1"/>
  <c r="F314" i="1"/>
  <c r="I314" i="1" s="1"/>
  <c r="F495" i="1"/>
  <c r="I495" i="1" s="1"/>
  <c r="F562" i="1"/>
  <c r="I562" i="1" s="1"/>
  <c r="F578" i="1"/>
  <c r="I578" i="1" s="1"/>
  <c r="F733" i="1"/>
  <c r="I733" i="1" s="1"/>
  <c r="F771" i="1"/>
  <c r="I771" i="1" s="1"/>
  <c r="F1135" i="1"/>
  <c r="I1135" i="1" s="1"/>
  <c r="F1071" i="1"/>
  <c r="I1071" i="1" s="1"/>
  <c r="F564" i="1"/>
  <c r="I564" i="1" s="1"/>
  <c r="F685" i="1"/>
  <c r="I685" i="1" s="1"/>
  <c r="F809" i="1"/>
  <c r="I809" i="1" s="1"/>
  <c r="F947" i="1"/>
  <c r="I947" i="1" s="1"/>
  <c r="F964" i="1"/>
  <c r="I964" i="1" s="1"/>
  <c r="F1090" i="1"/>
  <c r="I1090" i="1" s="1"/>
  <c r="F360" i="1"/>
  <c r="I360" i="1" s="1"/>
  <c r="F517" i="1"/>
  <c r="I517" i="1" s="1"/>
  <c r="F627" i="1"/>
  <c r="I627" i="1" s="1"/>
  <c r="F679" i="1"/>
  <c r="I679" i="1" s="1"/>
  <c r="F763" i="1"/>
  <c r="I763" i="1" s="1"/>
  <c r="F897" i="1"/>
  <c r="I897" i="1" s="1"/>
  <c r="F976" i="1"/>
  <c r="I976" i="1" s="1"/>
  <c r="F1014" i="1"/>
  <c r="I1014" i="1" s="1"/>
  <c r="F1136" i="1"/>
  <c r="I1136" i="1" s="1"/>
  <c r="F769" i="1"/>
  <c r="I769" i="1" s="1"/>
  <c r="F1011" i="1"/>
  <c r="I1011" i="1" s="1"/>
  <c r="F1019" i="1"/>
  <c r="I1019" i="1" s="1"/>
  <c r="F427" i="1"/>
  <c r="I427" i="1" s="1"/>
  <c r="F445" i="1"/>
  <c r="I445" i="1" s="1"/>
  <c r="F1038" i="1"/>
  <c r="I1038" i="1" s="1"/>
  <c r="F817" i="1"/>
  <c r="I817" i="1" s="1"/>
  <c r="F926" i="1"/>
  <c r="I926" i="1" s="1"/>
  <c r="F958" i="1"/>
  <c r="I958" i="1" s="1"/>
  <c r="F983" i="1"/>
  <c r="I983" i="1" s="1"/>
  <c r="F1004" i="1"/>
  <c r="I1004" i="1" s="1"/>
  <c r="F1119" i="1"/>
  <c r="I1119" i="1" s="1"/>
  <c r="F787" i="1"/>
  <c r="I787" i="1" s="1"/>
  <c r="F681" i="1"/>
  <c r="I681" i="1" s="1"/>
  <c r="F765" i="1"/>
  <c r="I765" i="1" s="1"/>
  <c r="F785" i="1"/>
  <c r="I785" i="1" s="1"/>
  <c r="F974" i="1"/>
  <c r="I974" i="1" s="1"/>
  <c r="F991" i="1"/>
  <c r="I991" i="1" s="1"/>
  <c r="F1006" i="1"/>
  <c r="I1006" i="1" s="1"/>
  <c r="F1026" i="1"/>
  <c r="I1026" i="1" s="1"/>
  <c r="F1059" i="1"/>
  <c r="I1059" i="1" s="1"/>
  <c r="F1070" i="1"/>
  <c r="I1070" i="1" s="1"/>
  <c r="F987" i="1"/>
  <c r="I987" i="1" s="1"/>
  <c r="F1016" i="1"/>
  <c r="I1016" i="1" s="1"/>
  <c r="F1099" i="1"/>
  <c r="I1099" i="1" s="1"/>
  <c r="F761" i="1"/>
  <c r="I761" i="1" s="1"/>
  <c r="F773" i="1"/>
  <c r="I773" i="1" s="1"/>
  <c r="F950" i="1"/>
  <c r="I950" i="1" s="1"/>
  <c r="F1091" i="1"/>
  <c r="I1091" i="1" s="1"/>
  <c r="F363" i="1"/>
  <c r="I363" i="1" s="1"/>
  <c r="F502" i="1"/>
  <c r="I502" i="1" s="1"/>
  <c r="F615" i="1"/>
  <c r="I615" i="1" s="1"/>
  <c r="F1043" i="1"/>
  <c r="I1043" i="1" s="1"/>
  <c r="F1051" i="1"/>
  <c r="I1051" i="1" s="1"/>
  <c r="F1008" i="1"/>
  <c r="I1008" i="1" s="1"/>
  <c r="F1092" i="1"/>
  <c r="I1092" i="1" s="1"/>
  <c r="F1067" i="1"/>
  <c r="I1067" i="1" s="1"/>
  <c r="F984" i="1"/>
  <c r="I984" i="1" s="1"/>
  <c r="F931" i="1"/>
  <c r="I931" i="1" s="1"/>
  <c r="F654" i="1"/>
  <c r="I654" i="1" s="1"/>
  <c r="F914" i="1"/>
  <c r="I914" i="1" s="1"/>
  <c r="F1104" i="1"/>
  <c r="I1104" i="1" s="1"/>
  <c r="F1047" i="1"/>
  <c r="I1047" i="1" s="1"/>
  <c r="F846" i="1"/>
  <c r="I846" i="1" s="1"/>
  <c r="F1141" i="1"/>
  <c r="I1141" i="1" s="1"/>
  <c r="F1127" i="1"/>
  <c r="I1127" i="1" s="1"/>
  <c r="F1018" i="1"/>
  <c r="I1018" i="1" s="1"/>
  <c r="F938" i="1"/>
  <c r="I938" i="1" s="1"/>
  <c r="F833" i="1"/>
  <c r="I833" i="1" s="1"/>
  <c r="F638" i="1"/>
  <c r="I638" i="1" s="1"/>
  <c r="F1027" i="1"/>
  <c r="I1027" i="1" s="1"/>
  <c r="F731" i="1"/>
  <c r="I731" i="1" s="1"/>
  <c r="F1082" i="1"/>
  <c r="I1082" i="1" s="1"/>
  <c r="F1103" i="1"/>
  <c r="I1103" i="1" s="1"/>
  <c r="F1052" i="1"/>
  <c r="I1052" i="1" s="1"/>
  <c r="F1122" i="1"/>
  <c r="I1122" i="1" s="1"/>
  <c r="F1002" i="1"/>
  <c r="I1002" i="1" s="1"/>
  <c r="F797" i="1"/>
  <c r="I797" i="1" s="1"/>
  <c r="F275" i="1"/>
  <c r="I275" i="1" s="1"/>
  <c r="F1021" i="1"/>
  <c r="I1021" i="1" s="1"/>
  <c r="F342" i="1"/>
  <c r="I342" i="1" s="1"/>
  <c r="F749" i="1"/>
  <c r="I749" i="1" s="1"/>
  <c r="F689" i="1"/>
  <c r="I689" i="1" s="1"/>
  <c r="F1112" i="1"/>
  <c r="I1112" i="1" s="1"/>
  <c r="F882" i="1"/>
  <c r="I882" i="1" s="1"/>
  <c r="F1143" i="1"/>
  <c r="I1143" i="1" s="1"/>
  <c r="F813" i="1"/>
  <c r="I813" i="1" s="1"/>
  <c r="F1118" i="1"/>
  <c r="I1118" i="1" s="1"/>
  <c r="F1060" i="1"/>
  <c r="I1060" i="1" s="1"/>
  <c r="F966" i="1"/>
  <c r="I966" i="1" s="1"/>
  <c r="F877" i="1"/>
  <c r="I877" i="1" s="1"/>
  <c r="F642" i="1"/>
  <c r="I642" i="1" s="1"/>
  <c r="F729" i="1"/>
  <c r="I729" i="1" s="1"/>
  <c r="F1075" i="1"/>
  <c r="I1075" i="1" s="1"/>
  <c r="F721" i="1"/>
  <c r="I721" i="1" s="1"/>
  <c r="F1117" i="1"/>
  <c r="I1117" i="1" s="1"/>
  <c r="F1025" i="1"/>
  <c r="I1025" i="1" s="1"/>
  <c r="F620" i="1"/>
  <c r="I620" i="1" s="1"/>
  <c r="F981" i="1"/>
  <c r="I981" i="1" s="1"/>
  <c r="F906" i="1"/>
  <c r="I906" i="1" s="1"/>
  <c r="F811" i="1"/>
  <c r="I811" i="1" s="1"/>
  <c r="F1003" i="1"/>
  <c r="I1003" i="1" s="1"/>
  <c r="F715" i="1"/>
  <c r="I715" i="1" s="1"/>
  <c r="F1123" i="1"/>
  <c r="I1123" i="1" s="1"/>
  <c r="F1046" i="1"/>
  <c r="I1046" i="1" s="1"/>
  <c r="F993" i="1"/>
  <c r="I993" i="1" s="1"/>
  <c r="F898" i="1"/>
  <c r="I898" i="1" s="1"/>
  <c r="F697" i="1"/>
  <c r="I697" i="1" s="1"/>
  <c r="F549" i="1"/>
  <c r="I549" i="1" s="1"/>
  <c r="F910" i="1"/>
  <c r="I910" i="1" s="1"/>
  <c r="F918" i="1"/>
  <c r="I918" i="1" s="1"/>
  <c r="F745" i="1"/>
  <c r="I745" i="1" s="1"/>
  <c r="F628" i="1"/>
  <c r="I628" i="1" s="1"/>
  <c r="F874" i="1"/>
  <c r="I874" i="1" s="1"/>
  <c r="F663" i="1"/>
  <c r="I663" i="1" s="1"/>
  <c r="F577" i="1"/>
  <c r="I577" i="1" s="1"/>
  <c r="F435" i="1"/>
  <c r="I435" i="1" s="1"/>
  <c r="F996" i="1"/>
  <c r="I996" i="1" s="1"/>
  <c r="F917" i="1"/>
  <c r="I917" i="1" s="1"/>
  <c r="F945" i="1"/>
  <c r="I945" i="1" s="1"/>
  <c r="F925" i="1"/>
  <c r="I925" i="1" s="1"/>
  <c r="F1107" i="1"/>
  <c r="I1107" i="1" s="1"/>
  <c r="F957" i="1"/>
  <c r="I957" i="1" s="1"/>
  <c r="F566" i="1"/>
  <c r="I566" i="1" s="1"/>
  <c r="F1015" i="1"/>
  <c r="I1015" i="1" s="1"/>
  <c r="F675" i="1"/>
  <c r="I675" i="1" s="1"/>
  <c r="F998" i="1"/>
  <c r="I998" i="1" s="1"/>
  <c r="F1095" i="1"/>
  <c r="I1095" i="1" s="1"/>
  <c r="F979" i="1"/>
  <c r="I979" i="1" s="1"/>
  <c r="F543" i="1"/>
  <c r="I543" i="1" s="1"/>
  <c r="F1030" i="1"/>
  <c r="I1030" i="1" s="1"/>
  <c r="F972" i="1"/>
  <c r="I972" i="1" s="1"/>
  <c r="F885" i="1"/>
  <c r="I885" i="1" s="1"/>
  <c r="F795" i="1"/>
  <c r="I795" i="1" s="1"/>
  <c r="F532" i="1"/>
  <c r="I532" i="1" s="1"/>
  <c r="F498" i="1"/>
  <c r="I498" i="1" s="1"/>
  <c r="F1110" i="1"/>
  <c r="I1110" i="1" s="1"/>
  <c r="F1068" i="1"/>
  <c r="I1068" i="1" s="1"/>
  <c r="F902" i="1"/>
  <c r="I902" i="1" s="1"/>
  <c r="F572" i="1"/>
  <c r="I572" i="1" s="1"/>
  <c r="F431" i="1"/>
  <c r="I431" i="1" s="1"/>
  <c r="F592" i="1"/>
  <c r="I592" i="1" s="1"/>
  <c r="F309" i="1"/>
  <c r="I309" i="1" s="1"/>
  <c r="F1045" i="1"/>
  <c r="I1045" i="1" s="1"/>
  <c r="F653" i="1"/>
  <c r="I653" i="1" s="1"/>
  <c r="F1058" i="1"/>
  <c r="I1058" i="1" s="1"/>
  <c r="F1039" i="1"/>
  <c r="I1039" i="1" s="1"/>
  <c r="F909" i="1"/>
  <c r="I909" i="1" s="1"/>
  <c r="F986" i="1"/>
  <c r="I986" i="1" s="1"/>
  <c r="F905" i="1"/>
  <c r="I905" i="1" s="1"/>
  <c r="F699" i="1"/>
  <c r="I699" i="1" s="1"/>
  <c r="F556" i="1"/>
  <c r="I556" i="1" s="1"/>
  <c r="F1098" i="1"/>
  <c r="I1098" i="1" s="1"/>
  <c r="F935" i="1"/>
  <c r="I935" i="1" s="1"/>
  <c r="F670" i="1"/>
  <c r="I670" i="1" s="1"/>
  <c r="F1083" i="1"/>
  <c r="I1083" i="1" s="1"/>
  <c r="F968" i="1"/>
  <c r="I968" i="1" s="1"/>
  <c r="F1089" i="1"/>
  <c r="I1089" i="1" s="1"/>
  <c r="F878" i="1"/>
  <c r="I878" i="1" s="1"/>
  <c r="F865" i="1"/>
  <c r="I865" i="1" s="1"/>
  <c r="F819" i="1"/>
  <c r="I819" i="1" s="1"/>
  <c r="F1057" i="1"/>
  <c r="I1057" i="1" s="1"/>
  <c r="F755" i="1"/>
  <c r="I755" i="1" s="1"/>
  <c r="F838" i="1"/>
  <c r="I838" i="1" s="1"/>
  <c r="F669" i="1"/>
  <c r="I669" i="1" s="1"/>
  <c r="F1094" i="1"/>
  <c r="I1094" i="1" s="1"/>
  <c r="F779" i="1"/>
  <c r="I779" i="1" s="1"/>
  <c r="F611" i="1"/>
  <c r="I611" i="1" s="1"/>
  <c r="F641" i="1"/>
  <c r="I641" i="1" s="1"/>
  <c r="F403" i="1"/>
  <c r="I403" i="1" s="1"/>
  <c r="F1053" i="1"/>
  <c r="I1053" i="1" s="1"/>
  <c r="F994" i="1"/>
  <c r="I994" i="1" s="1"/>
  <c r="F830" i="1"/>
  <c r="I830" i="1" s="1"/>
  <c r="F713" i="1"/>
  <c r="I713" i="1" s="1"/>
  <c r="F590" i="1"/>
  <c r="I590" i="1" s="1"/>
  <c r="F801" i="1"/>
  <c r="I801" i="1" s="1"/>
  <c r="F316" i="1"/>
  <c r="I316" i="1" s="1"/>
  <c r="F930" i="1"/>
  <c r="I930" i="1" s="1"/>
  <c r="F1100" i="1"/>
  <c r="I1100" i="1" s="1"/>
  <c r="F995" i="1"/>
  <c r="I995" i="1" s="1"/>
  <c r="F861" i="1"/>
  <c r="I861" i="1" s="1"/>
  <c r="F923" i="1"/>
  <c r="I923" i="1" s="1"/>
  <c r="F651" i="1"/>
  <c r="I651" i="1" s="1"/>
  <c r="F1072" i="1"/>
  <c r="I1072" i="1" s="1"/>
  <c r="F834" i="1"/>
  <c r="I834" i="1" s="1"/>
  <c r="F934" i="1"/>
  <c r="I934" i="1" s="1"/>
  <c r="F805" i="1"/>
  <c r="I805" i="1" s="1"/>
  <c r="F1084" i="1"/>
  <c r="I1084" i="1" s="1"/>
  <c r="F1063" i="1"/>
  <c r="I1063" i="1" s="1"/>
  <c r="F739" i="1"/>
  <c r="I739" i="1" s="1"/>
  <c r="F946" i="1"/>
  <c r="I946" i="1" s="1"/>
  <c r="F825" i="1"/>
  <c r="I825" i="1" s="1"/>
  <c r="F709" i="1"/>
  <c r="I709" i="1" s="1"/>
  <c r="F551" i="1"/>
  <c r="I551" i="1" s="1"/>
  <c r="F492" i="1"/>
  <c r="I492" i="1" s="1"/>
  <c r="F845" i="1"/>
  <c r="I845" i="1" s="1"/>
  <c r="F524" i="1"/>
  <c r="I524" i="1" s="1"/>
  <c r="F1028" i="1"/>
  <c r="I1028" i="1" s="1"/>
  <c r="F1079" i="1"/>
  <c r="I1079" i="1" s="1"/>
  <c r="F1050" i="1"/>
  <c r="I1050" i="1" s="1"/>
  <c r="F999" i="1"/>
  <c r="I999" i="1" s="1"/>
  <c r="F870" i="1"/>
  <c r="I870" i="1" s="1"/>
  <c r="F1031" i="1"/>
  <c r="I1031" i="1" s="1"/>
  <c r="F693" i="1"/>
  <c r="I693" i="1" s="1"/>
  <c r="F1035" i="1"/>
  <c r="I1035" i="1" s="1"/>
  <c r="F1115" i="1"/>
  <c r="I1115" i="1" s="1"/>
  <c r="F893" i="1"/>
  <c r="I893" i="1" s="1"/>
  <c r="F571" i="1"/>
  <c r="I571" i="1" s="1"/>
  <c r="F1034" i="1"/>
  <c r="I1034" i="1" s="1"/>
  <c r="F842" i="1"/>
  <c r="I842" i="1" s="1"/>
  <c r="F307" i="1"/>
  <c r="I307" i="1" s="1"/>
  <c r="F866" i="1"/>
  <c r="I866" i="1" s="1"/>
  <c r="F683" i="1"/>
  <c r="I683" i="1" s="1"/>
  <c r="F717" i="1"/>
  <c r="I717" i="1" s="1"/>
  <c r="F803" i="1"/>
  <c r="I803" i="1" s="1"/>
  <c r="F691" i="1"/>
  <c r="I691" i="1" s="1"/>
  <c r="F625" i="1"/>
  <c r="I625" i="1" s="1"/>
  <c r="F378" i="1"/>
  <c r="I378" i="1" s="1"/>
  <c r="F539" i="1"/>
  <c r="I539" i="1" s="1"/>
  <c r="F705" i="1"/>
  <c r="I705" i="1" s="1"/>
  <c r="F634" i="1"/>
  <c r="I634" i="1" s="1"/>
  <c r="F518" i="1"/>
  <c r="I518" i="1" s="1"/>
  <c r="F271" i="1"/>
  <c r="I271" i="1" s="1"/>
  <c r="F552" i="1"/>
  <c r="I552" i="1" s="1"/>
  <c r="F305" i="1"/>
  <c r="I305" i="1" s="1"/>
  <c r="F626" i="1"/>
  <c r="I626" i="1" s="1"/>
  <c r="F560" i="1"/>
  <c r="I560" i="1" s="1"/>
  <c r="F500" i="1"/>
  <c r="I500" i="1" s="1"/>
  <c r="F397" i="1"/>
  <c r="I397" i="1" s="1"/>
  <c r="F619" i="1"/>
  <c r="I619" i="1" s="1"/>
  <c r="F559" i="1"/>
  <c r="I559" i="1" s="1"/>
  <c r="F515" i="1"/>
  <c r="I515" i="1" s="1"/>
  <c r="F288" i="1"/>
  <c r="I288" i="1" s="1"/>
  <c r="F451" i="1"/>
  <c r="I451" i="1" s="1"/>
  <c r="F505" i="1"/>
  <c r="I505" i="1" s="1"/>
  <c r="F1007" i="1"/>
  <c r="I1007" i="1" s="1"/>
  <c r="F1131" i="1"/>
  <c r="I1131" i="1" s="1"/>
  <c r="F1109" i="1"/>
  <c r="I1109" i="1" s="1"/>
  <c r="F1023" i="1"/>
  <c r="I1023" i="1" s="1"/>
  <c r="F1020" i="1"/>
  <c r="I1020" i="1" s="1"/>
  <c r="F531" i="1"/>
  <c r="I531" i="1" s="1"/>
  <c r="F391" i="1"/>
  <c r="I391" i="1" s="1"/>
  <c r="F1102" i="1"/>
  <c r="I1102" i="1" s="1"/>
  <c r="F953" i="1"/>
  <c r="I953" i="1" s="1"/>
  <c r="F542" i="1"/>
  <c r="I542" i="1" s="1"/>
  <c r="F601" i="1"/>
  <c r="I601" i="1" s="1"/>
  <c r="F989" i="1"/>
  <c r="I989" i="1" s="1"/>
  <c r="F858" i="1"/>
  <c r="I858" i="1" s="1"/>
  <c r="F468" i="1"/>
  <c r="I468" i="1" s="1"/>
  <c r="F598" i="1"/>
  <c r="I598" i="1" s="1"/>
  <c r="F550" i="1"/>
  <c r="I550" i="1" s="1"/>
  <c r="F446" i="1"/>
  <c r="I446" i="1" s="1"/>
  <c r="F368" i="1"/>
  <c r="I368" i="1" s="1"/>
  <c r="F599" i="1"/>
  <c r="I599" i="1" s="1"/>
  <c r="F367" i="1"/>
  <c r="I367" i="1" s="1"/>
  <c r="F630" i="1"/>
  <c r="I630" i="1" s="1"/>
  <c r="F580" i="1"/>
  <c r="I580" i="1" s="1"/>
  <c r="F415" i="1"/>
  <c r="I415" i="1" s="1"/>
  <c r="F494" i="1"/>
  <c r="I494" i="1" s="1"/>
  <c r="F596" i="1"/>
  <c r="I596" i="1" s="1"/>
  <c r="F553" i="1"/>
  <c r="I553" i="1" s="1"/>
  <c r="F473" i="1"/>
  <c r="I473" i="1" s="1"/>
  <c r="F370" i="1"/>
  <c r="I370" i="1" s="1"/>
  <c r="F677" i="1"/>
  <c r="I677" i="1" s="1"/>
  <c r="F358" i="1"/>
  <c r="I358" i="1" s="1"/>
  <c r="F298" i="1"/>
  <c r="I298" i="1" s="1"/>
  <c r="F267" i="1"/>
  <c r="I267" i="1" s="1"/>
  <c r="F826" i="1"/>
  <c r="I826" i="1" s="1"/>
  <c r="F1036" i="1"/>
  <c r="I1036" i="1" s="1"/>
  <c r="F955" i="1"/>
  <c r="I955" i="1" s="1"/>
  <c r="F1132" i="1"/>
  <c r="I1132" i="1" s="1"/>
  <c r="F723" i="1"/>
  <c r="I723" i="1" s="1"/>
  <c r="F894" i="1"/>
  <c r="I894" i="1" s="1"/>
  <c r="F547" i="1"/>
  <c r="I547" i="1" s="1"/>
  <c r="F1124" i="1"/>
  <c r="I1124" i="1" s="1"/>
  <c r="F970" i="1"/>
  <c r="I970" i="1" s="1"/>
  <c r="F557" i="1"/>
  <c r="I557" i="1" s="1"/>
  <c r="F988" i="1"/>
  <c r="I988" i="1" s="1"/>
  <c r="F644" i="1"/>
  <c r="I644" i="1" s="1"/>
  <c r="F827" i="1"/>
  <c r="I827" i="1" s="1"/>
  <c r="F563" i="1"/>
  <c r="I563" i="1" s="1"/>
  <c r="F419" i="1"/>
  <c r="I419" i="1" s="1"/>
  <c r="F582" i="1"/>
  <c r="I582" i="1" s="1"/>
  <c r="F406" i="1"/>
  <c r="I406" i="1" s="1"/>
  <c r="F320" i="1"/>
  <c r="I320" i="1" s="1"/>
  <c r="F499" i="1"/>
  <c r="I499" i="1" s="1"/>
  <c r="F282" i="1"/>
  <c r="I282" i="1" s="1"/>
  <c r="F545" i="1"/>
  <c r="I545" i="1" s="1"/>
  <c r="F609" i="1"/>
  <c r="I609" i="1" s="1"/>
  <c r="F306" i="1"/>
  <c r="I306" i="1" s="1"/>
  <c r="F541" i="1"/>
  <c r="I541" i="1" s="1"/>
  <c r="F488" i="1"/>
  <c r="I488" i="1" s="1"/>
  <c r="F394" i="1"/>
  <c r="I394" i="1" s="1"/>
  <c r="F429" i="1"/>
  <c r="I429" i="1" s="1"/>
  <c r="F340" i="1"/>
  <c r="I340" i="1" s="1"/>
  <c r="F581" i="1"/>
  <c r="I581" i="1" s="1"/>
  <c r="F1078" i="1"/>
  <c r="I1078" i="1" s="1"/>
  <c r="F668" i="1"/>
  <c r="I668" i="1" s="1"/>
  <c r="F933" i="1"/>
  <c r="I933" i="1" s="1"/>
  <c r="F660" i="1"/>
  <c r="I660" i="1" s="1"/>
  <c r="F695" i="1"/>
  <c r="I695" i="1" s="1"/>
  <c r="F757" i="1"/>
  <c r="I757" i="1" s="1"/>
  <c r="F312" i="1"/>
  <c r="I312" i="1" s="1"/>
  <c r="F890" i="1"/>
  <c r="I890" i="1" s="1"/>
  <c r="F821" i="1"/>
  <c r="I821" i="1" s="1"/>
  <c r="F385" i="1"/>
  <c r="I385" i="1" s="1"/>
  <c r="F662" i="1"/>
  <c r="I662" i="1" s="1"/>
  <c r="F522" i="1"/>
  <c r="I522" i="1" s="1"/>
  <c r="F639" i="1"/>
  <c r="I639" i="1" s="1"/>
  <c r="F561" i="1"/>
  <c r="I561" i="1" s="1"/>
  <c r="F460" i="1"/>
  <c r="I460" i="1" s="1"/>
  <c r="F650" i="1"/>
  <c r="I650" i="1" s="1"/>
  <c r="F534" i="1"/>
  <c r="I534" i="1" s="1"/>
  <c r="F330" i="1"/>
  <c r="I330" i="1" s="1"/>
  <c r="F470" i="1"/>
  <c r="I470" i="1" s="1"/>
  <c r="F640" i="1"/>
  <c r="I640" i="1" s="1"/>
  <c r="F526" i="1"/>
  <c r="I526" i="1" s="1"/>
  <c r="F438" i="1"/>
  <c r="I438" i="1" s="1"/>
  <c r="F353" i="1"/>
  <c r="I353" i="1" s="1"/>
  <c r="F586" i="1"/>
  <c r="I586" i="1" s="1"/>
  <c r="F525" i="1"/>
  <c r="I525" i="1" s="1"/>
  <c r="F483" i="1"/>
  <c r="I483" i="1" s="1"/>
  <c r="F1040" i="1"/>
  <c r="I1040" i="1" s="1"/>
  <c r="F1073" i="1"/>
  <c r="I1073" i="1" s="1"/>
  <c r="F621" i="1"/>
  <c r="I621" i="1" s="1"/>
  <c r="F1139" i="1"/>
  <c r="I1139" i="1" s="1"/>
  <c r="F853" i="1"/>
  <c r="I853" i="1" s="1"/>
  <c r="F1087" i="1"/>
  <c r="I1087" i="1" s="1"/>
  <c r="F1013" i="1"/>
  <c r="I1013" i="1" s="1"/>
  <c r="F753" i="1"/>
  <c r="I753" i="1" s="1"/>
  <c r="F942" i="1"/>
  <c r="I942" i="1" s="1"/>
  <c r="F659" i="1"/>
  <c r="I659" i="1" s="1"/>
  <c r="F1121" i="1"/>
  <c r="I1121" i="1" s="1"/>
  <c r="F886" i="1"/>
  <c r="I886" i="1" s="1"/>
  <c r="F516" i="1"/>
  <c r="I516" i="1" s="1"/>
  <c r="F336" i="1"/>
  <c r="I336" i="1" s="1"/>
  <c r="F520" i="1"/>
  <c r="I520" i="1" s="1"/>
  <c r="F854" i="1"/>
  <c r="I854" i="1" s="1"/>
  <c r="F636" i="1"/>
  <c r="I636" i="1" s="1"/>
  <c r="F595" i="1"/>
  <c r="I595" i="1" s="1"/>
  <c r="F430" i="1"/>
  <c r="I430" i="1" s="1"/>
  <c r="F313" i="1"/>
  <c r="I313" i="1" s="1"/>
  <c r="F389" i="1"/>
  <c r="I389" i="1" s="1"/>
  <c r="F265" i="1"/>
  <c r="I265" i="1" s="1"/>
  <c r="F441" i="1"/>
  <c r="I441" i="1" s="1"/>
  <c r="F594" i="1"/>
  <c r="I594" i="1" s="1"/>
  <c r="F280" i="1"/>
  <c r="I280" i="1" s="1"/>
  <c r="F624" i="1"/>
  <c r="I624" i="1" s="1"/>
  <c r="F521" i="1"/>
  <c r="I521" i="1" s="1"/>
  <c r="F477" i="1"/>
  <c r="I477" i="1" s="1"/>
  <c r="F317" i="1"/>
  <c r="I317" i="1" s="1"/>
  <c r="F777" i="1"/>
  <c r="I777" i="1" s="1"/>
  <c r="F567" i="1"/>
  <c r="I567" i="1" s="1"/>
  <c r="F1114" i="1"/>
  <c r="I1114" i="1" s="1"/>
  <c r="F413" i="1"/>
  <c r="I413" i="1" s="1"/>
  <c r="F463" i="1"/>
  <c r="I463" i="1" s="1"/>
  <c r="F318" i="1"/>
  <c r="I318" i="1" s="1"/>
  <c r="F315" i="1"/>
  <c r="I315" i="1" s="1"/>
  <c r="F399" i="1"/>
  <c r="I399" i="1" s="1"/>
  <c r="F264" i="1"/>
  <c r="I264" i="1" s="1"/>
  <c r="F268" i="1"/>
  <c r="I268" i="1" s="1"/>
  <c r="F349" i="1"/>
  <c r="I349" i="1" s="1"/>
  <c r="F274" i="1"/>
  <c r="I274" i="1" s="1"/>
  <c r="F459" i="1"/>
  <c r="I459" i="1" s="1"/>
  <c r="F345" i="1"/>
  <c r="I345" i="1" s="1"/>
  <c r="F789" i="1"/>
  <c r="I789" i="1" s="1"/>
  <c r="F608" i="1"/>
  <c r="I608" i="1" s="1"/>
  <c r="F725" i="1"/>
  <c r="I725" i="1" s="1"/>
  <c r="F781" i="1"/>
  <c r="I781" i="1" s="1"/>
  <c r="F665" i="1"/>
  <c r="I665" i="1" s="1"/>
  <c r="F546" i="1"/>
  <c r="I546" i="1" s="1"/>
  <c r="F850" i="1"/>
  <c r="I850" i="1" s="1"/>
  <c r="F707" i="1"/>
  <c r="I707" i="1" s="1"/>
  <c r="F558" i="1"/>
  <c r="I558" i="1" s="1"/>
  <c r="F537" i="1"/>
  <c r="I537" i="1" s="1"/>
  <c r="F269" i="1"/>
  <c r="I269" i="1" s="1"/>
  <c r="F509" i="1"/>
  <c r="I509" i="1" s="1"/>
  <c r="F503" i="1"/>
  <c r="I503" i="1" s="1"/>
  <c r="F457" i="1"/>
  <c r="I457" i="1" s="1"/>
  <c r="F374" i="1"/>
  <c r="I374" i="1" s="1"/>
  <c r="F466" i="1"/>
  <c r="I466" i="1" s="1"/>
  <c r="F337" i="1"/>
  <c r="I337" i="1" s="1"/>
  <c r="F344" i="1"/>
  <c r="I344" i="1" s="1"/>
  <c r="F1077" i="1"/>
  <c r="I1077" i="1" s="1"/>
  <c r="F941" i="1"/>
  <c r="I941" i="1" s="1"/>
  <c r="F1055" i="1"/>
  <c r="I1055" i="1" s="1"/>
  <c r="F437" i="1"/>
  <c r="I437" i="1" s="1"/>
  <c r="F643" i="1"/>
  <c r="I643" i="1" s="1"/>
  <c r="F529" i="1"/>
  <c r="I529" i="1" s="1"/>
  <c r="F605" i="1"/>
  <c r="I605" i="1" s="1"/>
  <c r="F676" i="1"/>
  <c r="I676" i="1" s="1"/>
  <c r="F300" i="1"/>
  <c r="I300" i="1" s="1"/>
  <c r="F604" i="1"/>
  <c r="I604" i="1" s="1"/>
  <c r="F622" i="1"/>
  <c r="I622" i="1" s="1"/>
  <c r="F450" i="1"/>
  <c r="I450" i="1" s="1"/>
  <c r="F364" i="1"/>
  <c r="I364" i="1" s="1"/>
  <c r="F346" i="1"/>
  <c r="I346" i="1" s="1"/>
  <c r="F332" i="1"/>
  <c r="I332" i="1" s="1"/>
  <c r="F334" i="1"/>
  <c r="I334" i="1" s="1"/>
  <c r="F862" i="1"/>
  <c r="I862" i="1" s="1"/>
  <c r="F262" i="1"/>
  <c r="I262" i="1" s="1"/>
  <c r="F272" i="1"/>
  <c r="I272" i="1" s="1"/>
  <c r="F664" i="1"/>
  <c r="I664" i="1" s="1"/>
  <c r="F610" i="1"/>
  <c r="I610" i="1" s="1"/>
  <c r="F602" i="1"/>
  <c r="I602" i="1" s="1"/>
  <c r="F489" i="1"/>
  <c r="I489" i="1" s="1"/>
  <c r="F341" i="1"/>
  <c r="I341" i="1" s="1"/>
  <c r="F361" i="1"/>
  <c r="I361" i="1" s="1"/>
  <c r="F304" i="1"/>
  <c r="I304" i="1" s="1"/>
  <c r="F261" i="1"/>
  <c r="I261" i="1" s="1"/>
  <c r="F471" i="1"/>
  <c r="I471" i="1" s="1"/>
  <c r="F331" i="1"/>
  <c r="I331" i="1" s="1"/>
  <c r="F329" i="1"/>
  <c r="I329" i="1" s="1"/>
  <c r="F302" i="1"/>
  <c r="I302" i="1" s="1"/>
  <c r="F366" i="1"/>
  <c r="I366" i="1" s="1"/>
  <c r="F701" i="1"/>
  <c r="I701" i="1" s="1"/>
  <c r="F657" i="1"/>
  <c r="I657" i="1" s="1"/>
  <c r="F570" i="1"/>
  <c r="I570" i="1" s="1"/>
  <c r="F589" i="1"/>
  <c r="I589" i="1" s="1"/>
  <c r="F548" i="1"/>
  <c r="I548" i="1" s="1"/>
  <c r="F310" i="1"/>
  <c r="I310" i="1" s="1"/>
  <c r="F347" i="1"/>
  <c r="I347" i="1" s="1"/>
  <c r="F584" i="1"/>
  <c r="I584" i="1" s="1"/>
  <c r="F428" i="1"/>
  <c r="I428" i="1" s="1"/>
  <c r="F328" i="1"/>
  <c r="I328" i="1" s="1"/>
  <c r="F486" i="1"/>
  <c r="I486" i="1" s="1"/>
  <c r="F284" i="1"/>
  <c r="I284" i="1" s="1"/>
  <c r="F365" i="1"/>
  <c r="I365" i="1" s="1"/>
  <c r="F439" i="1"/>
  <c r="I439" i="1" s="1"/>
  <c r="F1088" i="1"/>
  <c r="I1088" i="1" s="1"/>
  <c r="F982" i="1"/>
  <c r="I982" i="1" s="1"/>
  <c r="F631" i="1"/>
  <c r="I631" i="1" s="1"/>
  <c r="F536" i="1"/>
  <c r="I536" i="1" s="1"/>
  <c r="F544" i="1"/>
  <c r="I544" i="1" s="1"/>
  <c r="F383" i="1"/>
  <c r="I383" i="1" s="1"/>
  <c r="F290" i="1"/>
  <c r="I290" i="1" s="1"/>
  <c r="F569" i="1"/>
  <c r="I569" i="1" s="1"/>
  <c r="F482" i="1"/>
  <c r="I482" i="1" s="1"/>
  <c r="F475" i="1"/>
  <c r="I475" i="1" s="1"/>
  <c r="F308" i="1"/>
  <c r="I308" i="1" s="1"/>
  <c r="F355" i="1"/>
  <c r="I355" i="1" s="1"/>
  <c r="F319" i="1"/>
  <c r="I319" i="1" s="1"/>
  <c r="F278" i="1"/>
  <c r="I278" i="1" s="1"/>
  <c r="F356" i="1"/>
  <c r="I356" i="1" s="1"/>
  <c r="F333" i="1"/>
  <c r="I333" i="1" s="1"/>
  <c r="F286" i="1"/>
  <c r="I286" i="1" s="1"/>
  <c r="F351" i="1"/>
  <c r="I351" i="1" s="1"/>
  <c r="F962" i="1"/>
  <c r="I962" i="1" s="1"/>
  <c r="F678" i="1"/>
  <c r="I678" i="1" s="1"/>
  <c r="F447" i="1"/>
  <c r="I447" i="1" s="1"/>
  <c r="F326" i="1"/>
  <c r="I326" i="1" s="1"/>
  <c r="F585" i="1"/>
  <c r="I585" i="1" s="1"/>
  <c r="F270" i="1"/>
  <c r="I270" i="1" s="1"/>
  <c r="F311" i="1"/>
  <c r="I311" i="1" s="1"/>
  <c r="F266" i="1"/>
  <c r="I266" i="1" s="1"/>
  <c r="F469" i="1"/>
  <c r="I469" i="1" s="1"/>
  <c r="F263" i="1"/>
  <c r="I263" i="1" s="1"/>
  <c r="F588" i="1"/>
  <c r="I588" i="1" s="1"/>
  <c r="F487" i="1"/>
  <c r="I487" i="1" s="1"/>
  <c r="F453" i="1"/>
  <c r="I453" i="1" s="1"/>
  <c r="F1111" i="1"/>
  <c r="I1111" i="1" s="1"/>
  <c r="F1134" i="1"/>
  <c r="I1134" i="1" s="1"/>
  <c r="F538" i="1"/>
  <c r="I538" i="1" s="1"/>
  <c r="F462" i="1"/>
  <c r="I462" i="1" s="1"/>
  <c r="F747" i="1"/>
  <c r="I747" i="1" s="1"/>
  <c r="F591" i="1"/>
  <c r="I591" i="1" s="1"/>
  <c r="F479" i="1"/>
  <c r="I479" i="1" s="1"/>
  <c r="F401" i="1"/>
  <c r="I401" i="1" s="1"/>
  <c r="F352" i="1"/>
  <c r="I352" i="1" s="1"/>
  <c r="F456" i="1"/>
  <c r="I456" i="1" s="1"/>
  <c r="F600" i="1"/>
  <c r="I600" i="1" s="1"/>
  <c r="F369" i="1"/>
  <c r="I369" i="1" s="1"/>
  <c r="F294" i="1"/>
  <c r="I294" i="1" s="1"/>
  <c r="F327" i="1"/>
  <c r="I327" i="1" s="1"/>
  <c r="F338" i="1"/>
  <c r="I338" i="1" s="1"/>
  <c r="F359" i="1"/>
  <c r="I359" i="1" s="1"/>
  <c r="F1130" i="1"/>
  <c r="I1130" i="1" s="1"/>
  <c r="F698" i="1"/>
  <c r="I698" i="1" s="1"/>
  <c r="F959" i="1"/>
  <c r="I959" i="1" s="1"/>
  <c r="F1140" i="1"/>
  <c r="I1140" i="1" s="1"/>
  <c r="F1041" i="1"/>
  <c r="I1041" i="1" s="1"/>
  <c r="F971" i="1"/>
  <c r="I971" i="1" s="1"/>
  <c r="F810" i="1"/>
  <c r="I810" i="1" s="1"/>
  <c r="F928" i="1"/>
  <c r="I928" i="1" s="1"/>
  <c r="F875" i="1"/>
  <c r="I875" i="1" s="1"/>
  <c r="F990" i="1"/>
  <c r="I990" i="1" s="1"/>
  <c r="F899" i="1"/>
  <c r="I899" i="1" s="1"/>
  <c r="F849" i="1"/>
  <c r="I849" i="1" s="1"/>
  <c r="F635" i="1"/>
  <c r="I635" i="1" s="1"/>
  <c r="F348" i="1"/>
  <c r="I348" i="1" s="1"/>
  <c r="F889" i="1"/>
  <c r="I889" i="1" s="1"/>
  <c r="F978" i="1"/>
  <c r="I978" i="1" s="1"/>
  <c r="F1080" i="1"/>
  <c r="I1080" i="1" s="1"/>
  <c r="F726" i="1"/>
  <c r="I726" i="1" s="1"/>
  <c r="F661" i="1"/>
  <c r="I661" i="1" s="1"/>
  <c r="F1085" i="1"/>
  <c r="I1085" i="1" s="1"/>
  <c r="F1032" i="1"/>
  <c r="I1032" i="1" s="1"/>
  <c r="F841" i="1"/>
  <c r="I841" i="1" s="1"/>
  <c r="F629" i="1"/>
  <c r="I629" i="1" s="1"/>
  <c r="F1097" i="1"/>
  <c r="I1097" i="1" s="1"/>
  <c r="F961" i="1"/>
  <c r="I961" i="1" s="1"/>
  <c r="F907" i="1"/>
  <c r="I907" i="1" s="1"/>
  <c r="F843" i="1"/>
  <c r="I843" i="1" s="1"/>
  <c r="F618" i="1"/>
  <c r="I618" i="1" s="1"/>
  <c r="F754" i="1"/>
  <c r="I754" i="1" s="1"/>
  <c r="F1133" i="1"/>
  <c r="I1133" i="1" s="1"/>
  <c r="F1142" i="1"/>
  <c r="I1142" i="1" s="1"/>
  <c r="F1074" i="1"/>
  <c r="I1074" i="1" s="1"/>
  <c r="F1108" i="1"/>
  <c r="I1108" i="1" s="1"/>
  <c r="F1137" i="1"/>
  <c r="I1137" i="1" s="1"/>
  <c r="F798" i="1"/>
  <c r="I798" i="1" s="1"/>
  <c r="F1106" i="1"/>
  <c r="I1106" i="1" s="1"/>
  <c r="F837" i="1"/>
  <c r="I837" i="1" s="1"/>
  <c r="F1010" i="1"/>
  <c r="I1010" i="1" s="1"/>
  <c r="F762" i="1"/>
  <c r="I762" i="1" s="1"/>
  <c r="F790" i="1"/>
  <c r="I790" i="1" s="1"/>
  <c r="F1120" i="1"/>
  <c r="I1120" i="1" s="1"/>
  <c r="F944" i="1"/>
  <c r="I944" i="1" s="1"/>
  <c r="F770" i="1"/>
  <c r="I770" i="1" s="1"/>
  <c r="F746" i="1"/>
  <c r="I746" i="1" s="1"/>
  <c r="F1001" i="1"/>
  <c r="I1001" i="1" s="1"/>
  <c r="F1022" i="1"/>
  <c r="I1022" i="1" s="1"/>
  <c r="F867" i="1"/>
  <c r="I867" i="1" s="1"/>
  <c r="F806" i="1"/>
  <c r="I806" i="1" s="1"/>
  <c r="F530" i="1"/>
  <c r="I530" i="1" s="1"/>
  <c r="F1125" i="1"/>
  <c r="I1125" i="1" s="1"/>
  <c r="F1000" i="1"/>
  <c r="I1000" i="1" s="1"/>
  <c r="F1105" i="1"/>
  <c r="I1105" i="1" s="1"/>
  <c r="F985" i="1"/>
  <c r="I985" i="1" s="1"/>
  <c r="F1076" i="1"/>
  <c r="I1076" i="1" s="1"/>
  <c r="F1054" i="1"/>
  <c r="I1054" i="1" s="1"/>
  <c r="F891" i="1"/>
  <c r="I891" i="1" s="1"/>
  <c r="F623" i="1"/>
  <c r="I623" i="1" s="1"/>
  <c r="F1069" i="1"/>
  <c r="I1069" i="1" s="1"/>
  <c r="F937" i="1"/>
  <c r="I937" i="1" s="1"/>
  <c r="F883" i="1"/>
  <c r="I883" i="1" s="1"/>
  <c r="F730" i="1"/>
  <c r="I730" i="1" s="1"/>
  <c r="F956" i="1"/>
  <c r="I956" i="1" s="1"/>
  <c r="F948" i="1"/>
  <c r="I948" i="1" s="1"/>
  <c r="F718" i="1"/>
  <c r="I718" i="1" s="1"/>
  <c r="F913" i="1"/>
  <c r="I913" i="1" s="1"/>
  <c r="F323" i="1"/>
  <c r="I323" i="1" s="1"/>
  <c r="F1061" i="1"/>
  <c r="I1061" i="1" s="1"/>
  <c r="F1138" i="1"/>
  <c r="I1138" i="1" s="1"/>
  <c r="F973" i="1"/>
  <c r="I973" i="1" s="1"/>
  <c r="F1064" i="1"/>
  <c r="I1064" i="1" s="1"/>
  <c r="F1093" i="1"/>
  <c r="I1093" i="1" s="1"/>
  <c r="F980" i="1"/>
  <c r="I980" i="1" s="1"/>
  <c r="F738" i="1"/>
  <c r="I738" i="1" s="1"/>
  <c r="F1096" i="1"/>
  <c r="I1096" i="1" s="1"/>
  <c r="F859" i="1"/>
  <c r="I859" i="1" s="1"/>
  <c r="F1062" i="1"/>
  <c r="I1062" i="1" s="1"/>
  <c r="F911" i="1"/>
  <c r="I911" i="1" s="1"/>
  <c r="F702" i="1"/>
  <c r="I702" i="1" s="1"/>
  <c r="F706" i="1"/>
  <c r="I706" i="1" s="1"/>
  <c r="F710" i="1"/>
  <c r="I710" i="1" s="1"/>
  <c r="F507" i="1"/>
  <c r="I507" i="1" s="1"/>
  <c r="F1065" i="1"/>
  <c r="I1065" i="1" s="1"/>
  <c r="F1116" i="1"/>
  <c r="I1116" i="1" s="1"/>
  <c r="F1037" i="1"/>
  <c r="I1037" i="1" s="1"/>
  <c r="F831" i="1"/>
  <c r="I831" i="1" s="1"/>
  <c r="F1017" i="1"/>
  <c r="I1017" i="1" s="1"/>
  <c r="F648" i="1"/>
  <c r="I648" i="1" s="1"/>
  <c r="F969" i="1"/>
  <c r="I969" i="1" s="1"/>
  <c r="F919" i="1"/>
  <c r="I919" i="1" s="1"/>
  <c r="F565" i="1"/>
  <c r="I565" i="1" s="1"/>
  <c r="F936" i="1"/>
  <c r="I936" i="1" s="1"/>
  <c r="F814" i="1"/>
  <c r="I814" i="1" s="1"/>
  <c r="F692" i="1"/>
  <c r="I692" i="1" s="1"/>
  <c r="F820" i="1"/>
  <c r="I820" i="1" s="1"/>
  <c r="F756" i="1"/>
  <c r="I756" i="1" s="1"/>
  <c r="F649" i="1"/>
  <c r="I649" i="1" s="1"/>
  <c r="F573" i="1"/>
  <c r="I573" i="1" s="1"/>
  <c r="F682" i="1"/>
  <c r="I682" i="1" s="1"/>
  <c r="F920" i="1"/>
  <c r="I920" i="1" s="1"/>
  <c r="F888" i="1"/>
  <c r="I888" i="1" s="1"/>
  <c r="F856" i="1"/>
  <c r="I856" i="1" s="1"/>
  <c r="F807" i="1"/>
  <c r="I807" i="1" s="1"/>
  <c r="F784" i="1"/>
  <c r="I784" i="1" s="1"/>
  <c r="F743" i="1"/>
  <c r="I743" i="1" s="1"/>
  <c r="F720" i="1"/>
  <c r="I720" i="1" s="1"/>
  <c r="F607" i="1"/>
  <c r="I607" i="1" s="1"/>
  <c r="F478" i="1"/>
  <c r="I478" i="1" s="1"/>
  <c r="F396" i="1"/>
  <c r="I396" i="1" s="1"/>
  <c r="F467" i="1"/>
  <c r="I467" i="1" s="1"/>
  <c r="F420" i="1"/>
  <c r="I420" i="1" s="1"/>
  <c r="F409" i="1"/>
  <c r="I409" i="1" s="1"/>
  <c r="F506" i="1"/>
  <c r="I506" i="1" s="1"/>
  <c r="F400" i="1"/>
  <c r="I400" i="1" s="1"/>
  <c r="F301" i="1"/>
  <c r="I301" i="1" s="1"/>
  <c r="F422" i="1"/>
  <c r="I422" i="1" s="1"/>
  <c r="F395" i="1"/>
  <c r="I395" i="1" s="1"/>
  <c r="F276" i="1"/>
  <c r="I276" i="1" s="1"/>
  <c r="F587" i="1"/>
  <c r="I587" i="1" s="1"/>
  <c r="F912" i="1"/>
  <c r="I912" i="1" s="1"/>
  <c r="F381" i="1"/>
  <c r="I381" i="1" s="1"/>
  <c r="F416" i="1"/>
  <c r="I416" i="1" s="1"/>
  <c r="F816" i="1"/>
  <c r="I816" i="1" s="1"/>
  <c r="F497" i="1"/>
  <c r="I497" i="1" s="1"/>
  <c r="F472" i="1"/>
  <c r="I472" i="1" s="1"/>
  <c r="F388" i="1"/>
  <c r="I388" i="1" s="1"/>
  <c r="F1044" i="1"/>
  <c r="I1044" i="1" s="1"/>
  <c r="F1113" i="1"/>
  <c r="I1113" i="1" s="1"/>
  <c r="F895" i="1"/>
  <c r="I895" i="1" s="1"/>
  <c r="F975" i="1"/>
  <c r="I975" i="1" s="1"/>
  <c r="F954" i="1"/>
  <c r="I954" i="1" s="1"/>
  <c r="F887" i="1"/>
  <c r="I887" i="1" s="1"/>
  <c r="F694" i="1"/>
  <c r="I694" i="1" s="1"/>
  <c r="F977" i="1"/>
  <c r="I977" i="1" s="1"/>
  <c r="F455" i="1"/>
  <c r="I455" i="1" s="1"/>
  <c r="F940" i="1"/>
  <c r="I940" i="1" s="1"/>
  <c r="F796" i="1"/>
  <c r="I796" i="1" s="1"/>
  <c r="F732" i="1"/>
  <c r="I732" i="1" s="1"/>
  <c r="F614" i="1"/>
  <c r="I614" i="1" s="1"/>
  <c r="F932" i="1"/>
  <c r="I932" i="1" s="1"/>
  <c r="F655" i="1"/>
  <c r="I655" i="1" s="1"/>
  <c r="F667" i="1"/>
  <c r="I667" i="1" s="1"/>
  <c r="F916" i="1"/>
  <c r="I916" i="1" s="1"/>
  <c r="F884" i="1"/>
  <c r="I884" i="1" s="1"/>
  <c r="F852" i="1"/>
  <c r="I852" i="1" s="1"/>
  <c r="F824" i="1"/>
  <c r="I824" i="1" s="1"/>
  <c r="F783" i="1"/>
  <c r="I783" i="1" s="1"/>
  <c r="F760" i="1"/>
  <c r="I760" i="1" s="1"/>
  <c r="F719" i="1"/>
  <c r="I719" i="1" s="1"/>
  <c r="F686" i="1"/>
  <c r="I686" i="1" s="1"/>
  <c r="F519" i="1"/>
  <c r="I519" i="1" s="1"/>
  <c r="F425" i="1"/>
  <c r="I425" i="1" s="1"/>
  <c r="F523" i="1"/>
  <c r="I523" i="1" s="1"/>
  <c r="F616" i="1"/>
  <c r="I616" i="1" s="1"/>
  <c r="F535" i="1"/>
  <c r="I535" i="1" s="1"/>
  <c r="F454" i="1"/>
  <c r="I454" i="1" s="1"/>
  <c r="F481" i="1"/>
  <c r="I481" i="1" s="1"/>
  <c r="F343" i="1"/>
  <c r="I343" i="1" s="1"/>
  <c r="F390" i="1"/>
  <c r="I390" i="1" s="1"/>
  <c r="F408" i="1"/>
  <c r="I408" i="1" s="1"/>
  <c r="F297" i="1"/>
  <c r="I297" i="1" s="1"/>
  <c r="F293" i="1"/>
  <c r="I293" i="1" s="1"/>
  <c r="F666" i="1"/>
  <c r="I666" i="1" s="1"/>
  <c r="F510" i="1"/>
  <c r="I510" i="1" s="1"/>
  <c r="F449" i="1"/>
  <c r="I449" i="1" s="1"/>
  <c r="F828" i="1"/>
  <c r="I828" i="1" s="1"/>
  <c r="F752" i="1"/>
  <c r="I752" i="1" s="1"/>
  <c r="F508" i="1"/>
  <c r="I508" i="1" s="1"/>
  <c r="F404" i="1"/>
  <c r="I404" i="1" s="1"/>
  <c r="F289" i="1"/>
  <c r="I289" i="1" s="1"/>
  <c r="F869" i="1"/>
  <c r="I869" i="1" s="1"/>
  <c r="F1049" i="1"/>
  <c r="I1049" i="1" s="1"/>
  <c r="F1005" i="1"/>
  <c r="I1005" i="1" s="1"/>
  <c r="F1009" i="1"/>
  <c r="I1009" i="1" s="1"/>
  <c r="F1129" i="1"/>
  <c r="I1129" i="1" s="1"/>
  <c r="F951" i="1"/>
  <c r="I951" i="1" s="1"/>
  <c r="F943" i="1"/>
  <c r="I943" i="1" s="1"/>
  <c r="F684" i="1"/>
  <c r="I684" i="1" s="1"/>
  <c r="F687" i="1"/>
  <c r="I687" i="1" s="1"/>
  <c r="F812" i="1"/>
  <c r="I812" i="1" s="1"/>
  <c r="F748" i="1"/>
  <c r="I748" i="1" s="1"/>
  <c r="F501" i="1"/>
  <c r="I501" i="1" s="1"/>
  <c r="F688" i="1"/>
  <c r="I688" i="1" s="1"/>
  <c r="F617" i="1"/>
  <c r="I617" i="1" s="1"/>
  <c r="F908" i="1"/>
  <c r="I908" i="1" s="1"/>
  <c r="F876" i="1"/>
  <c r="I876" i="1" s="1"/>
  <c r="F844" i="1"/>
  <c r="I844" i="1" s="1"/>
  <c r="F799" i="1"/>
  <c r="I799" i="1" s="1"/>
  <c r="F776" i="1"/>
  <c r="I776" i="1" s="1"/>
  <c r="F735" i="1"/>
  <c r="I735" i="1" s="1"/>
  <c r="F712" i="1"/>
  <c r="I712" i="1" s="1"/>
  <c r="F673" i="1"/>
  <c r="I673" i="1" s="1"/>
  <c r="F490" i="1"/>
  <c r="I490" i="1" s="1"/>
  <c r="F504" i="1"/>
  <c r="I504" i="1" s="1"/>
  <c r="F452" i="1"/>
  <c r="I452" i="1" s="1"/>
  <c r="F474" i="1"/>
  <c r="I474" i="1" s="1"/>
  <c r="F292" i="1"/>
  <c r="I292" i="1" s="1"/>
  <c r="F496" i="1"/>
  <c r="I496" i="1" s="1"/>
  <c r="F417" i="1"/>
  <c r="I417" i="1" s="1"/>
  <c r="F380" i="1"/>
  <c r="I380" i="1" s="1"/>
  <c r="F392" i="1"/>
  <c r="I392" i="1" s="1"/>
  <c r="F322" i="1"/>
  <c r="I322" i="1" s="1"/>
  <c r="F291" i="1"/>
  <c r="I291" i="1" s="1"/>
  <c r="F295" i="1"/>
  <c r="I295" i="1" s="1"/>
  <c r="F960" i="1"/>
  <c r="I960" i="1" s="1"/>
  <c r="F857" i="1"/>
  <c r="I857" i="1" s="1"/>
  <c r="F1048" i="1"/>
  <c r="I1048" i="1" s="1"/>
  <c r="F851" i="1"/>
  <c r="I851" i="1" s="1"/>
  <c r="F758" i="1"/>
  <c r="I758" i="1" s="1"/>
  <c r="F855" i="1"/>
  <c r="I855" i="1" s="1"/>
  <c r="F576" i="1"/>
  <c r="I576" i="1" s="1"/>
  <c r="F742" i="1"/>
  <c r="I742" i="1" s="1"/>
  <c r="F871" i="1"/>
  <c r="I871" i="1" s="1"/>
  <c r="F750" i="1"/>
  <c r="I750" i="1" s="1"/>
  <c r="F788" i="1"/>
  <c r="I788" i="1" s="1"/>
  <c r="F724" i="1"/>
  <c r="I724" i="1" s="1"/>
  <c r="F822" i="1"/>
  <c r="I822" i="1" s="1"/>
  <c r="F493" i="1"/>
  <c r="I493" i="1" s="1"/>
  <c r="F372" i="1"/>
  <c r="I372" i="1" s="1"/>
  <c r="F279" i="1"/>
  <c r="I279" i="1" s="1"/>
  <c r="F339" i="1"/>
  <c r="I339" i="1" s="1"/>
  <c r="F1012" i="1"/>
  <c r="I1012" i="1" s="1"/>
  <c r="F967" i="1"/>
  <c r="I967" i="1" s="1"/>
  <c r="F802" i="1"/>
  <c r="I802" i="1" s="1"/>
  <c r="F901" i="1"/>
  <c r="I901" i="1" s="1"/>
  <c r="F921" i="1"/>
  <c r="I921" i="1" s="1"/>
  <c r="F1128" i="1"/>
  <c r="I1128" i="1" s="1"/>
  <c r="F690" i="1"/>
  <c r="I690" i="1" s="1"/>
  <c r="F927" i="1"/>
  <c r="I927" i="1" s="1"/>
  <c r="F656" i="1"/>
  <c r="I656" i="1" s="1"/>
  <c r="F818" i="1"/>
  <c r="I818" i="1" s="1"/>
  <c r="F1024" i="1"/>
  <c r="I1024" i="1" s="1"/>
  <c r="F924" i="1"/>
  <c r="I924" i="1" s="1"/>
  <c r="F645" i="1"/>
  <c r="I645" i="1" s="1"/>
  <c r="F997" i="1"/>
  <c r="I997" i="1" s="1"/>
  <c r="F939" i="1"/>
  <c r="I939" i="1" s="1"/>
  <c r="F443" i="1"/>
  <c r="I443" i="1" s="1"/>
  <c r="F952" i="1"/>
  <c r="I952" i="1" s="1"/>
  <c r="F764" i="1"/>
  <c r="I764" i="1" s="1"/>
  <c r="F700" i="1"/>
  <c r="I700" i="1" s="1"/>
  <c r="F407" i="1"/>
  <c r="I407" i="1" s="1"/>
  <c r="F680" i="1"/>
  <c r="I680" i="1" s="1"/>
  <c r="F411" i="1"/>
  <c r="I411" i="1" s="1"/>
  <c r="F674" i="1"/>
  <c r="I674" i="1" s="1"/>
  <c r="F613" i="1"/>
  <c r="I613" i="1" s="1"/>
  <c r="F900" i="1"/>
  <c r="I900" i="1" s="1"/>
  <c r="F868" i="1"/>
  <c r="I868" i="1" s="1"/>
  <c r="F836" i="1"/>
  <c r="I836" i="1" s="1"/>
  <c r="F815" i="1"/>
  <c r="I815" i="1" s="1"/>
  <c r="F792" i="1"/>
  <c r="I792" i="1" s="1"/>
  <c r="F751" i="1"/>
  <c r="I751" i="1" s="1"/>
  <c r="F728" i="1"/>
  <c r="I728" i="1" s="1"/>
  <c r="F593" i="1"/>
  <c r="I593" i="1" s="1"/>
  <c r="F632" i="1"/>
  <c r="I632" i="1" s="1"/>
  <c r="F440" i="1"/>
  <c r="I440" i="1" s="1"/>
  <c r="F433" i="1"/>
  <c r="I433" i="1" s="1"/>
  <c r="F514" i="1"/>
  <c r="I514" i="1" s="1"/>
  <c r="F375" i="1"/>
  <c r="I375" i="1" s="1"/>
  <c r="F412" i="1"/>
  <c r="I412" i="1" s="1"/>
  <c r="F423" i="1"/>
  <c r="I423" i="1" s="1"/>
  <c r="F464" i="1"/>
  <c r="I464" i="1" s="1"/>
  <c r="F405" i="1"/>
  <c r="I405" i="1" s="1"/>
  <c r="F376" i="1"/>
  <c r="I376" i="1" s="1"/>
  <c r="F277" i="1"/>
  <c r="I277" i="1" s="1"/>
  <c r="F281" i="1"/>
  <c r="I281" i="1" s="1"/>
  <c r="F963" i="1"/>
  <c r="I963" i="1" s="1"/>
  <c r="F1042" i="1"/>
  <c r="I1042" i="1" s="1"/>
  <c r="F766" i="1"/>
  <c r="I766" i="1" s="1"/>
  <c r="F633" i="1"/>
  <c r="I633" i="1" s="1"/>
  <c r="F949" i="1"/>
  <c r="I949" i="1" s="1"/>
  <c r="F778" i="1"/>
  <c r="I778" i="1" s="1"/>
  <c r="F786" i="1"/>
  <c r="I786" i="1" s="1"/>
  <c r="F772" i="1"/>
  <c r="I772" i="1" s="1"/>
  <c r="F583" i="1"/>
  <c r="I583" i="1" s="1"/>
  <c r="F880" i="1"/>
  <c r="I880" i="1" s="1"/>
  <c r="F800" i="1"/>
  <c r="I800" i="1" s="1"/>
  <c r="F736" i="1"/>
  <c r="I736" i="1" s="1"/>
  <c r="F458" i="1"/>
  <c r="I458" i="1" s="1"/>
  <c r="F387" i="1"/>
  <c r="I387" i="1" s="1"/>
  <c r="F379" i="1"/>
  <c r="I379" i="1" s="1"/>
  <c r="F393" i="1"/>
  <c r="I393" i="1" s="1"/>
  <c r="F904" i="1"/>
  <c r="I904" i="1" s="1"/>
  <c r="F775" i="1"/>
  <c r="I775" i="1" s="1"/>
  <c r="F421" i="1"/>
  <c r="I421" i="1" s="1"/>
  <c r="F484" i="1"/>
  <c r="I484" i="1" s="1"/>
  <c r="F384" i="1"/>
  <c r="I384" i="1" s="1"/>
  <c r="F424" i="1"/>
  <c r="I424" i="1" s="1"/>
  <c r="F321" i="1"/>
  <c r="I321" i="1" s="1"/>
  <c r="F299" i="1"/>
  <c r="I299" i="1" s="1"/>
  <c r="F863" i="1"/>
  <c r="I863" i="1" s="1"/>
  <c r="F1126" i="1"/>
  <c r="I1126" i="1" s="1"/>
  <c r="F965" i="1"/>
  <c r="I965" i="1" s="1"/>
  <c r="F774" i="1"/>
  <c r="I774" i="1" s="1"/>
  <c r="F929" i="1"/>
  <c r="I929" i="1" s="1"/>
  <c r="F782" i="1"/>
  <c r="I782" i="1" s="1"/>
  <c r="F922" i="1"/>
  <c r="I922" i="1" s="1"/>
  <c r="F835" i="1"/>
  <c r="I835" i="1" s="1"/>
  <c r="F839" i="1"/>
  <c r="I839" i="1" s="1"/>
  <c r="F722" i="1"/>
  <c r="I722" i="1" s="1"/>
  <c r="F804" i="1"/>
  <c r="I804" i="1" s="1"/>
  <c r="F740" i="1"/>
  <c r="I740" i="1" s="1"/>
  <c r="F646" i="1"/>
  <c r="I646" i="1" s="1"/>
  <c r="F696" i="1"/>
  <c r="I696" i="1" s="1"/>
  <c r="F575" i="1"/>
  <c r="I575" i="1" s="1"/>
  <c r="F896" i="1"/>
  <c r="I896" i="1" s="1"/>
  <c r="F864" i="1"/>
  <c r="I864" i="1" s="1"/>
  <c r="F832" i="1"/>
  <c r="I832" i="1" s="1"/>
  <c r="F791" i="1"/>
  <c r="I791" i="1" s="1"/>
  <c r="F768" i="1"/>
  <c r="I768" i="1" s="1"/>
  <c r="F727" i="1"/>
  <c r="I727" i="1" s="1"/>
  <c r="F704" i="1"/>
  <c r="I704" i="1" s="1"/>
  <c r="F465" i="1"/>
  <c r="I465" i="1" s="1"/>
  <c r="F579" i="1"/>
  <c r="I579" i="1" s="1"/>
  <c r="F442" i="1"/>
  <c r="I442" i="1" s="1"/>
  <c r="F371" i="1"/>
  <c r="I371" i="1" s="1"/>
  <c r="F448" i="1"/>
  <c r="I448" i="1" s="1"/>
  <c r="F287" i="1"/>
  <c r="I287" i="1" s="1"/>
  <c r="F285" i="1"/>
  <c r="I285" i="1" s="1"/>
  <c r="F1056" i="1"/>
  <c r="I1056" i="1" s="1"/>
  <c r="F873" i="1"/>
  <c r="I873" i="1" s="1"/>
  <c r="F647" i="1"/>
  <c r="I647" i="1" s="1"/>
  <c r="F1029" i="1"/>
  <c r="I1029" i="1" s="1"/>
  <c r="F848" i="1"/>
  <c r="I848" i="1" s="1"/>
  <c r="F759" i="1"/>
  <c r="I759" i="1" s="1"/>
  <c r="F555" i="1"/>
  <c r="I555" i="1" s="1"/>
  <c r="F476" i="1"/>
  <c r="I476" i="1" s="1"/>
  <c r="F398" i="1"/>
  <c r="I398" i="1" s="1"/>
  <c r="F283" i="1"/>
  <c r="I283" i="1" s="1"/>
  <c r="F325" i="1"/>
  <c r="I325" i="1" s="1"/>
  <c r="F840" i="1"/>
  <c r="I840" i="1" s="1"/>
  <c r="F377" i="1"/>
  <c r="I377" i="1" s="1"/>
  <c r="F1066" i="1"/>
  <c r="I1066" i="1" s="1"/>
  <c r="F847" i="1"/>
  <c r="I847" i="1" s="1"/>
  <c r="F734" i="1"/>
  <c r="I734" i="1" s="1"/>
  <c r="F1101" i="1"/>
  <c r="I1101" i="1" s="1"/>
  <c r="F879" i="1"/>
  <c r="I879" i="1" s="1"/>
  <c r="F915" i="1"/>
  <c r="I915" i="1" s="1"/>
  <c r="F1033" i="1"/>
  <c r="I1033" i="1" s="1"/>
  <c r="F992" i="1"/>
  <c r="I992" i="1" s="1"/>
  <c r="F714" i="1"/>
  <c r="I714" i="1" s="1"/>
  <c r="F603" i="1"/>
  <c r="I603" i="1" s="1"/>
  <c r="F780" i="1"/>
  <c r="I780" i="1" s="1"/>
  <c r="F716" i="1"/>
  <c r="I716" i="1" s="1"/>
  <c r="F672" i="1"/>
  <c r="I672" i="1" s="1"/>
  <c r="F658" i="1"/>
  <c r="I658" i="1" s="1"/>
  <c r="F892" i="1"/>
  <c r="I892" i="1" s="1"/>
  <c r="F860" i="1"/>
  <c r="I860" i="1" s="1"/>
  <c r="F829" i="1"/>
  <c r="I829" i="1" s="1"/>
  <c r="F808" i="1"/>
  <c r="I808" i="1" s="1"/>
  <c r="F767" i="1"/>
  <c r="I767" i="1" s="1"/>
  <c r="F744" i="1"/>
  <c r="I744" i="1" s="1"/>
  <c r="F703" i="1"/>
  <c r="I703" i="1" s="1"/>
  <c r="F527" i="1"/>
  <c r="I527" i="1" s="1"/>
  <c r="F533" i="1"/>
  <c r="I533" i="1" s="1"/>
  <c r="F373" i="1"/>
  <c r="I373" i="1" s="1"/>
  <c r="F402" i="1"/>
  <c r="I402" i="1" s="1"/>
  <c r="F512" i="1"/>
  <c r="I512" i="1" s="1"/>
  <c r="F436" i="1"/>
  <c r="I436" i="1" s="1"/>
  <c r="F386" i="1"/>
  <c r="I386" i="1" s="1"/>
  <c r="F362" i="1"/>
  <c r="I362" i="1" s="1"/>
  <c r="F335" i="1"/>
  <c r="I335" i="1" s="1"/>
  <c r="F432" i="1"/>
  <c r="I432" i="1" s="1"/>
  <c r="F296" i="1"/>
  <c r="I296" i="1" s="1"/>
  <c r="F303" i="1"/>
  <c r="I303" i="1" s="1"/>
  <c r="F273" i="1"/>
  <c r="I273" i="1" s="1"/>
  <c r="F1081" i="1"/>
  <c r="I1081" i="1" s="1"/>
  <c r="F1086" i="1"/>
  <c r="I1086" i="1" s="1"/>
  <c r="F794" i="1"/>
  <c r="I794" i="1" s="1"/>
  <c r="F881" i="1"/>
  <c r="I881" i="1" s="1"/>
  <c r="F903" i="1"/>
  <c r="I903" i="1" s="1"/>
  <c r="F708" i="1"/>
  <c r="I708" i="1" s="1"/>
  <c r="F823" i="1"/>
  <c r="I823" i="1" s="1"/>
  <c r="F426" i="1"/>
  <c r="I426" i="1" s="1"/>
  <c r="F418" i="1"/>
  <c r="I418" i="1" s="1"/>
  <c r="F872" i="1"/>
  <c r="I872" i="1" s="1"/>
  <c r="F711" i="1"/>
  <c r="I711" i="1" s="1"/>
  <c r="F485" i="1"/>
  <c r="I485" i="1" s="1"/>
  <c r="F480" i="1"/>
  <c r="I480" i="1" s="1"/>
  <c r="G260" i="1"/>
  <c r="G252" i="1"/>
  <c r="G244" i="1"/>
  <c r="G236" i="1"/>
  <c r="G228" i="1"/>
  <c r="G220" i="1"/>
  <c r="G212" i="1"/>
  <c r="G204" i="1"/>
  <c r="G196" i="1"/>
  <c r="G188" i="1"/>
  <c r="G180" i="1"/>
  <c r="G172" i="1"/>
  <c r="G164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5" i="1"/>
  <c r="J15" i="1" s="1"/>
  <c r="G257" i="1"/>
  <c r="G241" i="1"/>
  <c r="G225" i="1"/>
  <c r="G201" i="1"/>
  <c r="G185" i="1"/>
  <c r="G169" i="1"/>
  <c r="G145" i="1"/>
  <c r="G129" i="1"/>
  <c r="G113" i="1"/>
  <c r="G97" i="1"/>
  <c r="G81" i="1"/>
  <c r="G73" i="1"/>
  <c r="G249" i="1"/>
  <c r="G233" i="1"/>
  <c r="G217" i="1"/>
  <c r="G209" i="1"/>
  <c r="G193" i="1"/>
  <c r="G177" i="1"/>
  <c r="G161" i="1"/>
  <c r="G153" i="1"/>
  <c r="G137" i="1"/>
  <c r="G121" i="1"/>
  <c r="G105" i="1"/>
  <c r="G89" i="1"/>
  <c r="G65" i="1"/>
  <c r="G57" i="1"/>
  <c r="G49" i="1"/>
  <c r="G41" i="1"/>
  <c r="G33" i="1"/>
  <c r="G25" i="1"/>
  <c r="G238" i="1"/>
  <c r="G222" i="1"/>
  <c r="G158" i="1"/>
  <c r="G150" i="1"/>
  <c r="G126" i="1"/>
  <c r="G118" i="1"/>
  <c r="G110" i="1"/>
  <c r="G94" i="1"/>
  <c r="G86" i="1"/>
  <c r="G78" i="1"/>
  <c r="G70" i="1"/>
  <c r="G62" i="1"/>
  <c r="G54" i="1"/>
  <c r="G46" i="1"/>
  <c r="G38" i="1"/>
  <c r="G30" i="1"/>
  <c r="G22" i="1"/>
  <c r="G11" i="1"/>
  <c r="J11" i="1" s="1"/>
  <c r="G259" i="1"/>
  <c r="G251" i="1"/>
  <c r="G243" i="1"/>
  <c r="G235" i="1"/>
  <c r="G227" i="1"/>
  <c r="G219" i="1"/>
  <c r="G211" i="1"/>
  <c r="G203" i="1"/>
  <c r="G195" i="1"/>
  <c r="G187" i="1"/>
  <c r="G179" i="1"/>
  <c r="G171" i="1"/>
  <c r="G163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256" i="1"/>
  <c r="G248" i="1"/>
  <c r="G240" i="1"/>
  <c r="G232" i="1"/>
  <c r="G224" i="1"/>
  <c r="G216" i="1"/>
  <c r="G208" i="1"/>
  <c r="G200" i="1"/>
  <c r="G192" i="1"/>
  <c r="G184" i="1"/>
  <c r="G176" i="1"/>
  <c r="G168" i="1"/>
  <c r="G16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13" i="1"/>
  <c r="J13" i="1" s="1"/>
  <c r="G14" i="1"/>
  <c r="J14" i="1" s="1"/>
  <c r="G198" i="1"/>
  <c r="G190" i="1"/>
  <c r="G182" i="1"/>
  <c r="G174" i="1"/>
  <c r="G166" i="1"/>
  <c r="G245" i="1"/>
  <c r="G229" i="1"/>
  <c r="G213" i="1"/>
  <c r="G205" i="1"/>
  <c r="G189" i="1"/>
  <c r="G173" i="1"/>
  <c r="G157" i="1"/>
  <c r="G133" i="1"/>
  <c r="G117" i="1"/>
  <c r="G101" i="1"/>
  <c r="G85" i="1"/>
  <c r="G69" i="1"/>
  <c r="G45" i="1"/>
  <c r="G258" i="1"/>
  <c r="G250" i="1"/>
  <c r="G234" i="1"/>
  <c r="G226" i="1"/>
  <c r="G218" i="1"/>
  <c r="G194" i="1"/>
  <c r="G170" i="1"/>
  <c r="G138" i="1"/>
  <c r="G98" i="1"/>
  <c r="G17" i="1"/>
  <c r="G254" i="1"/>
  <c r="G246" i="1"/>
  <c r="G230" i="1"/>
  <c r="G214" i="1"/>
  <c r="G206" i="1"/>
  <c r="G142" i="1"/>
  <c r="G134" i="1"/>
  <c r="G102" i="1"/>
  <c r="G253" i="1"/>
  <c r="G237" i="1"/>
  <c r="G221" i="1"/>
  <c r="G197" i="1"/>
  <c r="G181" i="1"/>
  <c r="G165" i="1"/>
  <c r="G149" i="1"/>
  <c r="G141" i="1"/>
  <c r="G125" i="1"/>
  <c r="G109" i="1"/>
  <c r="G93" i="1"/>
  <c r="G77" i="1"/>
  <c r="G61" i="1"/>
  <c r="G53" i="1"/>
  <c r="G37" i="1"/>
  <c r="G29" i="1"/>
  <c r="G21" i="1"/>
  <c r="G10" i="1"/>
  <c r="J10" i="1" s="1"/>
  <c r="G242" i="1"/>
  <c r="G210" i="1"/>
  <c r="G202" i="1"/>
  <c r="G186" i="1"/>
  <c r="G178" i="1"/>
  <c r="G162" i="1"/>
  <c r="G154" i="1"/>
  <c r="G146" i="1"/>
  <c r="G130" i="1"/>
  <c r="G122" i="1"/>
  <c r="G114" i="1"/>
  <c r="G106" i="1"/>
  <c r="G90" i="1"/>
  <c r="G82" i="1"/>
  <c r="G74" i="1"/>
  <c r="G66" i="1"/>
  <c r="G58" i="1"/>
  <c r="G50" i="1"/>
  <c r="G42" i="1"/>
  <c r="G34" i="1"/>
  <c r="G26" i="1"/>
  <c r="G18" i="1"/>
  <c r="G255" i="1"/>
  <c r="G247" i="1"/>
  <c r="G239" i="1"/>
  <c r="G231" i="1"/>
  <c r="G223" i="1"/>
  <c r="G215" i="1"/>
  <c r="G207" i="1"/>
  <c r="G199" i="1"/>
  <c r="G191" i="1"/>
  <c r="G183" i="1"/>
  <c r="G175" i="1"/>
  <c r="G167" i="1"/>
  <c r="G159" i="1"/>
  <c r="G151" i="1"/>
  <c r="G143" i="1"/>
  <c r="G135" i="1"/>
  <c r="G127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2" i="1"/>
  <c r="J12" i="1" s="1"/>
  <c r="R3" i="1"/>
  <c r="S3" i="1"/>
  <c r="E195" i="1"/>
  <c r="H195" i="1" s="1"/>
  <c r="E224" i="1"/>
  <c r="H224" i="1" s="1"/>
  <c r="E232" i="1"/>
  <c r="H232" i="1" s="1"/>
  <c r="E208" i="1"/>
  <c r="H208" i="1" s="1"/>
  <c r="E192" i="1"/>
  <c r="H192" i="1" s="1"/>
  <c r="E176" i="1"/>
  <c r="H176" i="1" s="1"/>
  <c r="E168" i="1"/>
  <c r="H168" i="1" s="1"/>
  <c r="E160" i="1"/>
  <c r="H160" i="1" s="1"/>
  <c r="E257" i="1"/>
  <c r="H257" i="1" s="1"/>
  <c r="E241" i="1"/>
  <c r="H241" i="1" s="1"/>
  <c r="E209" i="1"/>
  <c r="H209" i="1" s="1"/>
  <c r="E193" i="1"/>
  <c r="H193" i="1" s="1"/>
  <c r="E177" i="1"/>
  <c r="H177" i="1" s="1"/>
  <c r="E161" i="1"/>
  <c r="H161" i="1" s="1"/>
  <c r="E153" i="1"/>
  <c r="H153" i="1" s="1"/>
  <c r="E137" i="1"/>
  <c r="H137" i="1" s="1"/>
  <c r="E105" i="1"/>
  <c r="H105" i="1" s="1"/>
  <c r="E73" i="1"/>
  <c r="H73" i="1" s="1"/>
  <c r="E41" i="1"/>
  <c r="H41" i="1" s="1"/>
  <c r="E249" i="1"/>
  <c r="H249" i="1" s="1"/>
  <c r="E225" i="1"/>
  <c r="H225" i="1" s="1"/>
  <c r="E217" i="1"/>
  <c r="H217" i="1" s="1"/>
  <c r="E253" i="1"/>
  <c r="H253" i="1" s="1"/>
  <c r="E245" i="1"/>
  <c r="H245" i="1" s="1"/>
  <c r="E237" i="1"/>
  <c r="H237" i="1" s="1"/>
  <c r="E229" i="1"/>
  <c r="H229" i="1" s="1"/>
  <c r="E221" i="1"/>
  <c r="H221" i="1" s="1"/>
  <c r="E205" i="1"/>
  <c r="H205" i="1" s="1"/>
  <c r="E189" i="1"/>
  <c r="H189" i="1" s="1"/>
  <c r="E173" i="1"/>
  <c r="H173" i="1" s="1"/>
  <c r="E165" i="1"/>
  <c r="H165" i="1" s="1"/>
  <c r="E157" i="1"/>
  <c r="H157" i="1" s="1"/>
  <c r="E133" i="1"/>
  <c r="H133" i="1" s="1"/>
  <c r="E101" i="1"/>
  <c r="H101" i="1" s="1"/>
  <c r="E69" i="1"/>
  <c r="H69" i="1" s="1"/>
  <c r="E37" i="1"/>
  <c r="H37" i="1" s="1"/>
  <c r="E258" i="1"/>
  <c r="H258" i="1" s="1"/>
  <c r="E234" i="1"/>
  <c r="H234" i="1" s="1"/>
  <c r="E226" i="1"/>
  <c r="H226" i="1" s="1"/>
  <c r="E202" i="1"/>
  <c r="H202" i="1" s="1"/>
  <c r="E186" i="1"/>
  <c r="H186" i="1" s="1"/>
  <c r="E170" i="1"/>
  <c r="H170" i="1" s="1"/>
  <c r="E162" i="1"/>
  <c r="H162" i="1" s="1"/>
  <c r="E255" i="1"/>
  <c r="H255" i="1" s="1"/>
  <c r="E247" i="1"/>
  <c r="H247" i="1" s="1"/>
  <c r="E239" i="1"/>
  <c r="H239" i="1" s="1"/>
  <c r="E231" i="1"/>
  <c r="H231" i="1" s="1"/>
  <c r="E223" i="1"/>
  <c r="H223" i="1" s="1"/>
  <c r="E199" i="1"/>
  <c r="H199" i="1" s="1"/>
  <c r="E183" i="1"/>
  <c r="H183" i="1" s="1"/>
  <c r="E167" i="1"/>
  <c r="H167" i="1" s="1"/>
  <c r="E159" i="1"/>
  <c r="H159" i="1" s="1"/>
  <c r="E119" i="1"/>
  <c r="H119" i="1" s="1"/>
  <c r="E87" i="1"/>
  <c r="H87" i="1" s="1"/>
  <c r="E228" i="1"/>
  <c r="H228" i="1" s="1"/>
  <c r="E220" i="1"/>
  <c r="H220" i="1" s="1"/>
  <c r="E212" i="1"/>
  <c r="H212" i="1" s="1"/>
  <c r="E196" i="1"/>
  <c r="H196" i="1" s="1"/>
  <c r="E180" i="1"/>
  <c r="H180" i="1" s="1"/>
  <c r="E164" i="1"/>
  <c r="H164" i="1" s="1"/>
  <c r="E156" i="1"/>
  <c r="H156" i="1" s="1"/>
  <c r="E254" i="1"/>
  <c r="H254" i="1" s="1"/>
  <c r="E246" i="1"/>
  <c r="H246" i="1" s="1"/>
  <c r="E238" i="1"/>
  <c r="H238" i="1" s="1"/>
  <c r="E10" i="1"/>
  <c r="E259" i="1"/>
  <c r="H259" i="1" s="1"/>
  <c r="E251" i="1"/>
  <c r="H251" i="1" s="1"/>
  <c r="E243" i="1"/>
  <c r="H243" i="1" s="1"/>
  <c r="E235" i="1"/>
  <c r="H235" i="1" s="1"/>
  <c r="E227" i="1"/>
  <c r="H227" i="1" s="1"/>
  <c r="E211" i="1"/>
  <c r="H211" i="1" s="1"/>
  <c r="E179" i="1"/>
  <c r="H179" i="1" s="1"/>
  <c r="E171" i="1"/>
  <c r="H171" i="1" s="1"/>
  <c r="E163" i="1"/>
  <c r="H163" i="1" s="1"/>
  <c r="F253" i="1"/>
  <c r="I253" i="1" s="1"/>
  <c r="F245" i="1"/>
  <c r="I245" i="1" s="1"/>
  <c r="F237" i="1"/>
  <c r="I237" i="1" s="1"/>
  <c r="F229" i="1"/>
  <c r="I229" i="1" s="1"/>
  <c r="F221" i="1"/>
  <c r="I221" i="1" s="1"/>
  <c r="F213" i="1"/>
  <c r="I213" i="1" s="1"/>
  <c r="F205" i="1"/>
  <c r="I205" i="1" s="1"/>
  <c r="F146" i="1"/>
  <c r="I146" i="1" s="1"/>
  <c r="F82" i="1"/>
  <c r="I82" i="1" s="1"/>
  <c r="F42" i="1"/>
  <c r="I42" i="1" s="1"/>
  <c r="F260" i="1"/>
  <c r="I260" i="1" s="1"/>
  <c r="F252" i="1"/>
  <c r="I252" i="1" s="1"/>
  <c r="F244" i="1"/>
  <c r="I244" i="1" s="1"/>
  <c r="F236" i="1"/>
  <c r="I236" i="1" s="1"/>
  <c r="F228" i="1"/>
  <c r="I228" i="1" s="1"/>
  <c r="F220" i="1"/>
  <c r="I220" i="1" s="1"/>
  <c r="F204" i="1"/>
  <c r="I204" i="1" s="1"/>
  <c r="F188" i="1"/>
  <c r="I188" i="1" s="1"/>
  <c r="F180" i="1"/>
  <c r="I180" i="1" s="1"/>
  <c r="F172" i="1"/>
  <c r="I172" i="1" s="1"/>
  <c r="F156" i="1"/>
  <c r="I156" i="1" s="1"/>
  <c r="F148" i="1"/>
  <c r="I148" i="1" s="1"/>
  <c r="F140" i="1"/>
  <c r="I140" i="1" s="1"/>
  <c r="F132" i="1"/>
  <c r="I132" i="1" s="1"/>
  <c r="F124" i="1"/>
  <c r="I124" i="1" s="1"/>
  <c r="F116" i="1"/>
  <c r="I116" i="1" s="1"/>
  <c r="F108" i="1"/>
  <c r="I108" i="1" s="1"/>
  <c r="F100" i="1"/>
  <c r="I100" i="1" s="1"/>
  <c r="F92" i="1"/>
  <c r="I92" i="1" s="1"/>
  <c r="F84" i="1"/>
  <c r="I84" i="1" s="1"/>
  <c r="F76" i="1"/>
  <c r="I76" i="1" s="1"/>
  <c r="F68" i="1"/>
  <c r="I68" i="1" s="1"/>
  <c r="F60" i="1"/>
  <c r="I60" i="1" s="1"/>
  <c r="F52" i="1"/>
  <c r="I52" i="1" s="1"/>
  <c r="F44" i="1"/>
  <c r="I44" i="1" s="1"/>
  <c r="F36" i="1"/>
  <c r="I36" i="1" s="1"/>
  <c r="F28" i="1"/>
  <c r="I28" i="1" s="1"/>
  <c r="F20" i="1"/>
  <c r="I20" i="1" s="1"/>
  <c r="F12" i="1"/>
  <c r="I12" i="1" s="1"/>
  <c r="F214" i="1"/>
  <c r="I214" i="1" s="1"/>
  <c r="F198" i="1"/>
  <c r="I198" i="1" s="1"/>
  <c r="F86" i="1"/>
  <c r="I86" i="1" s="1"/>
  <c r="F54" i="1"/>
  <c r="I54" i="1" s="1"/>
  <c r="F216" i="1"/>
  <c r="I216" i="1" s="1"/>
  <c r="F200" i="1"/>
  <c r="I200" i="1" s="1"/>
  <c r="F184" i="1"/>
  <c r="I184" i="1" s="1"/>
  <c r="F152" i="1"/>
  <c r="I152" i="1" s="1"/>
  <c r="F144" i="1"/>
  <c r="I144" i="1" s="1"/>
  <c r="F136" i="1"/>
  <c r="I136" i="1" s="1"/>
  <c r="F128" i="1"/>
  <c r="I128" i="1" s="1"/>
  <c r="F120" i="1"/>
  <c r="I120" i="1" s="1"/>
  <c r="F112" i="1"/>
  <c r="I112" i="1" s="1"/>
  <c r="F104" i="1"/>
  <c r="I104" i="1" s="1"/>
  <c r="F96" i="1"/>
  <c r="I96" i="1" s="1"/>
  <c r="F88" i="1"/>
  <c r="I88" i="1" s="1"/>
  <c r="F80" i="1"/>
  <c r="I80" i="1" s="1"/>
  <c r="F72" i="1"/>
  <c r="I72" i="1" s="1"/>
  <c r="F64" i="1"/>
  <c r="I64" i="1" s="1"/>
  <c r="F56" i="1"/>
  <c r="I56" i="1" s="1"/>
  <c r="F48" i="1"/>
  <c r="I48" i="1" s="1"/>
  <c r="F40" i="1"/>
  <c r="I40" i="1" s="1"/>
  <c r="F32" i="1"/>
  <c r="I32" i="1" s="1"/>
  <c r="F24" i="1"/>
  <c r="I24" i="1" s="1"/>
  <c r="F16" i="1"/>
  <c r="I16" i="1" s="1"/>
  <c r="F10" i="1"/>
  <c r="F174" i="1"/>
  <c r="I174" i="1" s="1"/>
  <c r="F142" i="1"/>
  <c r="I142" i="1" s="1"/>
  <c r="F19" i="1"/>
  <c r="I19" i="1" s="1"/>
  <c r="F197" i="1"/>
  <c r="I197" i="1" s="1"/>
  <c r="F202" i="1"/>
  <c r="I202" i="1" s="1"/>
  <c r="F230" i="1"/>
  <c r="I230" i="1" s="1"/>
  <c r="F206" i="1"/>
  <c r="I206" i="1" s="1"/>
  <c r="F190" i="1"/>
  <c r="I190" i="1" s="1"/>
  <c r="F158" i="1"/>
  <c r="I158" i="1" s="1"/>
  <c r="F126" i="1"/>
  <c r="I126" i="1" s="1"/>
  <c r="F110" i="1"/>
  <c r="I110" i="1" s="1"/>
  <c r="F22" i="1"/>
  <c r="I22" i="1" s="1"/>
  <c r="F240" i="1"/>
  <c r="I240" i="1" s="1"/>
  <c r="F250" i="1"/>
  <c r="I250" i="1" s="1"/>
  <c r="F242" i="1"/>
  <c r="I242" i="1" s="1"/>
  <c r="F218" i="1"/>
  <c r="I218" i="1" s="1"/>
  <c r="F210" i="1"/>
  <c r="I210" i="1" s="1"/>
  <c r="F194" i="1"/>
  <c r="I194" i="1" s="1"/>
  <c r="F178" i="1"/>
  <c r="I178" i="1" s="1"/>
  <c r="F170" i="1"/>
  <c r="I170" i="1" s="1"/>
  <c r="F154" i="1"/>
  <c r="I154" i="1" s="1"/>
  <c r="F138" i="1"/>
  <c r="I138" i="1" s="1"/>
  <c r="F130" i="1"/>
  <c r="I130" i="1" s="1"/>
  <c r="F122" i="1"/>
  <c r="I122" i="1" s="1"/>
  <c r="F114" i="1"/>
  <c r="I114" i="1" s="1"/>
  <c r="F106" i="1"/>
  <c r="I106" i="1" s="1"/>
  <c r="F98" i="1"/>
  <c r="I98" i="1" s="1"/>
  <c r="F90" i="1"/>
  <c r="I90" i="1" s="1"/>
  <c r="F74" i="1"/>
  <c r="I74" i="1" s="1"/>
  <c r="F66" i="1"/>
  <c r="I66" i="1" s="1"/>
  <c r="F58" i="1"/>
  <c r="I58" i="1" s="1"/>
  <c r="F50" i="1"/>
  <c r="I50" i="1" s="1"/>
  <c r="F34" i="1"/>
  <c r="I34" i="1" s="1"/>
  <c r="F26" i="1"/>
  <c r="I26" i="1" s="1"/>
  <c r="F18" i="1"/>
  <c r="I18" i="1" s="1"/>
  <c r="F166" i="1"/>
  <c r="I166" i="1" s="1"/>
  <c r="F150" i="1"/>
  <c r="I150" i="1" s="1"/>
  <c r="F134" i="1"/>
  <c r="I134" i="1" s="1"/>
  <c r="F102" i="1"/>
  <c r="I102" i="1" s="1"/>
  <c r="F70" i="1"/>
  <c r="I70" i="1" s="1"/>
  <c r="F46" i="1"/>
  <c r="I46" i="1" s="1"/>
  <c r="F38" i="1"/>
  <c r="I38" i="1" s="1"/>
  <c r="F14" i="1"/>
  <c r="I14" i="1" s="1"/>
  <c r="F11" i="1"/>
  <c r="I11" i="1" s="1"/>
  <c r="F256" i="1"/>
  <c r="I256" i="1" s="1"/>
  <c r="F222" i="1"/>
  <c r="I222" i="1" s="1"/>
  <c r="F182" i="1"/>
  <c r="I182" i="1" s="1"/>
  <c r="F118" i="1"/>
  <c r="I118" i="1" s="1"/>
  <c r="F94" i="1"/>
  <c r="I94" i="1" s="1"/>
  <c r="F78" i="1"/>
  <c r="I78" i="1" s="1"/>
  <c r="F62" i="1"/>
  <c r="I62" i="1" s="1"/>
  <c r="F30" i="1"/>
  <c r="I30" i="1" s="1"/>
  <c r="F181" i="1"/>
  <c r="I181" i="1" s="1"/>
  <c r="F149" i="1"/>
  <c r="I149" i="1" s="1"/>
  <c r="F141" i="1"/>
  <c r="I141" i="1" s="1"/>
  <c r="F125" i="1"/>
  <c r="I125" i="1" s="1"/>
  <c r="F117" i="1"/>
  <c r="I117" i="1" s="1"/>
  <c r="F109" i="1"/>
  <c r="I109" i="1" s="1"/>
  <c r="F93" i="1"/>
  <c r="I93" i="1" s="1"/>
  <c r="F85" i="1"/>
  <c r="I85" i="1" s="1"/>
  <c r="F77" i="1"/>
  <c r="I77" i="1" s="1"/>
  <c r="F61" i="1"/>
  <c r="I61" i="1" s="1"/>
  <c r="F53" i="1"/>
  <c r="I53" i="1" s="1"/>
  <c r="F45" i="1"/>
  <c r="I45" i="1" s="1"/>
  <c r="F29" i="1"/>
  <c r="I29" i="1" s="1"/>
  <c r="F21" i="1"/>
  <c r="I21" i="1" s="1"/>
  <c r="F13" i="1"/>
  <c r="I13" i="1" s="1"/>
  <c r="F258" i="1"/>
  <c r="I258" i="1" s="1"/>
  <c r="F215" i="1"/>
  <c r="I215" i="1" s="1"/>
  <c r="F207" i="1"/>
  <c r="I207" i="1" s="1"/>
  <c r="F191" i="1"/>
  <c r="I191" i="1" s="1"/>
  <c r="F175" i="1"/>
  <c r="I175" i="1" s="1"/>
  <c r="F151" i="1"/>
  <c r="I151" i="1" s="1"/>
  <c r="F143" i="1"/>
  <c r="I143" i="1" s="1"/>
  <c r="F135" i="1"/>
  <c r="I135" i="1" s="1"/>
  <c r="F127" i="1"/>
  <c r="I127" i="1" s="1"/>
  <c r="F111" i="1"/>
  <c r="I111" i="1" s="1"/>
  <c r="F103" i="1"/>
  <c r="I103" i="1" s="1"/>
  <c r="F95" i="1"/>
  <c r="I95" i="1" s="1"/>
  <c r="F87" i="1"/>
  <c r="I87" i="1" s="1"/>
  <c r="F79" i="1"/>
  <c r="I79" i="1" s="1"/>
  <c r="F71" i="1"/>
  <c r="I71" i="1" s="1"/>
  <c r="F63" i="1"/>
  <c r="I63" i="1" s="1"/>
  <c r="F55" i="1"/>
  <c r="I55" i="1" s="1"/>
  <c r="F47" i="1"/>
  <c r="I47" i="1" s="1"/>
  <c r="F39" i="1"/>
  <c r="I39" i="1" s="1"/>
  <c r="F31" i="1"/>
  <c r="I31" i="1" s="1"/>
  <c r="F23" i="1"/>
  <c r="I23" i="1" s="1"/>
  <c r="F15" i="1"/>
  <c r="I15" i="1" s="1"/>
  <c r="F186" i="1"/>
  <c r="I186" i="1" s="1"/>
  <c r="F234" i="1"/>
  <c r="I234" i="1" s="1"/>
  <c r="E218" i="1"/>
  <c r="H218" i="1" s="1"/>
  <c r="F233" i="1"/>
  <c r="I233" i="1" s="1"/>
  <c r="F201" i="1"/>
  <c r="I201" i="1" s="1"/>
  <c r="F185" i="1"/>
  <c r="I185" i="1" s="1"/>
  <c r="F169" i="1"/>
  <c r="I169" i="1" s="1"/>
  <c r="F145" i="1"/>
  <c r="I145" i="1" s="1"/>
  <c r="F129" i="1"/>
  <c r="I129" i="1" s="1"/>
  <c r="F121" i="1"/>
  <c r="I121" i="1" s="1"/>
  <c r="F113" i="1"/>
  <c r="I113" i="1" s="1"/>
  <c r="F97" i="1"/>
  <c r="I97" i="1" s="1"/>
  <c r="F89" i="1"/>
  <c r="I89" i="1" s="1"/>
  <c r="F81" i="1"/>
  <c r="I81" i="1" s="1"/>
  <c r="F65" i="1"/>
  <c r="I65" i="1" s="1"/>
  <c r="F57" i="1"/>
  <c r="I57" i="1" s="1"/>
  <c r="F49" i="1"/>
  <c r="I49" i="1" s="1"/>
  <c r="F41" i="1"/>
  <c r="I41" i="1" s="1"/>
  <c r="F33" i="1"/>
  <c r="I33" i="1" s="1"/>
  <c r="F25" i="1"/>
  <c r="I25" i="1" s="1"/>
  <c r="F17" i="1"/>
  <c r="I17" i="1" s="1"/>
  <c r="F226" i="1"/>
  <c r="I226" i="1" s="1"/>
  <c r="F162" i="1"/>
  <c r="I162" i="1" s="1"/>
  <c r="F251" i="1"/>
  <c r="I251" i="1" s="1"/>
  <c r="F219" i="1"/>
  <c r="I219" i="1" s="1"/>
  <c r="F203" i="1"/>
  <c r="I203" i="1" s="1"/>
  <c r="F195" i="1"/>
  <c r="I195" i="1" s="1"/>
  <c r="F187" i="1"/>
  <c r="I187" i="1" s="1"/>
  <c r="F179" i="1"/>
  <c r="I179" i="1" s="1"/>
  <c r="F171" i="1"/>
  <c r="I171" i="1" s="1"/>
  <c r="F163" i="1"/>
  <c r="I163" i="1" s="1"/>
  <c r="F155" i="1"/>
  <c r="I155" i="1" s="1"/>
  <c r="F147" i="1"/>
  <c r="I147" i="1" s="1"/>
  <c r="F139" i="1"/>
  <c r="I139" i="1" s="1"/>
  <c r="F131" i="1"/>
  <c r="I131" i="1" s="1"/>
  <c r="F123" i="1"/>
  <c r="I123" i="1" s="1"/>
  <c r="F115" i="1"/>
  <c r="I115" i="1" s="1"/>
  <c r="F107" i="1"/>
  <c r="I107" i="1" s="1"/>
  <c r="F99" i="1"/>
  <c r="I99" i="1" s="1"/>
  <c r="F91" i="1"/>
  <c r="I91" i="1" s="1"/>
  <c r="F83" i="1"/>
  <c r="I83" i="1" s="1"/>
  <c r="F75" i="1"/>
  <c r="I75" i="1" s="1"/>
  <c r="F67" i="1"/>
  <c r="I67" i="1" s="1"/>
  <c r="F59" i="1"/>
  <c r="I59" i="1" s="1"/>
  <c r="F51" i="1"/>
  <c r="I51" i="1" s="1"/>
  <c r="F43" i="1"/>
  <c r="I43" i="1" s="1"/>
  <c r="F35" i="1"/>
  <c r="I35" i="1" s="1"/>
  <c r="F27" i="1"/>
  <c r="I27" i="1" s="1"/>
  <c r="E55" i="1"/>
  <c r="H55" i="1" s="1"/>
  <c r="F257" i="1"/>
  <c r="I257" i="1" s="1"/>
  <c r="F249" i="1"/>
  <c r="I249" i="1" s="1"/>
  <c r="F241" i="1"/>
  <c r="I241" i="1" s="1"/>
  <c r="F225" i="1"/>
  <c r="I225" i="1" s="1"/>
  <c r="F217" i="1"/>
  <c r="I217" i="1" s="1"/>
  <c r="F209" i="1"/>
  <c r="I209" i="1" s="1"/>
  <c r="F193" i="1"/>
  <c r="I193" i="1" s="1"/>
  <c r="F177" i="1"/>
  <c r="I177" i="1" s="1"/>
  <c r="F161" i="1"/>
  <c r="I161" i="1" s="1"/>
  <c r="F153" i="1"/>
  <c r="I153" i="1" s="1"/>
  <c r="F137" i="1"/>
  <c r="I137" i="1" s="1"/>
  <c r="F105" i="1"/>
  <c r="I105" i="1" s="1"/>
  <c r="F73" i="1"/>
  <c r="I73" i="1" s="1"/>
  <c r="F248" i="1"/>
  <c r="I248" i="1" s="1"/>
  <c r="F232" i="1"/>
  <c r="I232" i="1" s="1"/>
  <c r="F208" i="1"/>
  <c r="I208" i="1" s="1"/>
  <c r="F192" i="1"/>
  <c r="I192" i="1" s="1"/>
  <c r="F176" i="1"/>
  <c r="I176" i="1" s="1"/>
  <c r="F168" i="1"/>
  <c r="I168" i="1" s="1"/>
  <c r="E215" i="1"/>
  <c r="H215" i="1" s="1"/>
  <c r="E23" i="1"/>
  <c r="H23" i="1" s="1"/>
  <c r="F255" i="1"/>
  <c r="I255" i="1" s="1"/>
  <c r="F247" i="1"/>
  <c r="I247" i="1" s="1"/>
  <c r="F239" i="1"/>
  <c r="I239" i="1" s="1"/>
  <c r="F231" i="1"/>
  <c r="I231" i="1" s="1"/>
  <c r="F223" i="1"/>
  <c r="I223" i="1" s="1"/>
  <c r="F199" i="1"/>
  <c r="I199" i="1" s="1"/>
  <c r="F183" i="1"/>
  <c r="I183" i="1" s="1"/>
  <c r="F167" i="1"/>
  <c r="I167" i="1" s="1"/>
  <c r="F159" i="1"/>
  <c r="I159" i="1" s="1"/>
  <c r="F119" i="1"/>
  <c r="I119" i="1" s="1"/>
  <c r="F224" i="1"/>
  <c r="I224" i="1" s="1"/>
  <c r="F160" i="1"/>
  <c r="I160" i="1" s="1"/>
  <c r="E17" i="1"/>
  <c r="H17" i="1" s="1"/>
  <c r="F254" i="1"/>
  <c r="I254" i="1" s="1"/>
  <c r="F246" i="1"/>
  <c r="I246" i="1" s="1"/>
  <c r="F238" i="1"/>
  <c r="I238" i="1" s="1"/>
  <c r="F189" i="1"/>
  <c r="I189" i="1" s="1"/>
  <c r="F173" i="1"/>
  <c r="I173" i="1" s="1"/>
  <c r="F165" i="1"/>
  <c r="I165" i="1" s="1"/>
  <c r="F157" i="1"/>
  <c r="I157" i="1" s="1"/>
  <c r="F133" i="1"/>
  <c r="I133" i="1" s="1"/>
  <c r="F101" i="1"/>
  <c r="I101" i="1" s="1"/>
  <c r="F69" i="1"/>
  <c r="I69" i="1" s="1"/>
  <c r="F37" i="1"/>
  <c r="I37" i="1" s="1"/>
  <c r="F212" i="1"/>
  <c r="I212" i="1" s="1"/>
  <c r="F196" i="1"/>
  <c r="I196" i="1" s="1"/>
  <c r="F164" i="1"/>
  <c r="I164" i="1" s="1"/>
  <c r="F259" i="1"/>
  <c r="I259" i="1" s="1"/>
  <c r="F243" i="1"/>
  <c r="I243" i="1" s="1"/>
  <c r="F235" i="1"/>
  <c r="I235" i="1" s="1"/>
  <c r="F227" i="1"/>
  <c r="I227" i="1" s="1"/>
  <c r="F211" i="1"/>
  <c r="I211" i="1" s="1"/>
  <c r="E250" i="1"/>
  <c r="H250" i="1" s="1"/>
  <c r="E256" i="1"/>
  <c r="H256" i="1" s="1"/>
  <c r="E248" i="1"/>
  <c r="H248" i="1" s="1"/>
  <c r="E240" i="1"/>
  <c r="H240" i="1" s="1"/>
  <c r="E219" i="1"/>
  <c r="H219" i="1" s="1"/>
  <c r="E216" i="1"/>
  <c r="H216" i="1" s="1"/>
  <c r="E213" i="1"/>
  <c r="H213" i="1" s="1"/>
  <c r="E210" i="1"/>
  <c r="H210" i="1" s="1"/>
  <c r="E207" i="1"/>
  <c r="H207" i="1" s="1"/>
  <c r="E204" i="1"/>
  <c r="H204" i="1" s="1"/>
  <c r="E201" i="1"/>
  <c r="H201" i="1" s="1"/>
  <c r="E155" i="1"/>
  <c r="H155" i="1" s="1"/>
  <c r="E152" i="1"/>
  <c r="H152" i="1" s="1"/>
  <c r="E149" i="1"/>
  <c r="H149" i="1" s="1"/>
  <c r="E146" i="1"/>
  <c r="H146" i="1" s="1"/>
  <c r="E143" i="1"/>
  <c r="H143" i="1" s="1"/>
  <c r="E140" i="1"/>
  <c r="H140" i="1" s="1"/>
  <c r="E136" i="1"/>
  <c r="H136" i="1" s="1"/>
  <c r="E122" i="1"/>
  <c r="H122" i="1" s="1"/>
  <c r="E108" i="1"/>
  <c r="H108" i="1" s="1"/>
  <c r="E104" i="1"/>
  <c r="H104" i="1" s="1"/>
  <c r="E90" i="1"/>
  <c r="H90" i="1" s="1"/>
  <c r="E76" i="1"/>
  <c r="H76" i="1" s="1"/>
  <c r="E72" i="1"/>
  <c r="H72" i="1" s="1"/>
  <c r="E58" i="1"/>
  <c r="H58" i="1" s="1"/>
  <c r="E44" i="1"/>
  <c r="H44" i="1" s="1"/>
  <c r="E40" i="1"/>
  <c r="H40" i="1" s="1"/>
  <c r="E26" i="1"/>
  <c r="H26" i="1" s="1"/>
  <c r="E129" i="1"/>
  <c r="H129" i="1" s="1"/>
  <c r="E125" i="1"/>
  <c r="H125" i="1" s="1"/>
  <c r="E111" i="1"/>
  <c r="H111" i="1" s="1"/>
  <c r="E97" i="1"/>
  <c r="H97" i="1" s="1"/>
  <c r="E93" i="1"/>
  <c r="H93" i="1" s="1"/>
  <c r="E79" i="1"/>
  <c r="H79" i="1" s="1"/>
  <c r="E65" i="1"/>
  <c r="H65" i="1" s="1"/>
  <c r="E61" i="1"/>
  <c r="H61" i="1" s="1"/>
  <c r="E47" i="1"/>
  <c r="H47" i="1" s="1"/>
  <c r="E33" i="1"/>
  <c r="H33" i="1" s="1"/>
  <c r="E29" i="1"/>
  <c r="H29" i="1" s="1"/>
  <c r="E242" i="1"/>
  <c r="H242" i="1" s="1"/>
  <c r="E203" i="1"/>
  <c r="H203" i="1" s="1"/>
  <c r="E200" i="1"/>
  <c r="H200" i="1" s="1"/>
  <c r="E197" i="1"/>
  <c r="H197" i="1" s="1"/>
  <c r="E194" i="1"/>
  <c r="H194" i="1" s="1"/>
  <c r="E191" i="1"/>
  <c r="H191" i="1" s="1"/>
  <c r="E188" i="1"/>
  <c r="H188" i="1" s="1"/>
  <c r="E185" i="1"/>
  <c r="H185" i="1" s="1"/>
  <c r="E132" i="1"/>
  <c r="H132" i="1" s="1"/>
  <c r="E128" i="1"/>
  <c r="H128" i="1" s="1"/>
  <c r="E114" i="1"/>
  <c r="H114" i="1" s="1"/>
  <c r="E100" i="1"/>
  <c r="H100" i="1" s="1"/>
  <c r="E96" i="1"/>
  <c r="H96" i="1" s="1"/>
  <c r="E82" i="1"/>
  <c r="H82" i="1" s="1"/>
  <c r="E68" i="1"/>
  <c r="H68" i="1" s="1"/>
  <c r="E64" i="1"/>
  <c r="H64" i="1" s="1"/>
  <c r="E50" i="1"/>
  <c r="H50" i="1" s="1"/>
  <c r="E36" i="1"/>
  <c r="H36" i="1" s="1"/>
  <c r="E32" i="1"/>
  <c r="H32" i="1" s="1"/>
  <c r="E13" i="1"/>
  <c r="H13" i="1" s="1"/>
  <c r="E154" i="1"/>
  <c r="H154" i="1" s="1"/>
  <c r="E151" i="1"/>
  <c r="H151" i="1" s="1"/>
  <c r="E148" i="1"/>
  <c r="H148" i="1" s="1"/>
  <c r="E145" i="1"/>
  <c r="H145" i="1" s="1"/>
  <c r="E135" i="1"/>
  <c r="H135" i="1" s="1"/>
  <c r="E121" i="1"/>
  <c r="H121" i="1" s="1"/>
  <c r="E117" i="1"/>
  <c r="H117" i="1" s="1"/>
  <c r="E103" i="1"/>
  <c r="H103" i="1" s="1"/>
  <c r="E89" i="1"/>
  <c r="H89" i="1" s="1"/>
  <c r="E85" i="1"/>
  <c r="H85" i="1" s="1"/>
  <c r="E71" i="1"/>
  <c r="H71" i="1" s="1"/>
  <c r="E57" i="1"/>
  <c r="H57" i="1" s="1"/>
  <c r="E53" i="1"/>
  <c r="H53" i="1" s="1"/>
  <c r="E39" i="1"/>
  <c r="H39" i="1" s="1"/>
  <c r="E25" i="1"/>
  <c r="H25" i="1" s="1"/>
  <c r="E21" i="1"/>
  <c r="H21" i="1" s="1"/>
  <c r="E11" i="1"/>
  <c r="H11" i="1" s="1"/>
  <c r="E19" i="1"/>
  <c r="H19" i="1" s="1"/>
  <c r="E27" i="1"/>
  <c r="H27" i="1" s="1"/>
  <c r="E35" i="1"/>
  <c r="H35" i="1" s="1"/>
  <c r="E43" i="1"/>
  <c r="H43" i="1" s="1"/>
  <c r="E51" i="1"/>
  <c r="H51" i="1" s="1"/>
  <c r="E59" i="1"/>
  <c r="H59" i="1" s="1"/>
  <c r="E67" i="1"/>
  <c r="H67" i="1" s="1"/>
  <c r="E75" i="1"/>
  <c r="H75" i="1" s="1"/>
  <c r="E83" i="1"/>
  <c r="H83" i="1" s="1"/>
  <c r="E91" i="1"/>
  <c r="H91" i="1" s="1"/>
  <c r="E99" i="1"/>
  <c r="H99" i="1" s="1"/>
  <c r="E107" i="1"/>
  <c r="H107" i="1" s="1"/>
  <c r="E115" i="1"/>
  <c r="H115" i="1" s="1"/>
  <c r="E123" i="1"/>
  <c r="H123" i="1" s="1"/>
  <c r="E131" i="1"/>
  <c r="H131" i="1" s="1"/>
  <c r="E139" i="1"/>
  <c r="H139" i="1" s="1"/>
  <c r="E14" i="1"/>
  <c r="H14" i="1" s="1"/>
  <c r="E22" i="1"/>
  <c r="H22" i="1" s="1"/>
  <c r="E30" i="1"/>
  <c r="H30" i="1" s="1"/>
  <c r="E38" i="1"/>
  <c r="H38" i="1" s="1"/>
  <c r="E46" i="1"/>
  <c r="H46" i="1" s="1"/>
  <c r="E54" i="1"/>
  <c r="H54" i="1" s="1"/>
  <c r="E62" i="1"/>
  <c r="H62" i="1" s="1"/>
  <c r="E70" i="1"/>
  <c r="H70" i="1" s="1"/>
  <c r="E78" i="1"/>
  <c r="H78" i="1" s="1"/>
  <c r="E86" i="1"/>
  <c r="H86" i="1" s="1"/>
  <c r="E94" i="1"/>
  <c r="H94" i="1" s="1"/>
  <c r="E102" i="1"/>
  <c r="H102" i="1" s="1"/>
  <c r="E110" i="1"/>
  <c r="H110" i="1" s="1"/>
  <c r="E118" i="1"/>
  <c r="H118" i="1" s="1"/>
  <c r="E126" i="1"/>
  <c r="H126" i="1" s="1"/>
  <c r="E134" i="1"/>
  <c r="H134" i="1" s="1"/>
  <c r="E142" i="1"/>
  <c r="H142" i="1" s="1"/>
  <c r="E150" i="1"/>
  <c r="H150" i="1" s="1"/>
  <c r="E158" i="1"/>
  <c r="H158" i="1" s="1"/>
  <c r="E166" i="1"/>
  <c r="H166" i="1" s="1"/>
  <c r="E174" i="1"/>
  <c r="H174" i="1" s="1"/>
  <c r="E182" i="1"/>
  <c r="H182" i="1" s="1"/>
  <c r="E190" i="1"/>
  <c r="H190" i="1" s="1"/>
  <c r="E198" i="1"/>
  <c r="H198" i="1" s="1"/>
  <c r="E206" i="1"/>
  <c r="H206" i="1" s="1"/>
  <c r="E214" i="1"/>
  <c r="H214" i="1" s="1"/>
  <c r="E222" i="1"/>
  <c r="H222" i="1" s="1"/>
  <c r="E230" i="1"/>
  <c r="H230" i="1" s="1"/>
  <c r="E18" i="1"/>
  <c r="H18" i="1" s="1"/>
  <c r="E260" i="1"/>
  <c r="H260" i="1" s="1"/>
  <c r="E252" i="1"/>
  <c r="H252" i="1" s="1"/>
  <c r="E244" i="1"/>
  <c r="H244" i="1" s="1"/>
  <c r="E236" i="1"/>
  <c r="H236" i="1" s="1"/>
  <c r="E233" i="1"/>
  <c r="H233" i="1" s="1"/>
  <c r="E187" i="1"/>
  <c r="H187" i="1" s="1"/>
  <c r="E184" i="1"/>
  <c r="H184" i="1" s="1"/>
  <c r="E181" i="1"/>
  <c r="H181" i="1" s="1"/>
  <c r="E178" i="1"/>
  <c r="H178" i="1" s="1"/>
  <c r="E175" i="1"/>
  <c r="H175" i="1" s="1"/>
  <c r="E172" i="1"/>
  <c r="H172" i="1" s="1"/>
  <c r="E169" i="1"/>
  <c r="H169" i="1" s="1"/>
  <c r="E138" i="1"/>
  <c r="H138" i="1" s="1"/>
  <c r="E124" i="1"/>
  <c r="H124" i="1" s="1"/>
  <c r="E120" i="1"/>
  <c r="H120" i="1" s="1"/>
  <c r="E106" i="1"/>
  <c r="H106" i="1" s="1"/>
  <c r="E92" i="1"/>
  <c r="H92" i="1" s="1"/>
  <c r="E88" i="1"/>
  <c r="H88" i="1" s="1"/>
  <c r="E74" i="1"/>
  <c r="H74" i="1" s="1"/>
  <c r="E60" i="1"/>
  <c r="H60" i="1" s="1"/>
  <c r="E56" i="1"/>
  <c r="H56" i="1" s="1"/>
  <c r="E42" i="1"/>
  <c r="H42" i="1" s="1"/>
  <c r="E28" i="1"/>
  <c r="H28" i="1" s="1"/>
  <c r="E24" i="1"/>
  <c r="H24" i="1" s="1"/>
  <c r="E16" i="1"/>
  <c r="H16" i="1" s="1"/>
  <c r="E12" i="1"/>
  <c r="H12" i="1" s="1"/>
  <c r="E147" i="1"/>
  <c r="H147" i="1" s="1"/>
  <c r="E144" i="1"/>
  <c r="H144" i="1" s="1"/>
  <c r="E141" i="1"/>
  <c r="H141" i="1" s="1"/>
  <c r="E127" i="1"/>
  <c r="H127" i="1" s="1"/>
  <c r="E113" i="1"/>
  <c r="H113" i="1" s="1"/>
  <c r="E109" i="1"/>
  <c r="H109" i="1" s="1"/>
  <c r="E95" i="1"/>
  <c r="H95" i="1" s="1"/>
  <c r="E81" i="1"/>
  <c r="H81" i="1" s="1"/>
  <c r="E77" i="1"/>
  <c r="H77" i="1" s="1"/>
  <c r="E63" i="1"/>
  <c r="H63" i="1" s="1"/>
  <c r="E49" i="1"/>
  <c r="H49" i="1" s="1"/>
  <c r="E45" i="1"/>
  <c r="H45" i="1" s="1"/>
  <c r="E31" i="1"/>
  <c r="H31" i="1" s="1"/>
  <c r="E20" i="1"/>
  <c r="H20" i="1" s="1"/>
  <c r="E130" i="1"/>
  <c r="H130" i="1" s="1"/>
  <c r="E116" i="1"/>
  <c r="H116" i="1" s="1"/>
  <c r="E112" i="1"/>
  <c r="H112" i="1" s="1"/>
  <c r="E98" i="1"/>
  <c r="H98" i="1" s="1"/>
  <c r="E84" i="1"/>
  <c r="H84" i="1" s="1"/>
  <c r="E80" i="1"/>
  <c r="H80" i="1" s="1"/>
  <c r="E66" i="1"/>
  <c r="H66" i="1" s="1"/>
  <c r="E52" i="1"/>
  <c r="H52" i="1" s="1"/>
  <c r="E48" i="1"/>
  <c r="H48" i="1" s="1"/>
  <c r="E34" i="1"/>
  <c r="H34" i="1" s="1"/>
  <c r="E15" i="1"/>
  <c r="H15" i="1" s="1"/>
  <c r="M354" i="1" a="1"/>
  <c r="K354" i="1" a="1"/>
  <c r="M387" i="1" a="1"/>
  <c r="K387" i="1" a="1"/>
  <c r="K389" i="1" a="1"/>
  <c r="M389" i="1" a="1"/>
  <c r="M273" i="1" a="1"/>
  <c r="K273" i="1" a="1"/>
  <c r="K670" i="1" a="1"/>
  <c r="M670" i="1" a="1"/>
  <c r="M331" i="1" a="1"/>
  <c r="K331" i="1" a="1"/>
  <c r="K825" i="1" a="1"/>
  <c r="M825" i="1" a="1"/>
  <c r="M761" i="1" a="1"/>
  <c r="K761" i="1" a="1"/>
  <c r="M729" i="1" a="1"/>
  <c r="K729" i="1" a="1"/>
  <c r="K612" i="1" a="1"/>
  <c r="M612" i="1" a="1"/>
  <c r="M674" i="1" a="1"/>
  <c r="K674" i="1" a="1"/>
  <c r="K634" i="1" a="1"/>
  <c r="M634" i="1" a="1"/>
  <c r="K837" i="1" a="1"/>
  <c r="M837" i="1" a="1"/>
  <c r="M695" i="1" a="1"/>
  <c r="K695" i="1" a="1"/>
  <c r="K677" i="1" a="1"/>
  <c r="M677" i="1" a="1"/>
  <c r="K913" i="1" a="1"/>
  <c r="M913" i="1" a="1"/>
  <c r="M1105" i="1" a="1"/>
  <c r="K1105" i="1" a="1"/>
  <c r="K703" i="1" a="1"/>
  <c r="M703" i="1" a="1"/>
  <c r="K972" i="1" a="1"/>
  <c r="M972" i="1" a="1"/>
  <c r="K744" i="1" a="1"/>
  <c r="M744" i="1" a="1"/>
  <c r="M1134" i="1" a="1"/>
  <c r="K1134" i="1" a="1"/>
  <c r="M832" i="1" a="1"/>
  <c r="K832" i="1" a="1"/>
  <c r="M1102" i="1" a="1"/>
  <c r="K1102" i="1" a="1"/>
  <c r="K883" i="1" a="1"/>
  <c r="M883" i="1" a="1"/>
  <c r="M948" i="1" a="1"/>
  <c r="K948" i="1" a="1"/>
  <c r="K894" i="1" a="1"/>
  <c r="M894" i="1" a="1"/>
  <c r="K938" i="1" a="1"/>
  <c r="M938" i="1" a="1"/>
  <c r="K727" i="1" a="1"/>
  <c r="M727" i="1" a="1"/>
  <c r="K752" i="1" a="1"/>
  <c r="M752" i="1" a="1"/>
  <c r="M632" i="1" a="1"/>
  <c r="K632" i="1" a="1"/>
  <c r="K399" i="1" a="1"/>
  <c r="M399" i="1" a="1"/>
  <c r="M687" i="1" a="1"/>
  <c r="K687" i="1" a="1"/>
  <c r="K803" i="1" a="1"/>
  <c r="M803" i="1" a="1"/>
  <c r="M684" i="1" a="1"/>
  <c r="K684" i="1" a="1"/>
  <c r="K760" i="1" a="1"/>
  <c r="M760" i="1" a="1"/>
  <c r="K271" i="1" a="1"/>
  <c r="M271" i="1" a="1"/>
  <c r="K926" i="1" a="1"/>
  <c r="M926" i="1" a="1"/>
  <c r="K679" i="1" a="1"/>
  <c r="M679" i="1" a="1"/>
  <c r="M568" i="1" a="1"/>
  <c r="K568" i="1" a="1"/>
  <c r="M345" i="1" a="1"/>
  <c r="K345" i="1" a="1"/>
  <c r="K869" i="1" a="1"/>
  <c r="M869" i="1" a="1"/>
  <c r="M904" i="1" a="1"/>
  <c r="K904" i="1" a="1"/>
  <c r="M298" i="1" a="1"/>
  <c r="K298" i="1" a="1"/>
  <c r="K637" i="1" a="1"/>
  <c r="M637" i="1" a="1"/>
  <c r="M1109" i="1" a="1"/>
  <c r="K1109" i="1" a="1"/>
  <c r="K1067" i="1" a="1"/>
  <c r="M1067" i="1" a="1"/>
  <c r="M272" i="1" a="1"/>
  <c r="K272" i="1" a="1"/>
  <c r="M348" i="1" a="1"/>
  <c r="K348" i="1" a="1"/>
  <c r="K807" i="1" a="1"/>
  <c r="M807" i="1" a="1"/>
  <c r="K508" i="1" a="1"/>
  <c r="M508" i="1" a="1"/>
  <c r="M291" i="1" a="1"/>
  <c r="K291" i="1" a="1"/>
  <c r="K1075" i="1" a="1"/>
  <c r="M1075" i="1" a="1"/>
  <c r="K665" i="1" a="1"/>
  <c r="M665" i="1" a="1"/>
  <c r="M314" i="1" a="1"/>
  <c r="K314" i="1" a="1"/>
  <c r="K1095" i="1" a="1"/>
  <c r="M1095" i="1" a="1"/>
  <c r="K663" i="1" a="1"/>
  <c r="M663" i="1" a="1"/>
  <c r="K263" i="1" a="1"/>
  <c r="M263" i="1" a="1"/>
  <c r="K1031" i="1" a="1"/>
  <c r="M1031" i="1" a="1"/>
  <c r="M505" i="1" a="1"/>
  <c r="K505" i="1" a="1"/>
  <c r="M278" i="1" a="1"/>
  <c r="K278" i="1" a="1"/>
  <c r="M896" i="1" a="1"/>
  <c r="K896" i="1" a="1"/>
  <c r="K707" i="1" a="1"/>
  <c r="M707" i="1" a="1"/>
  <c r="K514" i="1" a="1"/>
  <c r="M514" i="1" a="1"/>
  <c r="M1065" i="1" a="1"/>
  <c r="K1065" i="1" a="1"/>
  <c r="K371" i="1" a="1"/>
  <c r="M371" i="1" a="1"/>
  <c r="M301" i="1" a="1"/>
  <c r="K301" i="1" a="1"/>
  <c r="M284" i="1" a="1"/>
  <c r="K284" i="1" a="1"/>
  <c r="K422" i="1" a="1"/>
  <c r="M422" i="1" a="1"/>
  <c r="K854" i="1" a="1"/>
  <c r="M854" i="1" a="1"/>
  <c r="K353" i="1" a="1"/>
  <c r="M353" i="1" a="1"/>
  <c r="K911" i="1" a="1"/>
  <c r="M911" i="1" a="1"/>
  <c r="M1094" i="1" a="1"/>
  <c r="K1094" i="1" a="1"/>
  <c r="M449" i="1" a="1"/>
  <c r="K449" i="1" a="1"/>
  <c r="K754" i="1" a="1"/>
  <c r="M754" i="1" a="1"/>
  <c r="M1029" i="1" a="1"/>
  <c r="K1029" i="1" a="1"/>
  <c r="M910" i="1" a="1"/>
  <c r="K910" i="1" a="1"/>
  <c r="K959" i="1" a="1"/>
  <c r="M959" i="1" a="1"/>
  <c r="M1126" i="1" a="1"/>
  <c r="K1126" i="1" a="1"/>
  <c r="M1041" i="1" a="1"/>
  <c r="K1041" i="1" a="1"/>
  <c r="K1119" i="1" a="1"/>
  <c r="M1119" i="1" a="1"/>
  <c r="M892" i="1" a="1"/>
  <c r="K892" i="1" a="1"/>
  <c r="K1004" i="1" a="1"/>
  <c r="M1004" i="1" a="1"/>
  <c r="M609" i="1" a="1"/>
  <c r="K609" i="1" a="1"/>
  <c r="K362" i="1" a="1"/>
  <c r="M362" i="1" a="1"/>
  <c r="K1116" i="1" a="1"/>
  <c r="M1116" i="1" a="1"/>
  <c r="M814" i="1" a="1"/>
  <c r="K814" i="1" a="1"/>
  <c r="K512" i="1" a="1"/>
  <c r="M512" i="1" a="1"/>
  <c r="M497" i="1" a="1"/>
  <c r="K497" i="1" a="1"/>
  <c r="M924" i="1" a="1"/>
  <c r="K924" i="1" a="1"/>
  <c r="M936" i="1" a="1"/>
  <c r="K936" i="1" a="1"/>
  <c r="K1120" i="1" a="1"/>
  <c r="M1120" i="1" a="1"/>
  <c r="K492" i="1" a="1"/>
  <c r="M492" i="1" a="1"/>
  <c r="M970" i="1" a="1"/>
  <c r="K970" i="1" a="1"/>
  <c r="K1084" i="1" a="1"/>
  <c r="M1084" i="1" a="1"/>
  <c r="K738" i="1" a="1"/>
  <c r="M738" i="1" a="1"/>
  <c r="M559" i="1" a="1"/>
  <c r="K559" i="1" a="1"/>
  <c r="K472" i="1" a="1"/>
  <c r="M472" i="1" a="1"/>
  <c r="K308" i="1" a="1"/>
  <c r="M308" i="1" a="1"/>
  <c r="M300" i="1" a="1"/>
  <c r="K300" i="1" a="1"/>
  <c r="K1050" i="1" a="1"/>
  <c r="M1050" i="1" a="1"/>
  <c r="M758" i="1" a="1"/>
  <c r="K758" i="1" a="1"/>
  <c r="K781" i="1" a="1"/>
  <c r="M781" i="1" a="1"/>
  <c r="K475" i="1" a="1"/>
  <c r="M475" i="1" a="1"/>
  <c r="K427" i="1" a="1"/>
  <c r="M427" i="1" a="1"/>
  <c r="K326" i="1" a="1"/>
  <c r="M326" i="1" a="1"/>
  <c r="M486" i="1" a="1"/>
  <c r="K486" i="1" a="1"/>
  <c r="M829" i="1" a="1"/>
  <c r="K829" i="1" a="1"/>
  <c r="K1040" i="1" a="1"/>
  <c r="M1040" i="1" a="1"/>
  <c r="M625" i="1" a="1"/>
  <c r="K625" i="1" a="1"/>
  <c r="K324" i="1" a="1"/>
  <c r="M324" i="1" a="1"/>
  <c r="M742" i="1" a="1"/>
  <c r="K742" i="1" a="1"/>
  <c r="M275" i="1" a="1"/>
  <c r="K275" i="1" a="1"/>
  <c r="K967" i="1" a="1"/>
  <c r="M967" i="1" a="1"/>
  <c r="K1101" i="1" a="1"/>
  <c r="M1101" i="1" a="1"/>
  <c r="K1112" i="1" a="1"/>
  <c r="M1112" i="1" a="1"/>
  <c r="K1076" i="1" a="1"/>
  <c r="M1076" i="1" a="1"/>
  <c r="M683" i="1" a="1"/>
  <c r="K683" i="1" a="1"/>
  <c r="M329" i="1" a="1"/>
  <c r="K329" i="1" a="1"/>
  <c r="K420" i="1" a="1"/>
  <c r="M420" i="1" a="1"/>
  <c r="K499" i="1" a="1"/>
  <c r="M499" i="1" a="1"/>
  <c r="M361" i="1" a="1"/>
  <c r="K361" i="1" a="1"/>
  <c r="K628" i="1" a="1"/>
  <c r="M628" i="1" a="1"/>
  <c r="K452" i="1" a="1"/>
  <c r="M452" i="1" a="1"/>
  <c r="K851" i="1" a="1"/>
  <c r="M851" i="1" a="1"/>
  <c r="K264" i="1" a="1"/>
  <c r="M264" i="1" a="1"/>
  <c r="M801" i="1" a="1"/>
  <c r="K801" i="1" a="1"/>
  <c r="K636" i="1" a="1"/>
  <c r="M636" i="1" a="1"/>
  <c r="K841" i="1" a="1"/>
  <c r="M841" i="1" a="1"/>
  <c r="K899" i="1" a="1"/>
  <c r="M899" i="1" a="1"/>
  <c r="K1051" i="1" a="1"/>
  <c r="M1051" i="1" a="1"/>
  <c r="K671" i="1" a="1"/>
  <c r="M671" i="1" a="1"/>
  <c r="M515" i="1" a="1"/>
  <c r="K515" i="1" a="1"/>
  <c r="K627" i="1" a="1"/>
  <c r="M627" i="1" a="1"/>
  <c r="K1059" i="1" a="1"/>
  <c r="M1059" i="1" a="1"/>
  <c r="K1098" i="1" a="1"/>
  <c r="M1098" i="1" a="1"/>
  <c r="K862" i="1" a="1"/>
  <c r="M862" i="1" a="1"/>
  <c r="M885" i="1" a="1"/>
  <c r="K885" i="1" a="1"/>
  <c r="K871" i="1" a="1"/>
  <c r="M871" i="1" a="1"/>
  <c r="K715" i="1" a="1"/>
  <c r="M715" i="1" a="1"/>
  <c r="K1003" i="1" a="1"/>
  <c r="M1003" i="1" a="1"/>
  <c r="K1122" i="1" a="1"/>
  <c r="M1122" i="1" a="1"/>
  <c r="K901" i="1" a="1"/>
  <c r="M901" i="1" a="1"/>
  <c r="M888" i="1" a="1"/>
  <c r="K888" i="1" a="1"/>
  <c r="M740" i="1" a="1"/>
  <c r="K740" i="1" a="1"/>
  <c r="M856" i="1" a="1"/>
  <c r="K856" i="1" a="1"/>
  <c r="K1111" i="1" a="1"/>
  <c r="M1111" i="1" a="1"/>
  <c r="K1011" i="1" a="1"/>
  <c r="M1011" i="1" a="1"/>
  <c r="K792" i="1" a="1"/>
  <c r="M792" i="1" a="1"/>
  <c r="M392" i="1" a="1"/>
  <c r="K392" i="1" a="1"/>
  <c r="K669" i="1" a="1"/>
  <c r="M669" i="1" a="1"/>
  <c r="M599" i="1" a="1"/>
  <c r="K599" i="1" a="1"/>
  <c r="K582" i="1" a="1"/>
  <c r="M582" i="1" a="1"/>
  <c r="M616" i="1" a="1"/>
  <c r="K616" i="1" a="1"/>
  <c r="M1086" i="1" a="1"/>
  <c r="K1086" i="1" a="1"/>
  <c r="M531" i="1" a="1"/>
  <c r="K531" i="1" a="1"/>
  <c r="K720" i="1" a="1"/>
  <c r="M720" i="1" a="1"/>
  <c r="K574" i="1" a="1"/>
  <c r="M574" i="1" a="1"/>
  <c r="K934" i="1" a="1"/>
  <c r="M934" i="1" a="1"/>
  <c r="K751" i="1" a="1"/>
  <c r="M751" i="1" a="1"/>
  <c r="K686" i="1" a="1"/>
  <c r="M686" i="1" a="1"/>
  <c r="M367" i="1" a="1"/>
  <c r="K367" i="1" a="1"/>
  <c r="K675" i="1" a="1"/>
  <c r="M675" i="1" a="1"/>
  <c r="K635" i="1" a="1"/>
  <c r="M635" i="1" a="1"/>
  <c r="M544" i="1" a="1"/>
  <c r="K544" i="1" a="1"/>
  <c r="K570" i="1" a="1"/>
  <c r="M570" i="1" a="1"/>
  <c r="K696" i="1" a="1"/>
  <c r="M696" i="1" a="1"/>
  <c r="K473" i="1" a="1"/>
  <c r="M473" i="1" a="1"/>
  <c r="M468" i="1" a="1"/>
  <c r="K468" i="1" a="1"/>
  <c r="M413" i="1" a="1"/>
  <c r="K413" i="1" a="1"/>
  <c r="M332" i="1" a="1"/>
  <c r="K332" i="1" a="1"/>
  <c r="K509" i="1" a="1"/>
  <c r="M509" i="1" a="1"/>
  <c r="K1009" i="1" a="1"/>
  <c r="M1009" i="1" a="1"/>
  <c r="K511" i="1" a="1"/>
  <c r="M511" i="1" a="1"/>
  <c r="K477" i="1" a="1"/>
  <c r="M477" i="1" a="1"/>
  <c r="K930" i="1" a="1"/>
  <c r="M930" i="1" a="1"/>
  <c r="K776" i="1" a="1"/>
  <c r="M776" i="1" a="1"/>
  <c r="K434" i="1" a="1"/>
  <c r="M434" i="1" a="1"/>
  <c r="M822" i="1" a="1"/>
  <c r="K822" i="1" a="1"/>
  <c r="M558" i="1" a="1"/>
  <c r="K558" i="1" a="1"/>
  <c r="M454" i="1" a="1"/>
  <c r="K454" i="1" a="1"/>
  <c r="K831" i="1" a="1"/>
  <c r="M831" i="1" a="1"/>
  <c r="M303" i="1" a="1"/>
  <c r="K303" i="1" a="1"/>
  <c r="K953" i="1" a="1"/>
  <c r="M953" i="1" a="1"/>
  <c r="K547" i="1" a="1"/>
  <c r="M547" i="1" a="1"/>
  <c r="M516" i="1" a="1"/>
  <c r="K516" i="1" a="1"/>
  <c r="K615" i="1" a="1"/>
  <c r="M615" i="1" a="1"/>
  <c r="M1129" i="1" a="1"/>
  <c r="K1129" i="1" a="1"/>
  <c r="K1125" i="1" a="1"/>
  <c r="M1125" i="1" a="1"/>
  <c r="M954" i="1" a="1"/>
  <c r="K954" i="1" a="1"/>
  <c r="K847" i="1" a="1"/>
  <c r="M847" i="1" a="1"/>
  <c r="M1030" i="1" a="1"/>
  <c r="K1030" i="1" a="1"/>
  <c r="K762" i="1" a="1"/>
  <c r="M762" i="1" a="1"/>
  <c r="M846" i="1" a="1"/>
  <c r="K846" i="1" a="1"/>
  <c r="K975" i="1" a="1"/>
  <c r="M975" i="1" a="1"/>
  <c r="M1005" i="1" a="1"/>
  <c r="K1005" i="1" a="1"/>
  <c r="K891" i="1" a="1"/>
  <c r="M891" i="1" a="1"/>
  <c r="M1090" i="1" a="1"/>
  <c r="K1090" i="1" a="1"/>
  <c r="M774" i="1" a="1"/>
  <c r="K774" i="1" a="1"/>
  <c r="M805" i="1" a="1"/>
  <c r="K805" i="1" a="1"/>
  <c r="M597" i="1" a="1"/>
  <c r="K597" i="1" a="1"/>
  <c r="K335" i="1" a="1"/>
  <c r="M335" i="1" a="1"/>
  <c r="M1033" i="1" a="1"/>
  <c r="K1033" i="1" a="1"/>
  <c r="M750" i="1" a="1"/>
  <c r="K750" i="1" a="1"/>
  <c r="M555" i="1" a="1"/>
  <c r="K555" i="1" a="1"/>
  <c r="K437" i="1" a="1"/>
  <c r="M437" i="1" a="1"/>
  <c r="M701" i="1" a="1"/>
  <c r="K701" i="1" a="1"/>
  <c r="K1062" i="1" a="1"/>
  <c r="M1062" i="1" a="1"/>
  <c r="K1088" i="1" a="1"/>
  <c r="M1088" i="1" a="1"/>
  <c r="K478" i="1" a="1"/>
  <c r="M478" i="1" a="1"/>
  <c r="K1121" i="1" a="1"/>
  <c r="M1121" i="1" a="1"/>
  <c r="K1052" i="1" a="1"/>
  <c r="M1052" i="1" a="1"/>
  <c r="M782" i="1" a="1"/>
  <c r="K782" i="1" a="1"/>
  <c r="M490" i="1" a="1"/>
  <c r="K490" i="1" a="1"/>
  <c r="K456" i="1" a="1"/>
  <c r="M456" i="1" a="1"/>
  <c r="M1026" i="1" a="1"/>
  <c r="K1026" i="1" a="1"/>
  <c r="M757" i="1" a="1"/>
  <c r="K757" i="1" a="1"/>
  <c r="M656" i="1" a="1"/>
  <c r="K656" i="1" a="1"/>
  <c r="K1140" i="1" a="1"/>
  <c r="M1140" i="1" a="1"/>
  <c r="K749" i="1" a="1"/>
  <c r="M749" i="1" a="1"/>
  <c r="K510" i="1" a="1"/>
  <c r="M510" i="1" a="1"/>
  <c r="K485" i="1" a="1"/>
  <c r="M485" i="1" a="1"/>
  <c r="M974" i="1" a="1"/>
  <c r="K974" i="1" a="1"/>
  <c r="K377" i="1" a="1"/>
  <c r="M377" i="1" a="1"/>
  <c r="M982" i="1" a="1"/>
  <c r="K982" i="1" a="1"/>
  <c r="K1008" i="1" a="1"/>
  <c r="M1008" i="1" a="1"/>
  <c r="M412" i="1" a="1"/>
  <c r="K412" i="1" a="1"/>
  <c r="M874" i="1" a="1"/>
  <c r="K874" i="1" a="1"/>
  <c r="K725" i="1" a="1"/>
  <c r="M725" i="1" a="1"/>
  <c r="K404" i="1" a="1"/>
  <c r="M404" i="1" a="1"/>
  <c r="M444" i="1" a="1"/>
  <c r="K444" i="1" a="1"/>
  <c r="K577" i="1" a="1"/>
  <c r="M577" i="1" a="1"/>
  <c r="M398" i="1" a="1"/>
  <c r="K398" i="1" a="1"/>
  <c r="K448" i="1" a="1"/>
  <c r="M448" i="1" a="1"/>
  <c r="M556" i="1" a="1"/>
  <c r="K556" i="1" a="1"/>
  <c r="M853" i="1" a="1"/>
  <c r="K853" i="1" a="1"/>
  <c r="M471" i="1" a="1"/>
  <c r="K471" i="1" a="1"/>
  <c r="K933" i="1" a="1"/>
  <c r="M933" i="1" a="1"/>
  <c r="M713" i="1" a="1"/>
  <c r="K713" i="1" a="1"/>
  <c r="K873" i="1" a="1"/>
  <c r="M873" i="1" a="1"/>
  <c r="M648" i="1" a="1"/>
  <c r="K648" i="1" a="1"/>
  <c r="K795" i="1" a="1"/>
  <c r="M795" i="1" a="1"/>
  <c r="M745" i="1" a="1"/>
  <c r="K745" i="1" a="1"/>
  <c r="M1081" i="1" a="1"/>
  <c r="K1081" i="1" a="1"/>
  <c r="K1079" i="1" a="1"/>
  <c r="M1079" i="1" a="1"/>
  <c r="K819" i="1" a="1"/>
  <c r="M819" i="1" a="1"/>
  <c r="K830" i="1" a="1"/>
  <c r="M830" i="1" a="1"/>
  <c r="K1054" i="1" a="1"/>
  <c r="M1054" i="1" a="1"/>
  <c r="K748" i="1" a="1"/>
  <c r="M748" i="1" a="1"/>
  <c r="M796" i="1" a="1"/>
  <c r="K796" i="1" a="1"/>
  <c r="K969" i="1" a="1"/>
  <c r="M969" i="1" a="1"/>
  <c r="M865" i="1" a="1"/>
  <c r="K865" i="1" a="1"/>
  <c r="K966" i="1" a="1"/>
  <c r="M966" i="1" a="1"/>
  <c r="K759" i="1" a="1"/>
  <c r="M759" i="1" a="1"/>
  <c r="K1083" i="1" a="1"/>
  <c r="M1083" i="1" a="1"/>
  <c r="K1035" i="1" a="1"/>
  <c r="M1035" i="1" a="1"/>
  <c r="K581" i="1" a="1"/>
  <c r="M581" i="1" a="1"/>
  <c r="K882" i="1" a="1"/>
  <c r="M882" i="1" a="1"/>
  <c r="K1046" i="1" a="1"/>
  <c r="M1046" i="1" a="1"/>
  <c r="K739" i="1" a="1"/>
  <c r="M739" i="1" a="1"/>
  <c r="K306" i="1" a="1"/>
  <c r="M306" i="1" a="1"/>
  <c r="K863" i="1" a="1"/>
  <c r="M863" i="1" a="1"/>
  <c r="K783" i="1" a="1"/>
  <c r="M783" i="1" a="1"/>
  <c r="K653" i="1" a="1"/>
  <c r="M653" i="1" a="1"/>
  <c r="K447" i="1" a="1"/>
  <c r="M447" i="1" a="1"/>
  <c r="M852" i="1" a="1"/>
  <c r="K852" i="1" a="1"/>
  <c r="K816" i="1" a="1"/>
  <c r="M816" i="1" a="1"/>
  <c r="K624" i="1" a="1"/>
  <c r="M624" i="1" a="1"/>
  <c r="M554" i="1" a="1"/>
  <c r="K554" i="1" a="1"/>
  <c r="M467" i="1" a="1"/>
  <c r="K467" i="1" a="1"/>
  <c r="K650" i="1" a="1"/>
  <c r="M650" i="1" a="1"/>
  <c r="M592" i="1" a="1"/>
  <c r="K592" i="1" a="1"/>
  <c r="M408" i="1" a="1"/>
  <c r="K408" i="1" a="1"/>
  <c r="M1085" i="1" a="1"/>
  <c r="K1085" i="1" a="1"/>
  <c r="K736" i="1" a="1"/>
  <c r="M736" i="1" a="1"/>
  <c r="K839" i="1" a="1"/>
  <c r="M839" i="1" a="1"/>
  <c r="M470" i="1" a="1"/>
  <c r="K470" i="1" a="1"/>
  <c r="M299" i="1" a="1"/>
  <c r="K299" i="1" a="1"/>
  <c r="M466" i="1" a="1"/>
  <c r="K466" i="1" a="1"/>
  <c r="K350" i="1" a="1"/>
  <c r="M350" i="1" a="1"/>
  <c r="M817" i="1" a="1"/>
  <c r="K817" i="1" a="1"/>
  <c r="K689" i="1" a="1"/>
  <c r="M689" i="1" a="1"/>
  <c r="K431" i="1" a="1"/>
  <c r="M431" i="1" a="1"/>
  <c r="K787" i="1" a="1"/>
  <c r="M787" i="1" a="1"/>
  <c r="K365" i="1" a="1"/>
  <c r="M365" i="1" a="1"/>
  <c r="M281" i="1" a="1"/>
  <c r="K281" i="1" a="1"/>
  <c r="M921" i="1" a="1"/>
  <c r="K921" i="1" a="1"/>
  <c r="K786" i="1" a="1"/>
  <c r="M786" i="1" a="1"/>
  <c r="K274" i="1" a="1"/>
  <c r="M274" i="1" a="1"/>
  <c r="M435" i="1" a="1"/>
  <c r="K435" i="1" a="1"/>
  <c r="M424" i="1" a="1"/>
  <c r="K424" i="1" a="1"/>
  <c r="K479" i="1" a="1"/>
  <c r="M479" i="1" a="1"/>
  <c r="M772" i="1" a="1"/>
  <c r="K772" i="1" a="1"/>
  <c r="K549" i="1" a="1"/>
  <c r="M549" i="1" a="1"/>
  <c r="M488" i="1" a="1"/>
  <c r="K488" i="1" a="1"/>
  <c r="K542" i="1" a="1"/>
  <c r="M542" i="1" a="1"/>
  <c r="M498" i="1" a="1"/>
  <c r="K498" i="1" a="1"/>
  <c r="K771" i="1" a="1"/>
  <c r="M771" i="1" a="1"/>
  <c r="K1074" i="1" a="1"/>
  <c r="M1074" i="1" a="1"/>
  <c r="M1066" i="1" a="1"/>
  <c r="K1066" i="1" a="1"/>
  <c r="M880" i="1" a="1"/>
  <c r="K880" i="1" a="1"/>
  <c r="K905" i="1" a="1"/>
  <c r="M905" i="1" a="1"/>
  <c r="M968" i="1" a="1"/>
  <c r="K968" i="1" a="1"/>
  <c r="M994" i="1" a="1"/>
  <c r="K994" i="1" a="1"/>
  <c r="M1049" i="1" a="1"/>
  <c r="K1049" i="1" a="1"/>
  <c r="M842" i="1" a="1"/>
  <c r="K842" i="1" a="1"/>
  <c r="M1042" i="1" a="1"/>
  <c r="K1042" i="1" a="1"/>
  <c r="M1137" i="1" a="1"/>
  <c r="K1137" i="1" a="1"/>
  <c r="K879" i="1" a="1"/>
  <c r="M879" i="1" a="1"/>
  <c r="M710" i="1" a="1"/>
  <c r="K710" i="1" a="1"/>
  <c r="M773" i="1" a="1"/>
  <c r="K773" i="1" a="1"/>
  <c r="K586" i="1" a="1"/>
  <c r="M586" i="1" a="1"/>
  <c r="K341" i="1" a="1"/>
  <c r="M341" i="1" a="1"/>
  <c r="M908" i="1" a="1"/>
  <c r="K908" i="1" a="1"/>
  <c r="K1128" i="1" a="1"/>
  <c r="M1128" i="1" a="1"/>
  <c r="K580" i="1" a="1"/>
  <c r="M580" i="1" a="1"/>
  <c r="K429" i="1" a="1"/>
  <c r="M429" i="1" a="1"/>
  <c r="M425" i="1" a="1"/>
  <c r="K425" i="1" a="1"/>
  <c r="M647" i="1" a="1"/>
  <c r="K647" i="1" a="1"/>
  <c r="K1056" i="1" a="1"/>
  <c r="M1056" i="1" a="1"/>
  <c r="M379" i="1" a="1"/>
  <c r="K379" i="1" a="1"/>
  <c r="M1037" i="1" a="1"/>
  <c r="K1037" i="1" a="1"/>
  <c r="K1020" i="1" a="1"/>
  <c r="M1020" i="1" a="1"/>
  <c r="M718" i="1" a="1"/>
  <c r="K718" i="1" a="1"/>
  <c r="M421" i="1" a="1"/>
  <c r="K421" i="1" a="1"/>
  <c r="K428" i="1" a="1"/>
  <c r="M428" i="1" a="1"/>
  <c r="K1069" i="1" a="1"/>
  <c r="M1069" i="1" a="1"/>
  <c r="M622" i="1" a="1"/>
  <c r="K622" i="1" a="1"/>
  <c r="M973" i="1" a="1"/>
  <c r="K973" i="1" a="1"/>
  <c r="K1108" i="1" a="1"/>
  <c r="M1108" i="1" a="1"/>
  <c r="K717" i="1" a="1"/>
  <c r="M717" i="1" a="1"/>
  <c r="M426" i="1" a="1"/>
  <c r="K426" i="1" a="1"/>
  <c r="M407" i="1" a="1"/>
  <c r="K407" i="1" a="1"/>
  <c r="M726" i="1" a="1"/>
  <c r="K726" i="1" a="1"/>
  <c r="M417" i="1" a="1"/>
  <c r="K417" i="1" a="1"/>
  <c r="M678" i="1" a="1"/>
  <c r="K678" i="1" a="1"/>
  <c r="M956" i="1" a="1"/>
  <c r="K956" i="1" a="1"/>
  <c r="M513" i="1" a="1"/>
  <c r="K513" i="1" a="1"/>
  <c r="M790" i="1" a="1"/>
  <c r="K790" i="1" a="1"/>
  <c r="K494" i="1" a="1"/>
  <c r="M494" i="1" a="1"/>
  <c r="M430" i="1" a="1"/>
  <c r="K430" i="1" a="1"/>
  <c r="M276" i="1" a="1"/>
  <c r="K276" i="1" a="1"/>
  <c r="M902" i="1" a="1"/>
  <c r="K902" i="1" a="1"/>
  <c r="M949" i="1" a="1"/>
  <c r="K949" i="1" a="1"/>
  <c r="K909" i="1" a="1"/>
  <c r="M909" i="1" a="1"/>
  <c r="K396" i="1" a="1"/>
  <c r="M396" i="1" a="1"/>
  <c r="K337" i="1" a="1"/>
  <c r="M337" i="1" a="1"/>
  <c r="K951" i="1" a="1"/>
  <c r="M951" i="1" a="1"/>
  <c r="M409" i="1" a="1"/>
  <c r="K409" i="1" a="1"/>
  <c r="M1117" i="1" a="1"/>
  <c r="K1117" i="1" a="1"/>
  <c r="M460" i="1" a="1"/>
  <c r="K460" i="1" a="1"/>
  <c r="K262" i="1" a="1"/>
  <c r="M262" i="1" a="1"/>
  <c r="K266" i="1" a="1"/>
  <c r="M266" i="1" a="1"/>
  <c r="M491" i="1" a="1"/>
  <c r="K491" i="1" a="1"/>
  <c r="K541" i="1" a="1"/>
  <c r="M541" i="1" a="1"/>
  <c r="K606" i="1" a="1"/>
  <c r="M606" i="1" a="1"/>
  <c r="K855" i="1" a="1"/>
  <c r="M855" i="1" a="1"/>
  <c r="M804" i="1" a="1"/>
  <c r="K804" i="1" a="1"/>
  <c r="M937" i="1" a="1"/>
  <c r="K937" i="1" a="1"/>
  <c r="M925" i="1" a="1"/>
  <c r="K925" i="1" a="1"/>
  <c r="K915" i="1" a="1"/>
  <c r="M915" i="1" a="1"/>
  <c r="M672" i="1" a="1"/>
  <c r="K672" i="1" a="1"/>
  <c r="K386" i="1" a="1"/>
  <c r="M386" i="1" a="1"/>
  <c r="K261" i="1" a="1"/>
  <c r="M261" i="1" a="1"/>
  <c r="K976" i="1" a="1"/>
  <c r="M976" i="1" a="1"/>
  <c r="M1002" i="1" a="1"/>
  <c r="K1002" i="1" a="1"/>
  <c r="M667" i="1" a="1"/>
  <c r="K667" i="1" a="1"/>
  <c r="M1077" i="1" a="1"/>
  <c r="K1077" i="1" a="1"/>
  <c r="K995" i="1" a="1"/>
  <c r="M995" i="1" a="1"/>
  <c r="K640" i="1" a="1"/>
  <c r="M640" i="1" a="1"/>
  <c r="M666" i="1" a="1"/>
  <c r="K666" i="1" a="1"/>
  <c r="K730" i="1" a="1"/>
  <c r="M730" i="1" a="1"/>
  <c r="M965" i="1" a="1"/>
  <c r="K965" i="1" a="1"/>
  <c r="K1107" i="1" a="1"/>
  <c r="M1107" i="1" a="1"/>
  <c r="K886" i="1" a="1"/>
  <c r="M886" i="1" a="1"/>
  <c r="K881" i="1" a="1"/>
  <c r="M881" i="1" a="1"/>
  <c r="M688" i="1" a="1"/>
  <c r="K688" i="1" a="1"/>
  <c r="K1139" i="1" a="1"/>
  <c r="M1139" i="1" a="1"/>
  <c r="M777" i="1" a="1"/>
  <c r="K777" i="1" a="1"/>
  <c r="K1007" i="1" a="1"/>
  <c r="M1007" i="1" a="1"/>
  <c r="K698" i="1" a="1"/>
  <c r="M698" i="1" a="1"/>
  <c r="K735" i="1" a="1"/>
  <c r="M735" i="1" a="1"/>
  <c r="K550" i="1" a="1"/>
  <c r="M550" i="1" a="1"/>
  <c r="K359" i="1" a="1"/>
  <c r="M359" i="1" a="1"/>
  <c r="K850" i="1" a="1"/>
  <c r="M850" i="1" a="1"/>
  <c r="M518" i="1" a="1"/>
  <c r="K518" i="1" a="1"/>
  <c r="K267" i="1" a="1"/>
  <c r="M267" i="1" a="1"/>
  <c r="M916" i="1" a="1"/>
  <c r="K916" i="1" a="1"/>
  <c r="M1045" i="1" a="1"/>
  <c r="K1045" i="1" a="1"/>
  <c r="M607" i="1" a="1"/>
  <c r="K607" i="1" a="1"/>
  <c r="K794" i="1" a="1"/>
  <c r="M794" i="1" a="1"/>
  <c r="K382" i="1" a="1"/>
  <c r="M382" i="1" a="1"/>
  <c r="K685" i="1" a="1"/>
  <c r="M685" i="1" a="1"/>
  <c r="M376" i="1" a="1"/>
  <c r="K376" i="1" a="1"/>
  <c r="M320" i="1" a="1"/>
  <c r="K320" i="1" a="1"/>
  <c r="M884" i="1" a="1"/>
  <c r="K884" i="1" a="1"/>
  <c r="M295" i="1" a="1"/>
  <c r="K295" i="1" a="1"/>
  <c r="M461" i="1" a="1"/>
  <c r="K461" i="1" a="1"/>
  <c r="M1034" i="1" a="1"/>
  <c r="K1034" i="1" a="1"/>
  <c r="M445" i="1" a="1"/>
  <c r="K445" i="1" a="1"/>
  <c r="M503" i="1" a="1"/>
  <c r="K503" i="1" a="1"/>
  <c r="K722" i="1" a="1"/>
  <c r="M722" i="1" a="1"/>
  <c r="M613" i="1" a="1"/>
  <c r="K613" i="1" a="1"/>
  <c r="M339" i="1" a="1"/>
  <c r="K339" i="1" a="1"/>
  <c r="K779" i="1" a="1"/>
  <c r="M779" i="1" a="1"/>
  <c r="K562" i="1" a="1"/>
  <c r="M562" i="1" a="1"/>
  <c r="M336" i="1" a="1"/>
  <c r="K336" i="1" a="1"/>
  <c r="K596" i="1" a="1"/>
  <c r="M596" i="1" a="1"/>
  <c r="K414" i="1" a="1"/>
  <c r="M414" i="1" a="1"/>
  <c r="K1022" i="1" a="1"/>
  <c r="M1022" i="1" a="1"/>
  <c r="K368" i="1" a="1"/>
  <c r="M368" i="1" a="1"/>
  <c r="M1017" i="1" a="1"/>
  <c r="K1017" i="1" a="1"/>
  <c r="K1082" i="1" a="1"/>
  <c r="M1082" i="1" a="1"/>
  <c r="K741" i="1" a="1"/>
  <c r="M741" i="1" a="1"/>
  <c r="K1024" i="1" a="1"/>
  <c r="M1024" i="1" a="1"/>
  <c r="M1010" i="1" a="1"/>
  <c r="K1010" i="1" a="1"/>
  <c r="K469" i="1" a="1"/>
  <c r="M469" i="1" a="1"/>
  <c r="K268" i="1" a="1"/>
  <c r="M268" i="1" a="1"/>
  <c r="K370" i="1" a="1"/>
  <c r="M370" i="1" a="1"/>
  <c r="K293" i="1" a="1"/>
  <c r="M293" i="1" a="1"/>
  <c r="K522" i="1" a="1"/>
  <c r="M522" i="1" a="1"/>
  <c r="M590" i="1" a="1"/>
  <c r="K590" i="1" a="1"/>
  <c r="K639" i="1" a="1"/>
  <c r="M639" i="1" a="1"/>
  <c r="K867" i="1" a="1"/>
  <c r="M867" i="1" a="1"/>
  <c r="K598" i="1" a="1"/>
  <c r="M598" i="1" a="1"/>
  <c r="K450" i="1" a="1"/>
  <c r="M450" i="1" a="1"/>
  <c r="M957" i="1" a="1"/>
  <c r="K957" i="1" a="1"/>
  <c r="M947" i="1" a="1"/>
  <c r="K947" i="1" a="1"/>
  <c r="M897" i="1" a="1"/>
  <c r="K897" i="1" a="1"/>
  <c r="M920" i="1" a="1"/>
  <c r="K920" i="1" a="1"/>
  <c r="K699" i="1" a="1"/>
  <c r="M699" i="1" a="1"/>
  <c r="M864" i="1" a="1"/>
  <c r="K864" i="1" a="1"/>
  <c r="M827" i="1" a="1"/>
  <c r="K827" i="1" a="1"/>
  <c r="M1113" i="1" a="1"/>
  <c r="K1113" i="1" a="1"/>
  <c r="K436" i="1" a="1"/>
  <c r="M436" i="1" a="1"/>
  <c r="K1063" i="1" a="1"/>
  <c r="M1063" i="1" a="1"/>
  <c r="M826" i="1" a="1"/>
  <c r="K826" i="1" a="1"/>
  <c r="K979" i="1" a="1"/>
  <c r="M979" i="1" a="1"/>
  <c r="M563" i="1" a="1"/>
  <c r="K563" i="1" a="1"/>
  <c r="M785" i="1" a="1"/>
  <c r="K785" i="1" a="1"/>
  <c r="K1047" i="1" a="1"/>
  <c r="M1047" i="1" a="1"/>
  <c r="K719" i="1" a="1"/>
  <c r="M719" i="1" a="1"/>
  <c r="K1055" i="1" a="1"/>
  <c r="M1055" i="1" a="1"/>
  <c r="M364" i="1" a="1"/>
  <c r="K364" i="1" a="1"/>
  <c r="K1087" i="1" a="1"/>
  <c r="M1087" i="1" a="1"/>
  <c r="K712" i="1" a="1"/>
  <c r="M712" i="1" a="1"/>
  <c r="K838" i="1" a="1"/>
  <c r="M838" i="1" a="1"/>
  <c r="K775" i="1" a="1"/>
  <c r="M775" i="1" a="1"/>
  <c r="K319" i="1" a="1"/>
  <c r="M319" i="1" a="1"/>
  <c r="M646" i="1" a="1"/>
  <c r="K646" i="1" a="1"/>
  <c r="K523" i="1" a="1"/>
  <c r="M523" i="1" a="1"/>
  <c r="K358" i="1" a="1"/>
  <c r="M358" i="1" a="1"/>
  <c r="K1135" i="1" a="1"/>
  <c r="M1135" i="1" a="1"/>
  <c r="K1131" i="1" a="1"/>
  <c r="M1131" i="1" a="1"/>
  <c r="K676" i="1" a="1"/>
  <c r="M676" i="1" a="1"/>
  <c r="K349" i="1" a="1"/>
  <c r="M349" i="1" a="1"/>
  <c r="K591" i="1" a="1"/>
  <c r="M591" i="1" a="1"/>
  <c r="M737" i="1" a="1"/>
  <c r="K737" i="1" a="1"/>
  <c r="K768" i="1" a="1"/>
  <c r="M768" i="1" a="1"/>
  <c r="K569" i="1" a="1"/>
  <c r="M569" i="1" a="1"/>
  <c r="K887" i="1" a="1"/>
  <c r="M887" i="1" a="1"/>
  <c r="K747" i="1" a="1"/>
  <c r="M747" i="1" a="1"/>
  <c r="M571" i="1" a="1"/>
  <c r="K571" i="1" a="1"/>
  <c r="M700" i="1" a="1"/>
  <c r="K700" i="1" a="1"/>
  <c r="K537" i="1" a="1"/>
  <c r="M537" i="1" a="1"/>
  <c r="K578" i="1" a="1"/>
  <c r="M578" i="1" a="1"/>
  <c r="K327" i="1" a="1"/>
  <c r="M327" i="1" a="1"/>
  <c r="M279" i="1" a="1"/>
  <c r="K279" i="1" a="1"/>
  <c r="M1097" i="1" a="1"/>
  <c r="K1097" i="1" a="1"/>
  <c r="M462" i="1" a="1"/>
  <c r="K462" i="1" a="1"/>
  <c r="M393" i="1" a="1"/>
  <c r="K393" i="1" a="1"/>
  <c r="K788" i="1" a="1"/>
  <c r="M788" i="1" a="1"/>
  <c r="K495" i="1" a="1"/>
  <c r="M495" i="1" a="1"/>
  <c r="K418" i="1" a="1"/>
  <c r="M418" i="1" a="1"/>
  <c r="K823" i="1" a="1"/>
  <c r="M823" i="1" a="1"/>
  <c r="K641" i="1" a="1"/>
  <c r="M641" i="1" a="1"/>
  <c r="M316" i="1" a="1"/>
  <c r="K316" i="1" a="1"/>
  <c r="K395" i="1" a="1"/>
  <c r="M395" i="1" a="1"/>
  <c r="M374" i="1" a="1"/>
  <c r="K374" i="1" a="1"/>
  <c r="M357" i="1" a="1"/>
  <c r="K357" i="1" a="1"/>
  <c r="K731" i="1" a="1"/>
  <c r="M731" i="1" a="1"/>
  <c r="M344" i="1" a="1"/>
  <c r="K344" i="1" a="1"/>
  <c r="M534" i="1" a="1"/>
  <c r="K534" i="1" a="1"/>
  <c r="K821" i="1" a="1"/>
  <c r="M821" i="1" a="1"/>
  <c r="K391" i="1" a="1"/>
  <c r="M391" i="1" a="1"/>
  <c r="K438" i="1" a="1"/>
  <c r="M438" i="1" a="1"/>
  <c r="M990" i="1" a="1"/>
  <c r="K990" i="1" a="1"/>
  <c r="M876" i="1" a="1"/>
  <c r="K876" i="1" a="1"/>
  <c r="M946" i="1" a="1"/>
  <c r="K946" i="1" a="1"/>
  <c r="K961" i="1" a="1"/>
  <c r="M961" i="1" a="1"/>
  <c r="M912" i="1" a="1"/>
  <c r="K912" i="1" a="1"/>
  <c r="K1089" i="1" a="1"/>
  <c r="M1089" i="1" a="1"/>
  <c r="M922" i="1" a="1"/>
  <c r="K922" i="1" a="1"/>
  <c r="K993" i="1" a="1"/>
  <c r="M993" i="1" a="1"/>
  <c r="K802" i="1" a="1"/>
  <c r="M802" i="1" a="1"/>
  <c r="M928" i="1" a="1"/>
  <c r="K928" i="1" a="1"/>
  <c r="K1025" i="1" a="1"/>
  <c r="M1025" i="1" a="1"/>
  <c r="K1132" i="1" a="1"/>
  <c r="M1132" i="1" a="1"/>
  <c r="M709" i="1" a="1"/>
  <c r="K709" i="1" a="1"/>
  <c r="M401" i="1" a="1"/>
  <c r="K401" i="1" a="1"/>
  <c r="M304" i="1" a="1"/>
  <c r="K304" i="1" a="1"/>
  <c r="K714" i="1" a="1"/>
  <c r="M714" i="1" a="1"/>
  <c r="K1064" i="1" a="1"/>
  <c r="M1064" i="1" a="1"/>
  <c r="K504" i="1" a="1"/>
  <c r="M504" i="1" a="1"/>
  <c r="M315" i="1" a="1"/>
  <c r="K315" i="1" a="1"/>
  <c r="M402" i="1" a="1"/>
  <c r="K402" i="1" a="1"/>
  <c r="M960" i="1" a="1"/>
  <c r="K960" i="1" a="1"/>
  <c r="K992" i="1" a="1"/>
  <c r="M992" i="1" a="1"/>
  <c r="M416" i="1" a="1"/>
  <c r="K416" i="1" a="1"/>
  <c r="M858" i="1" a="1"/>
  <c r="K858" i="1" a="1"/>
  <c r="M375" i="1" a="1"/>
  <c r="K375" i="1" a="1"/>
  <c r="K1080" i="1" a="1"/>
  <c r="M1080" i="1" a="1"/>
  <c r="M455" i="1" a="1"/>
  <c r="K455" i="1" a="1"/>
  <c r="K373" i="1" a="1"/>
  <c r="M373" i="1" a="1"/>
  <c r="K963" i="1" a="1"/>
  <c r="M963" i="1" a="1"/>
  <c r="K328" i="1" a="1"/>
  <c r="M328" i="1" a="1"/>
  <c r="M603" i="1" a="1"/>
  <c r="K603" i="1" a="1"/>
  <c r="K1044" i="1" a="1"/>
  <c r="M1044" i="1" a="1"/>
  <c r="K543" i="1" a="1"/>
  <c r="M543" i="1" a="1"/>
  <c r="K446" i="1" a="1"/>
  <c r="M446" i="1" a="1"/>
  <c r="K351" i="1" a="1"/>
  <c r="M351" i="1" a="1"/>
  <c r="K1028" i="1" a="1"/>
  <c r="M1028" i="1" a="1"/>
  <c r="M661" i="1" a="1"/>
  <c r="K661" i="1" a="1"/>
  <c r="M734" i="1" a="1"/>
  <c r="K734" i="1" a="1"/>
  <c r="K575" i="1" a="1"/>
  <c r="M575" i="1" a="1"/>
  <c r="M313" i="1" a="1"/>
  <c r="K313" i="1" a="1"/>
  <c r="M557" i="1" a="1"/>
  <c r="K557" i="1" a="1"/>
  <c r="M536" i="1" a="1"/>
  <c r="K536" i="1" a="1"/>
  <c r="K917" i="1" a="1"/>
  <c r="M917" i="1" a="1"/>
  <c r="M1021" i="1" a="1"/>
  <c r="K1021" i="1" a="1"/>
  <c r="K501" i="1" a="1"/>
  <c r="M501" i="1" a="1"/>
  <c r="M481" i="1" a="1"/>
  <c r="K481" i="1" a="1"/>
  <c r="M277" i="1" a="1"/>
  <c r="K277" i="1" a="1"/>
  <c r="K410" i="1" a="1"/>
  <c r="M410" i="1" a="1"/>
  <c r="M459" i="1" a="1"/>
  <c r="K459" i="1" a="1"/>
  <c r="M629" i="1" a="1"/>
  <c r="K629" i="1" a="1"/>
  <c r="M658" i="1" a="1"/>
  <c r="K658" i="1" a="1"/>
  <c r="M680" i="1" a="1"/>
  <c r="K680" i="1" a="1"/>
  <c r="K919" i="1" a="1"/>
  <c r="M919" i="1" a="1"/>
  <c r="K630" i="1" a="1"/>
  <c r="M630" i="1" a="1"/>
  <c r="M697" i="1" a="1"/>
  <c r="K697" i="1" a="1"/>
  <c r="K385" i="1" a="1"/>
  <c r="M385" i="1" a="1"/>
  <c r="M753" i="1" a="1"/>
  <c r="K753" i="1" a="1"/>
  <c r="K716" i="1" a="1"/>
  <c r="M716" i="1" a="1"/>
  <c r="K1110" i="1" a="1"/>
  <c r="M1110" i="1" a="1"/>
  <c r="M551" i="1" a="1"/>
  <c r="K551" i="1" a="1"/>
  <c r="K808" i="1" a="1"/>
  <c r="M808" i="1" a="1"/>
  <c r="K1023" i="1" a="1"/>
  <c r="M1023" i="1" a="1"/>
  <c r="K999" i="1" a="1"/>
  <c r="M999" i="1" a="1"/>
  <c r="M487" i="1" a="1"/>
  <c r="K487" i="1" a="1"/>
  <c r="K1091" i="1" a="1"/>
  <c r="M1091" i="1" a="1"/>
  <c r="K1073" i="1" a="1"/>
  <c r="M1073" i="1" a="1"/>
  <c r="M769" i="1" a="1"/>
  <c r="K769" i="1" a="1"/>
  <c r="M318" i="1" a="1"/>
  <c r="K318" i="1" a="1"/>
  <c r="M587" i="1" a="1"/>
  <c r="K587" i="1" a="1"/>
  <c r="K958" i="1" a="1"/>
  <c r="M958" i="1" a="1"/>
  <c r="K1099" i="1" a="1"/>
  <c r="M1099" i="1" a="1"/>
  <c r="K941" i="1" a="1"/>
  <c r="M941" i="1" a="1"/>
  <c r="M1038" i="1" a="1"/>
  <c r="K1038" i="1" a="1"/>
  <c r="M1106" i="1" a="1"/>
  <c r="K1106" i="1" a="1"/>
  <c r="M1141" i="1" a="1"/>
  <c r="K1141" i="1" a="1"/>
  <c r="K791" i="1" a="1"/>
  <c r="M791" i="1" a="1"/>
  <c r="K657" i="1" a="1"/>
  <c r="M657" i="1" a="1"/>
  <c r="K360" i="1" a="1"/>
  <c r="M360" i="1" a="1"/>
  <c r="K1027" i="1" a="1"/>
  <c r="M1027" i="1" a="1"/>
  <c r="K784" i="1" a="1"/>
  <c r="M784" i="1" a="1"/>
  <c r="M302" i="1" a="1"/>
  <c r="K302" i="1" a="1"/>
  <c r="M1053" i="1" a="1"/>
  <c r="K1053" i="1" a="1"/>
  <c r="K812" i="1" a="1"/>
  <c r="M812" i="1" a="1"/>
  <c r="K585" i="1" a="1"/>
  <c r="M585" i="1" a="1"/>
  <c r="K605" i="1" a="1"/>
  <c r="M605" i="1" a="1"/>
  <c r="K288" i="1" a="1"/>
  <c r="M288" i="1" a="1"/>
  <c r="K755" i="1" a="1"/>
  <c r="M755" i="1" a="1"/>
  <c r="K611" i="1" a="1"/>
  <c r="M611" i="1" a="1"/>
  <c r="M602" i="1" a="1"/>
  <c r="K602" i="1" a="1"/>
  <c r="K964" i="1" a="1"/>
  <c r="M964" i="1" a="1"/>
  <c r="K903" i="1" a="1"/>
  <c r="M903" i="1" a="1"/>
  <c r="M380" i="1" a="1"/>
  <c r="K380" i="1" a="1"/>
  <c r="M334" i="1" a="1"/>
  <c r="K334" i="1" a="1"/>
  <c r="M673" i="1" a="1"/>
  <c r="K673" i="1" a="1"/>
  <c r="K378" i="1" a="1"/>
  <c r="M378" i="1" a="1"/>
  <c r="K530" i="1" a="1"/>
  <c r="M530" i="1" a="1"/>
  <c r="K464" i="1" a="1"/>
  <c r="M464" i="1" a="1"/>
  <c r="M793" i="1" a="1"/>
  <c r="K793" i="1" a="1"/>
  <c r="M325" i="1" a="1"/>
  <c r="K325" i="1" a="1"/>
  <c r="M340" i="1" a="1"/>
  <c r="K340" i="1" a="1"/>
  <c r="K538" i="1" a="1"/>
  <c r="M538" i="1" a="1"/>
  <c r="K366" i="1" a="1"/>
  <c r="M366" i="1" a="1"/>
  <c r="M342" i="1" a="1"/>
  <c r="K342" i="1" a="1"/>
  <c r="M971" i="1" a="1"/>
  <c r="K971" i="1" a="1"/>
  <c r="M588" i="1" a="1"/>
  <c r="K588" i="1" a="1"/>
  <c r="K942" i="1" a="1"/>
  <c r="M942" i="1" a="1"/>
  <c r="K746" i="1" a="1"/>
  <c r="M746" i="1" a="1"/>
  <c r="K484" i="1" a="1"/>
  <c r="M484" i="1" a="1"/>
  <c r="M600" i="1" a="1"/>
  <c r="K600" i="1" a="1"/>
  <c r="K482" i="1" a="1"/>
  <c r="M482" i="1" a="1"/>
  <c r="M552" i="1" a="1"/>
  <c r="K552" i="1" a="1"/>
  <c r="M945" i="1" a="1"/>
  <c r="K945" i="1" a="1"/>
  <c r="K323" i="1" a="1"/>
  <c r="M323" i="1" a="1"/>
  <c r="M506" i="1" a="1"/>
  <c r="K506" i="1" a="1"/>
  <c r="M564" i="1" a="1"/>
  <c r="K564" i="1" a="1"/>
  <c r="M870" i="1" a="1"/>
  <c r="K870" i="1" a="1"/>
  <c r="K706" i="1" a="1"/>
  <c r="M706" i="1" a="1"/>
  <c r="M520" i="1" a="1"/>
  <c r="K520" i="1" a="1"/>
  <c r="M906" i="1" a="1"/>
  <c r="K906" i="1" a="1"/>
  <c r="M848" i="1" a="1"/>
  <c r="K848" i="1" a="1"/>
  <c r="M900" i="1" a="1"/>
  <c r="K900" i="1" a="1"/>
  <c r="K352" i="1" a="1"/>
  <c r="M352" i="1" a="1"/>
  <c r="K931" i="1" a="1"/>
  <c r="M931" i="1" a="1"/>
  <c r="K317" i="1" a="1"/>
  <c r="M317" i="1" a="1"/>
  <c r="K877" i="1" a="1"/>
  <c r="M877" i="1" a="1"/>
  <c r="M866" i="1" a="1"/>
  <c r="K866" i="1" a="1"/>
  <c r="K1100" i="1" a="1"/>
  <c r="M1100" i="1" a="1"/>
  <c r="M533" i="1" a="1"/>
  <c r="K533" i="1" a="1"/>
  <c r="K406" i="1" a="1"/>
  <c r="M406" i="1" a="1"/>
  <c r="M307" i="1" a="1"/>
  <c r="K307" i="1" a="1"/>
  <c r="M978" i="1" a="1"/>
  <c r="K978" i="1" a="1"/>
  <c r="K1032" i="1" a="1"/>
  <c r="M1032" i="1" a="1"/>
  <c r="K528" i="1" a="1"/>
  <c r="M528" i="1" a="1"/>
  <c r="M292" i="1" a="1"/>
  <c r="K292" i="1" a="1"/>
  <c r="K789" i="1" a="1"/>
  <c r="M789" i="1" a="1"/>
  <c r="M766" i="1" a="1"/>
  <c r="K766" i="1" a="1"/>
  <c r="K694" i="1" a="1"/>
  <c r="M694" i="1" a="1"/>
  <c r="K384" i="1" a="1"/>
  <c r="M384" i="1" a="1"/>
  <c r="M1014" i="1" a="1"/>
  <c r="K1014" i="1" a="1"/>
  <c r="K1114" i="1" a="1"/>
  <c r="M1114" i="1" a="1"/>
  <c r="K1048" i="1" a="1"/>
  <c r="M1048" i="1" a="1"/>
  <c r="K529" i="1" a="1"/>
  <c r="M529" i="1" a="1"/>
  <c r="K356" i="1" a="1"/>
  <c r="M356" i="1" a="1"/>
  <c r="K1060" i="1" a="1"/>
  <c r="M1060" i="1" a="1"/>
  <c r="K1118" i="1" a="1"/>
  <c r="M1118" i="1" a="1"/>
  <c r="M989" i="1" a="1"/>
  <c r="K989" i="1" a="1"/>
  <c r="K1012" i="1" a="1"/>
  <c r="M1012" i="1" a="1"/>
  <c r="K593" i="1" a="1"/>
  <c r="M593" i="1" a="1"/>
  <c r="K457" i="1" a="1"/>
  <c r="M457" i="1" a="1"/>
  <c r="K397" i="1" a="1"/>
  <c r="M397" i="1" a="1"/>
  <c r="M733" i="1" a="1"/>
  <c r="K733" i="1" a="1"/>
  <c r="K770" i="1" a="1"/>
  <c r="M770" i="1" a="1"/>
  <c r="K1136" i="1" a="1"/>
  <c r="M1136" i="1" a="1"/>
  <c r="M619" i="1" a="1"/>
  <c r="K619" i="1" a="1"/>
  <c r="K333" i="1" a="1"/>
  <c r="M333" i="1" a="1"/>
  <c r="K527" i="1" a="1"/>
  <c r="M527" i="1" a="1"/>
  <c r="K950" i="1" a="1"/>
  <c r="M950" i="1" a="1"/>
  <c r="M844" i="1" a="1"/>
  <c r="K844" i="1" a="1"/>
  <c r="K1096" i="1" a="1"/>
  <c r="M1096" i="1" a="1"/>
  <c r="M655" i="1" a="1"/>
  <c r="K655" i="1" a="1"/>
  <c r="M411" i="1" a="1"/>
  <c r="K411" i="1" a="1"/>
  <c r="M798" i="1" a="1"/>
  <c r="K798" i="1" a="1"/>
  <c r="M294" i="1" a="1"/>
  <c r="K294" i="1" a="1"/>
  <c r="K270" i="1" a="1"/>
  <c r="M270" i="1" a="1"/>
  <c r="K289" i="1" a="1"/>
  <c r="M289" i="1" a="1"/>
  <c r="K638" i="1" a="1"/>
  <c r="M638" i="1" a="1"/>
  <c r="M645" i="1" a="1"/>
  <c r="K645" i="1" a="1"/>
  <c r="K682" i="1" a="1"/>
  <c r="M682" i="1" a="1"/>
  <c r="M524" i="1" a="1"/>
  <c r="K524" i="1" a="1"/>
  <c r="K651" i="1" a="1"/>
  <c r="M651" i="1" a="1"/>
  <c r="K835" i="1" a="1"/>
  <c r="M835" i="1" a="1"/>
  <c r="K432" i="1" a="1"/>
  <c r="M432" i="1" a="1"/>
  <c r="K824" i="1" a="1"/>
  <c r="M824" i="1" a="1"/>
  <c r="M820" i="1" a="1"/>
  <c r="K820" i="1" a="1"/>
  <c r="K991" i="1" a="1"/>
  <c r="M991" i="1" a="1"/>
  <c r="M929" i="1" a="1"/>
  <c r="K929" i="1" a="1"/>
  <c r="K644" i="1" a="1"/>
  <c r="M644" i="1" a="1"/>
  <c r="K918" i="1" a="1"/>
  <c r="M918" i="1" a="1"/>
  <c r="K927" i="1" a="1"/>
  <c r="M927" i="1" a="1"/>
  <c r="K1071" i="1" a="1"/>
  <c r="M1071" i="1" a="1"/>
  <c r="M1013" i="1" a="1"/>
  <c r="K1013" i="1" a="1"/>
  <c r="K962" i="1" a="1"/>
  <c r="M962" i="1" a="1"/>
  <c r="K654" i="1" a="1"/>
  <c r="M654" i="1" a="1"/>
  <c r="K983" i="1" a="1"/>
  <c r="M983" i="1" a="1"/>
  <c r="K1103" i="1" a="1"/>
  <c r="M1103" i="1" a="1"/>
  <c r="M828" i="1" a="1"/>
  <c r="K828" i="1" a="1"/>
  <c r="K1039" i="1" a="1"/>
  <c r="M1039" i="1" a="1"/>
  <c r="K1127" i="1" a="1"/>
  <c r="M1127" i="1" a="1"/>
  <c r="M940" i="1" a="1"/>
  <c r="K940" i="1" a="1"/>
  <c r="K1043" i="1" a="1"/>
  <c r="M1043" i="1" a="1"/>
  <c r="M833" i="1" a="1"/>
  <c r="K833" i="1" a="1"/>
  <c r="M601" i="1" a="1"/>
  <c r="K601" i="1" a="1"/>
  <c r="K589" i="1" a="1"/>
  <c r="M589" i="1" a="1"/>
  <c r="K311" i="1" a="1"/>
  <c r="M311" i="1" a="1"/>
  <c r="M691" i="1" a="1"/>
  <c r="K691" i="1" a="1"/>
  <c r="M532" i="1" a="1"/>
  <c r="K532" i="1" a="1"/>
  <c r="K681" i="1" a="1"/>
  <c r="M681" i="1" a="1"/>
  <c r="K660" i="1" a="1"/>
  <c r="M660" i="1" a="1"/>
  <c r="K1143" i="1" a="1"/>
  <c r="M1143" i="1" a="1"/>
  <c r="M338" i="1" a="1"/>
  <c r="K338" i="1" a="1"/>
  <c r="M539" i="1" a="1"/>
  <c r="K539" i="1" a="1"/>
  <c r="K914" i="1" a="1"/>
  <c r="M914" i="1" a="1"/>
  <c r="K704" i="1" a="1"/>
  <c r="M704" i="1" a="1"/>
  <c r="K390" i="1" a="1"/>
  <c r="M390" i="1" a="1"/>
  <c r="M546" i="1" a="1"/>
  <c r="K546" i="1" a="1"/>
  <c r="K642" i="1" a="1"/>
  <c r="M642" i="1" a="1"/>
  <c r="M756" i="1" a="1"/>
  <c r="K756" i="1" a="1"/>
  <c r="K763" i="1" a="1"/>
  <c r="M763" i="1" a="1"/>
  <c r="M566" i="1" a="1"/>
  <c r="K566" i="1" a="1"/>
  <c r="M1070" i="1" a="1"/>
  <c r="K1070" i="1" a="1"/>
  <c r="M548" i="1" a="1"/>
  <c r="K548" i="1" a="1"/>
  <c r="M502" i="1" a="1"/>
  <c r="K502" i="1" a="1"/>
  <c r="K405" i="1" a="1"/>
  <c r="M405" i="1" a="1"/>
  <c r="K668" i="1" a="1"/>
  <c r="M668" i="1" a="1"/>
  <c r="M500" i="1" a="1"/>
  <c r="K500" i="1" a="1"/>
  <c r="M285" i="1" a="1"/>
  <c r="K285" i="1" a="1"/>
  <c r="K643" i="1" a="1"/>
  <c r="M643" i="1" a="1"/>
  <c r="K439" i="1" a="1"/>
  <c r="M439" i="1" a="1"/>
  <c r="M310" i="1" a="1"/>
  <c r="K310" i="1" a="1"/>
  <c r="K693" i="1" a="1"/>
  <c r="M693" i="1" a="1"/>
  <c r="K463" i="1" a="1"/>
  <c r="M463" i="1" a="1"/>
  <c r="K780" i="1" a="1"/>
  <c r="M780" i="1" a="1"/>
  <c r="M764" i="1" a="1"/>
  <c r="K764" i="1" a="1"/>
  <c r="M346" i="1" a="1"/>
  <c r="K346" i="1" a="1"/>
  <c r="K799" i="1" a="1"/>
  <c r="M799" i="1" a="1"/>
  <c r="K743" i="1" a="1"/>
  <c r="M743" i="1" a="1"/>
  <c r="M451" i="1" a="1"/>
  <c r="K451" i="1" a="1"/>
  <c r="K595" i="1" a="1"/>
  <c r="M595" i="1" a="1"/>
  <c r="K728" i="1" a="1"/>
  <c r="M728" i="1" a="1"/>
  <c r="M423" i="1" a="1"/>
  <c r="K423" i="1" a="1"/>
  <c r="K1123" i="1" a="1"/>
  <c r="M1123" i="1" a="1"/>
  <c r="K859" i="1" a="1"/>
  <c r="M859" i="1" a="1"/>
  <c r="K507" i="1" a="1"/>
  <c r="M507" i="1" a="1"/>
  <c r="M521" i="1" a="1"/>
  <c r="K521" i="1" a="1"/>
  <c r="K845" i="1" a="1"/>
  <c r="M845" i="1" a="1"/>
  <c r="K576" i="1" a="1"/>
  <c r="M576" i="1" a="1"/>
  <c r="M836" i="1" a="1"/>
  <c r="K836" i="1" a="1"/>
  <c r="M1142" i="1" a="1"/>
  <c r="K1142" i="1" a="1"/>
  <c r="M898" i="1" a="1"/>
  <c r="K898" i="1" a="1"/>
  <c r="K889" i="1" a="1"/>
  <c r="M889" i="1" a="1"/>
  <c r="K986" i="1" a="1"/>
  <c r="M986" i="1" a="1"/>
  <c r="M618" i="1" a="1"/>
  <c r="K618" i="1" a="1"/>
  <c r="K1068" i="1" a="1"/>
  <c r="M1068" i="1" a="1"/>
  <c r="M610" i="1" a="1"/>
  <c r="K610" i="1" a="1"/>
  <c r="K453" i="1" a="1"/>
  <c r="M453" i="1" a="1"/>
  <c r="K996" i="1" a="1"/>
  <c r="M996" i="1" a="1"/>
  <c r="M890" i="1" a="1"/>
  <c r="K890" i="1" a="1"/>
  <c r="K1000" i="1" a="1"/>
  <c r="M1000" i="1" a="1"/>
  <c r="K493" i="1" a="1"/>
  <c r="M493" i="1" a="1"/>
  <c r="K296" i="1" a="1"/>
  <c r="M296" i="1" a="1"/>
  <c r="M474" i="1" a="1"/>
  <c r="K474" i="1" a="1"/>
  <c r="M702" i="1" a="1"/>
  <c r="K702" i="1" a="1"/>
  <c r="K584" i="1" a="1"/>
  <c r="M584" i="1" a="1"/>
  <c r="M297" i="1" a="1"/>
  <c r="K297" i="1" a="1"/>
  <c r="K443" i="1" a="1"/>
  <c r="M443" i="1" a="1"/>
  <c r="M998" i="1" a="1"/>
  <c r="K998" i="1" a="1"/>
  <c r="K1016" i="1" a="1"/>
  <c r="M1016" i="1" a="1"/>
  <c r="K496" i="1" a="1"/>
  <c r="M496" i="1" a="1"/>
  <c r="K347" i="1" a="1"/>
  <c r="M347" i="1" a="1"/>
  <c r="M765" i="1" a="1"/>
  <c r="K765" i="1" a="1"/>
  <c r="M840" i="1" a="1"/>
  <c r="K840" i="1" a="1"/>
  <c r="K939" i="1" a="1"/>
  <c r="M939" i="1" a="1"/>
  <c r="K980" i="1" a="1"/>
  <c r="M980" i="1" a="1"/>
  <c r="M633" i="1" a="1"/>
  <c r="K633" i="1" a="1"/>
  <c r="M433" i="1" a="1"/>
  <c r="K433" i="1" a="1"/>
  <c r="K330" i="1" a="1"/>
  <c r="M330" i="1" a="1"/>
  <c r="K988" i="1" a="1"/>
  <c r="M988" i="1" a="1"/>
  <c r="M868" i="1" a="1"/>
  <c r="K868" i="1" a="1"/>
  <c r="K1104" i="1" a="1"/>
  <c r="M1104" i="1" a="1"/>
  <c r="M579" i="1" a="1"/>
  <c r="K579" i="1" a="1"/>
  <c r="M287" i="1" a="1"/>
  <c r="K287" i="1" a="1"/>
  <c r="M489" i="1" a="1"/>
  <c r="K489" i="1" a="1"/>
  <c r="K1015" i="1" a="1"/>
  <c r="M1015" i="1" a="1"/>
  <c r="M305" i="1" a="1"/>
  <c r="K305" i="1" a="1"/>
  <c r="K895" i="1" a="1"/>
  <c r="M895" i="1" a="1"/>
  <c r="M1001" i="1" a="1"/>
  <c r="K1001" i="1" a="1"/>
  <c r="M614" i="1" a="1"/>
  <c r="K614" i="1" a="1"/>
  <c r="M321" i="1" a="1"/>
  <c r="K321" i="1" a="1"/>
  <c r="K540" i="1" a="1"/>
  <c r="M540" i="1" a="1"/>
  <c r="M441" i="1" a="1"/>
  <c r="K441" i="1" a="1"/>
  <c r="M878" i="1" a="1"/>
  <c r="K878" i="1" a="1"/>
  <c r="K1124" i="1" a="1"/>
  <c r="M1124" i="1" a="1"/>
  <c r="K381" i="1" a="1"/>
  <c r="M381" i="1" a="1"/>
  <c r="M282" i="1" a="1"/>
  <c r="K282" i="1" a="1"/>
  <c r="K545" i="1" a="1"/>
  <c r="M545" i="1" a="1"/>
  <c r="M560" i="1" a="1"/>
  <c r="K560" i="1" a="1"/>
  <c r="M809" i="1" a="1"/>
  <c r="K809" i="1" a="1"/>
  <c r="M721" i="1" a="1"/>
  <c r="K721" i="1" a="1"/>
  <c r="M705" i="1" a="1"/>
  <c r="K705" i="1" a="1"/>
  <c r="K724" i="1" a="1"/>
  <c r="M724" i="1" a="1"/>
  <c r="K875" i="1" a="1"/>
  <c r="M875" i="1" a="1"/>
  <c r="K662" i="1" a="1"/>
  <c r="M662" i="1" a="1"/>
  <c r="K843" i="1" a="1"/>
  <c r="M843" i="1" a="1"/>
  <c r="M935" i="1" a="1"/>
  <c r="K935" i="1" a="1"/>
  <c r="K932" i="1" a="1"/>
  <c r="M932" i="1" a="1"/>
  <c r="M861" i="1" a="1"/>
  <c r="K861" i="1" a="1"/>
  <c r="K1058" i="1" a="1"/>
  <c r="M1058" i="1" a="1"/>
  <c r="K810" i="1" a="1"/>
  <c r="M810" i="1" a="1"/>
  <c r="K621" i="1" a="1"/>
  <c r="M621" i="1" a="1"/>
  <c r="K1019" i="1" a="1"/>
  <c r="M1019" i="1" a="1"/>
  <c r="K907" i="1" a="1"/>
  <c r="M907" i="1" a="1"/>
  <c r="M981" i="1" a="1"/>
  <c r="K981" i="1" a="1"/>
  <c r="K952" i="1" a="1"/>
  <c r="M952" i="1" a="1"/>
  <c r="M923" i="1" a="1"/>
  <c r="K923" i="1" a="1"/>
  <c r="M955" i="1" a="1"/>
  <c r="K955" i="1" a="1"/>
  <c r="K567" i="1" a="1"/>
  <c r="M567" i="1" a="1"/>
  <c r="K977" i="1" a="1"/>
  <c r="M977" i="1" a="1"/>
  <c r="M1006" i="1" a="1"/>
  <c r="K1006" i="1" a="1"/>
  <c r="K857" i="1" a="1"/>
  <c r="M857" i="1" a="1"/>
  <c r="K987" i="1" a="1"/>
  <c r="M987" i="1" a="1"/>
  <c r="M594" i="1" a="1"/>
  <c r="K594" i="1" a="1"/>
  <c r="M483" i="1" a="1"/>
  <c r="K483" i="1" a="1"/>
  <c r="M442" i="1" a="1"/>
  <c r="K442" i="1" a="1"/>
  <c r="K269" i="1" a="1"/>
  <c r="M269" i="1" a="1"/>
  <c r="K800" i="1" a="1"/>
  <c r="M800" i="1" a="1"/>
  <c r="K815" i="1" a="1"/>
  <c r="M815" i="1" a="1"/>
  <c r="K388" i="1" a="1"/>
  <c r="M388" i="1" a="1"/>
  <c r="M708" i="1" a="1"/>
  <c r="K708" i="1" a="1"/>
  <c r="K659" i="1" a="1"/>
  <c r="M659" i="1" a="1"/>
  <c r="K608" i="1" a="1"/>
  <c r="M608" i="1" a="1"/>
  <c r="K415" i="1" a="1"/>
  <c r="M415" i="1" a="1"/>
  <c r="K553" i="1" a="1"/>
  <c r="M553" i="1" a="1"/>
  <c r="M1093" i="1" a="1"/>
  <c r="K1093" i="1" a="1"/>
  <c r="K767" i="1" a="1"/>
  <c r="M767" i="1" a="1"/>
  <c r="M290" i="1" a="1"/>
  <c r="K290" i="1" a="1"/>
  <c r="K692" i="1" a="1"/>
  <c r="M692" i="1" a="1"/>
  <c r="K526" i="1" a="1"/>
  <c r="M526" i="1" a="1"/>
  <c r="K723" i="1" a="1"/>
  <c r="M723" i="1" a="1"/>
  <c r="K517" i="1" a="1"/>
  <c r="M517" i="1" a="1"/>
  <c r="M893" i="1" a="1"/>
  <c r="K893" i="1" a="1"/>
  <c r="K664" i="1" a="1"/>
  <c r="M664" i="1" a="1"/>
  <c r="K369" i="1" a="1"/>
  <c r="M369" i="1" a="1"/>
  <c r="M997" i="1" a="1"/>
  <c r="K997" i="1" a="1"/>
  <c r="K811" i="1" a="1"/>
  <c r="M811" i="1" a="1"/>
  <c r="M286" i="1" a="1"/>
  <c r="K286" i="1" a="1"/>
  <c r="K1115" i="1" a="1"/>
  <c r="M1115" i="1" a="1"/>
  <c r="M400" i="1" a="1"/>
  <c r="K400" i="1" a="1"/>
  <c r="M312" i="1" a="1"/>
  <c r="K312" i="1" a="1"/>
  <c r="K383" i="1" a="1"/>
  <c r="M383" i="1" a="1"/>
  <c r="M403" i="1" a="1"/>
  <c r="K403" i="1" a="1"/>
  <c r="K419" i="1" a="1"/>
  <c r="M419" i="1" a="1"/>
  <c r="K652" i="1" a="1"/>
  <c r="M652" i="1" a="1"/>
  <c r="K620" i="1" a="1"/>
  <c r="M620" i="1" a="1"/>
  <c r="K561" i="1" a="1"/>
  <c r="M561" i="1" a="1"/>
  <c r="K711" i="1" a="1"/>
  <c r="M711" i="1" a="1"/>
  <c r="K604" i="1" a="1"/>
  <c r="M604" i="1" a="1"/>
  <c r="K265" i="1" a="1"/>
  <c r="M265" i="1" a="1"/>
  <c r="K849" i="1" a="1"/>
  <c r="M849" i="1" a="1"/>
  <c r="K631" i="1" a="1"/>
  <c r="M631" i="1" a="1"/>
  <c r="K476" i="1" a="1"/>
  <c r="M476" i="1" a="1"/>
  <c r="M732" i="1" a="1"/>
  <c r="K732" i="1" a="1"/>
  <c r="K1061" i="1" a="1"/>
  <c r="M1061" i="1" a="1"/>
  <c r="K1057" i="1" a="1"/>
  <c r="M1057" i="1" a="1"/>
  <c r="M355" i="1" a="1"/>
  <c r="K355" i="1" a="1"/>
  <c r="K1018" i="1" a="1"/>
  <c r="M1018" i="1" a="1"/>
  <c r="M1078" i="1" a="1"/>
  <c r="K1078" i="1" a="1"/>
  <c r="K1133" i="1" a="1"/>
  <c r="M1133" i="1" a="1"/>
  <c r="M1138" i="1" a="1"/>
  <c r="K1138" i="1" a="1"/>
  <c r="M834" i="1" a="1"/>
  <c r="K834" i="1" a="1"/>
  <c r="M1130" i="1" a="1"/>
  <c r="K1130" i="1" a="1"/>
  <c r="K818" i="1" a="1"/>
  <c r="M818" i="1" a="1"/>
  <c r="M985" i="1" a="1"/>
  <c r="K985" i="1" a="1"/>
  <c r="K1036" i="1" a="1"/>
  <c r="M1036" i="1" a="1"/>
  <c r="M623" i="1" a="1"/>
  <c r="K623" i="1" a="1"/>
  <c r="K363" i="1" a="1"/>
  <c r="M363" i="1" a="1"/>
  <c r="K572" i="1" a="1"/>
  <c r="M572" i="1" a="1"/>
  <c r="M565" i="1" a="1"/>
  <c r="K565" i="1" a="1"/>
  <c r="M573" i="1" a="1"/>
  <c r="K573" i="1" a="1"/>
  <c r="M394" i="1" a="1"/>
  <c r="K394" i="1" a="1"/>
  <c r="K1092" i="1" a="1"/>
  <c r="M1092" i="1" a="1"/>
  <c r="K440" i="1" a="1"/>
  <c r="M440" i="1" a="1"/>
  <c r="M583" i="1" a="1"/>
  <c r="K583" i="1" a="1"/>
  <c r="M519" i="1" a="1"/>
  <c r="K519" i="1" a="1"/>
  <c r="M872" i="1" a="1"/>
  <c r="K872" i="1" a="1"/>
  <c r="M806" i="1" a="1"/>
  <c r="K806" i="1" a="1"/>
  <c r="K943" i="1" a="1"/>
  <c r="M943" i="1" a="1"/>
  <c r="K984" i="1" a="1"/>
  <c r="M984" i="1" a="1"/>
  <c r="M465" i="1" a="1"/>
  <c r="K465" i="1" a="1"/>
  <c r="M309" i="1" a="1"/>
  <c r="K309" i="1" a="1"/>
  <c r="K343" i="1" a="1"/>
  <c r="M343" i="1" a="1"/>
  <c r="K690" i="1" a="1"/>
  <c r="M690" i="1" a="1"/>
  <c r="K944" i="1" a="1"/>
  <c r="M944" i="1" a="1"/>
  <c r="K813" i="1" a="1"/>
  <c r="M813" i="1" a="1"/>
  <c r="M617" i="1" a="1"/>
  <c r="K617" i="1" a="1"/>
  <c r="K525" i="1" a="1"/>
  <c r="M525" i="1" a="1"/>
  <c r="M283" i="1" a="1"/>
  <c r="K283" i="1" a="1"/>
  <c r="M458" i="1" a="1"/>
  <c r="K458" i="1" a="1"/>
  <c r="K778" i="1" a="1"/>
  <c r="M778" i="1" a="1"/>
  <c r="K1072" i="1" a="1"/>
  <c r="M1072" i="1" a="1"/>
  <c r="M626" i="1" a="1"/>
  <c r="K626" i="1" a="1"/>
  <c r="M322" i="1" a="1"/>
  <c r="K322" i="1" a="1"/>
  <c r="K280" i="1" a="1"/>
  <c r="M280" i="1" a="1"/>
  <c r="K480" i="1" a="1"/>
  <c r="M480" i="1" a="1"/>
  <c r="M860" i="1" a="1"/>
  <c r="K860" i="1" a="1"/>
  <c r="M535" i="1" a="1"/>
  <c r="K535" i="1" a="1"/>
  <c r="M649" i="1" a="1"/>
  <c r="K649" i="1" a="1"/>
  <c r="M372" i="1" a="1"/>
  <c r="K372" i="1" a="1"/>
  <c r="M797" i="1" a="1"/>
  <c r="K797" i="1" a="1"/>
  <c r="K13" i="1" a="1"/>
  <c r="K14" i="1" a="1"/>
  <c r="M15" i="1" a="1"/>
  <c r="K11" i="1" a="1"/>
  <c r="M13" i="1" a="1"/>
  <c r="K15" i="1" a="1"/>
  <c r="M14" i="1" a="1"/>
  <c r="M11" i="1" a="1"/>
  <c r="K12" i="1" a="1"/>
  <c r="M12" i="1" a="1"/>
  <c r="L797" i="1" l="1"/>
  <c r="K797" i="1"/>
  <c r="M797" i="1"/>
  <c r="N797" i="1"/>
  <c r="K372" i="1"/>
  <c r="L372" i="1"/>
  <c r="M372" i="1"/>
  <c r="N372" i="1"/>
  <c r="K649" i="1"/>
  <c r="L649" i="1"/>
  <c r="N649" i="1"/>
  <c r="M649" i="1"/>
  <c r="L535" i="1"/>
  <c r="K535" i="1"/>
  <c r="M535" i="1"/>
  <c r="N535" i="1"/>
  <c r="K860" i="1"/>
  <c r="L860" i="1"/>
  <c r="M860" i="1"/>
  <c r="N860" i="1"/>
  <c r="N480" i="1"/>
  <c r="M480" i="1"/>
  <c r="K480" i="1"/>
  <c r="L480" i="1"/>
  <c r="N280" i="1"/>
  <c r="M280" i="1"/>
  <c r="L280" i="1"/>
  <c r="O280" i="1" s="1"/>
  <c r="K280" i="1"/>
  <c r="L322" i="1"/>
  <c r="K322" i="1"/>
  <c r="M322" i="1"/>
  <c r="N322" i="1"/>
  <c r="L626" i="1"/>
  <c r="K626" i="1"/>
  <c r="N626" i="1"/>
  <c r="M626" i="1"/>
  <c r="N1072" i="1"/>
  <c r="M1072" i="1"/>
  <c r="L1072" i="1"/>
  <c r="K1072" i="1"/>
  <c r="N778" i="1"/>
  <c r="M778" i="1"/>
  <c r="L778" i="1"/>
  <c r="O778" i="1" s="1"/>
  <c r="K778" i="1"/>
  <c r="L458" i="1"/>
  <c r="K458" i="1"/>
  <c r="N458" i="1"/>
  <c r="M458" i="1"/>
  <c r="K283" i="1"/>
  <c r="L283" i="1"/>
  <c r="M283" i="1"/>
  <c r="N283" i="1"/>
  <c r="M525" i="1"/>
  <c r="N525" i="1"/>
  <c r="L525" i="1"/>
  <c r="K525" i="1"/>
  <c r="L617" i="1"/>
  <c r="K617" i="1"/>
  <c r="N617" i="1"/>
  <c r="M617" i="1"/>
  <c r="M813" i="1"/>
  <c r="N813" i="1"/>
  <c r="L813" i="1"/>
  <c r="K813" i="1"/>
  <c r="N944" i="1"/>
  <c r="M944" i="1"/>
  <c r="L944" i="1"/>
  <c r="O944" i="1" s="1"/>
  <c r="K944" i="1"/>
  <c r="N690" i="1"/>
  <c r="M690" i="1"/>
  <c r="L690" i="1"/>
  <c r="K690" i="1"/>
  <c r="M343" i="1"/>
  <c r="N343" i="1"/>
  <c r="K343" i="1"/>
  <c r="L343" i="1"/>
  <c r="O343" i="1" s="1"/>
  <c r="L309" i="1"/>
  <c r="K309" i="1"/>
  <c r="M309" i="1"/>
  <c r="N309" i="1"/>
  <c r="K465" i="1"/>
  <c r="L465" i="1"/>
  <c r="N465" i="1"/>
  <c r="M465" i="1"/>
  <c r="N984" i="1"/>
  <c r="M984" i="1"/>
  <c r="L984" i="1"/>
  <c r="K984" i="1"/>
  <c r="M943" i="1"/>
  <c r="N943" i="1"/>
  <c r="K943" i="1"/>
  <c r="L943" i="1"/>
  <c r="O943" i="1" s="1"/>
  <c r="L806" i="1"/>
  <c r="K806" i="1"/>
  <c r="M806" i="1"/>
  <c r="N806" i="1"/>
  <c r="K872" i="1"/>
  <c r="L872" i="1"/>
  <c r="M872" i="1"/>
  <c r="N872" i="1"/>
  <c r="L519" i="1"/>
  <c r="K519" i="1"/>
  <c r="M519" i="1"/>
  <c r="N519" i="1"/>
  <c r="K583" i="1"/>
  <c r="L583" i="1"/>
  <c r="M583" i="1"/>
  <c r="N583" i="1"/>
  <c r="M440" i="1"/>
  <c r="N440" i="1"/>
  <c r="K440" i="1"/>
  <c r="L440" i="1"/>
  <c r="N1092" i="1"/>
  <c r="M1092" i="1"/>
  <c r="L1092" i="1"/>
  <c r="O1092" i="1" s="1"/>
  <c r="K1092" i="1"/>
  <c r="L394" i="1"/>
  <c r="K394" i="1"/>
  <c r="M394" i="1"/>
  <c r="N394" i="1"/>
  <c r="K573" i="1"/>
  <c r="L573" i="1"/>
  <c r="M573" i="1"/>
  <c r="N573" i="1"/>
  <c r="L565" i="1"/>
  <c r="K565" i="1"/>
  <c r="M565" i="1"/>
  <c r="N565" i="1"/>
  <c r="N572" i="1"/>
  <c r="M572" i="1"/>
  <c r="K572" i="1"/>
  <c r="L572" i="1"/>
  <c r="N363" i="1"/>
  <c r="M363" i="1"/>
  <c r="L363" i="1"/>
  <c r="K363" i="1"/>
  <c r="K623" i="1"/>
  <c r="L623" i="1"/>
  <c r="N623" i="1"/>
  <c r="M623" i="1"/>
  <c r="M1036" i="1"/>
  <c r="N1036" i="1"/>
  <c r="L1036" i="1"/>
  <c r="K1036" i="1"/>
  <c r="K985" i="1"/>
  <c r="L985" i="1"/>
  <c r="M985" i="1"/>
  <c r="N985" i="1"/>
  <c r="N818" i="1"/>
  <c r="M818" i="1"/>
  <c r="L818" i="1"/>
  <c r="K818" i="1"/>
  <c r="L1130" i="1"/>
  <c r="K1130" i="1"/>
  <c r="M1130" i="1"/>
  <c r="N1130" i="1"/>
  <c r="L834" i="1"/>
  <c r="K834" i="1"/>
  <c r="N834" i="1"/>
  <c r="M834" i="1"/>
  <c r="K1138" i="1"/>
  <c r="L1138" i="1"/>
  <c r="M1138" i="1"/>
  <c r="N1138" i="1"/>
  <c r="N1133" i="1"/>
  <c r="M1133" i="1"/>
  <c r="K1133" i="1"/>
  <c r="L1133" i="1"/>
  <c r="L1078" i="1"/>
  <c r="K1078" i="1"/>
  <c r="M1078" i="1"/>
  <c r="N1078" i="1"/>
  <c r="N1018" i="1"/>
  <c r="M1018" i="1"/>
  <c r="L1018" i="1"/>
  <c r="K1018" i="1"/>
  <c r="K355" i="1"/>
  <c r="L355" i="1"/>
  <c r="M355" i="1"/>
  <c r="N355" i="1"/>
  <c r="M1057" i="1"/>
  <c r="N1057" i="1"/>
  <c r="L1057" i="1"/>
  <c r="K1057" i="1"/>
  <c r="M1061" i="1"/>
  <c r="N1061" i="1"/>
  <c r="K1061" i="1"/>
  <c r="L1061" i="1"/>
  <c r="O1061" i="1" s="1"/>
  <c r="K732" i="1"/>
  <c r="L732" i="1"/>
  <c r="M732" i="1"/>
  <c r="N732" i="1"/>
  <c r="N476" i="1"/>
  <c r="M476" i="1"/>
  <c r="K476" i="1"/>
  <c r="L476" i="1"/>
  <c r="N631" i="1"/>
  <c r="M631" i="1"/>
  <c r="K631" i="1"/>
  <c r="L631" i="1"/>
  <c r="M849" i="1"/>
  <c r="N849" i="1"/>
  <c r="L849" i="1"/>
  <c r="O849" i="1" s="1"/>
  <c r="K849" i="1"/>
  <c r="N265" i="1"/>
  <c r="M265" i="1"/>
  <c r="K265" i="1"/>
  <c r="L265" i="1"/>
  <c r="N604" i="1"/>
  <c r="M604" i="1"/>
  <c r="L604" i="1"/>
  <c r="O604" i="1" s="1"/>
  <c r="K604" i="1"/>
  <c r="M711" i="1"/>
  <c r="N711" i="1"/>
  <c r="L711" i="1"/>
  <c r="K711" i="1"/>
  <c r="M561" i="1"/>
  <c r="N561" i="1"/>
  <c r="K561" i="1"/>
  <c r="L561" i="1"/>
  <c r="O561" i="1" s="1"/>
  <c r="M620" i="1"/>
  <c r="N620" i="1"/>
  <c r="K620" i="1"/>
  <c r="L620" i="1"/>
  <c r="N652" i="1"/>
  <c r="M652" i="1"/>
  <c r="L652" i="1"/>
  <c r="O652" i="1" s="1"/>
  <c r="K652" i="1"/>
  <c r="M419" i="1"/>
  <c r="N419" i="1"/>
  <c r="L419" i="1"/>
  <c r="K419" i="1"/>
  <c r="L403" i="1"/>
  <c r="K403" i="1"/>
  <c r="M403" i="1"/>
  <c r="N403" i="1"/>
  <c r="N383" i="1"/>
  <c r="M383" i="1"/>
  <c r="L383" i="1"/>
  <c r="K383" i="1"/>
  <c r="L312" i="1"/>
  <c r="K312" i="1"/>
  <c r="M312" i="1"/>
  <c r="N312" i="1"/>
  <c r="L400" i="1"/>
  <c r="K400" i="1"/>
  <c r="M400" i="1"/>
  <c r="N400" i="1"/>
  <c r="N1115" i="1"/>
  <c r="M1115" i="1"/>
  <c r="K1115" i="1"/>
  <c r="L1115" i="1"/>
  <c r="L286" i="1"/>
  <c r="K286" i="1"/>
  <c r="M286" i="1"/>
  <c r="N286" i="1"/>
  <c r="N811" i="1"/>
  <c r="M811" i="1"/>
  <c r="L811" i="1"/>
  <c r="O811" i="1" s="1"/>
  <c r="K811" i="1"/>
  <c r="K997" i="1"/>
  <c r="L997" i="1"/>
  <c r="M997" i="1"/>
  <c r="N997" i="1"/>
  <c r="M369" i="1"/>
  <c r="N369" i="1"/>
  <c r="K369" i="1"/>
  <c r="L369" i="1"/>
  <c r="O369" i="1" s="1"/>
  <c r="M664" i="1"/>
  <c r="N664" i="1"/>
  <c r="L664" i="1"/>
  <c r="K664" i="1"/>
  <c r="L893" i="1"/>
  <c r="K893" i="1"/>
  <c r="M893" i="1"/>
  <c r="N893" i="1"/>
  <c r="N517" i="1"/>
  <c r="M517" i="1"/>
  <c r="K517" i="1"/>
  <c r="L517" i="1"/>
  <c r="N723" i="1"/>
  <c r="M723" i="1"/>
  <c r="L723" i="1"/>
  <c r="O723" i="1" s="1"/>
  <c r="K723" i="1"/>
  <c r="M526" i="1"/>
  <c r="N526" i="1"/>
  <c r="K526" i="1"/>
  <c r="L526" i="1"/>
  <c r="N692" i="1"/>
  <c r="M692" i="1"/>
  <c r="L692" i="1"/>
  <c r="O692" i="1" s="1"/>
  <c r="K692" i="1"/>
  <c r="L290" i="1"/>
  <c r="K290" i="1"/>
  <c r="N290" i="1"/>
  <c r="M290" i="1"/>
  <c r="M767" i="1"/>
  <c r="N767" i="1"/>
  <c r="L767" i="1"/>
  <c r="O767" i="1" s="1"/>
  <c r="K767" i="1"/>
  <c r="L1093" i="1"/>
  <c r="K1093" i="1"/>
  <c r="M1093" i="1"/>
  <c r="N1093" i="1"/>
  <c r="M553" i="1"/>
  <c r="N553" i="1"/>
  <c r="K553" i="1"/>
  <c r="L553" i="1"/>
  <c r="O553" i="1" s="1"/>
  <c r="M415" i="1"/>
  <c r="N415" i="1"/>
  <c r="L415" i="1"/>
  <c r="K415" i="1"/>
  <c r="M608" i="1"/>
  <c r="N608" i="1"/>
  <c r="L608" i="1"/>
  <c r="O608" i="1" s="1"/>
  <c r="K608" i="1"/>
  <c r="N659" i="1"/>
  <c r="M659" i="1"/>
  <c r="L659" i="1"/>
  <c r="K659" i="1"/>
  <c r="K708" i="1"/>
  <c r="L708" i="1"/>
  <c r="M708" i="1"/>
  <c r="N708" i="1"/>
  <c r="N388" i="1"/>
  <c r="M388" i="1"/>
  <c r="L388" i="1"/>
  <c r="K388" i="1"/>
  <c r="N815" i="1"/>
  <c r="M815" i="1"/>
  <c r="K815" i="1"/>
  <c r="L815" i="1"/>
  <c r="N800" i="1"/>
  <c r="M800" i="1"/>
  <c r="L800" i="1"/>
  <c r="K800" i="1"/>
  <c r="N269" i="1"/>
  <c r="M269" i="1"/>
  <c r="K269" i="1"/>
  <c r="L269" i="1"/>
  <c r="K442" i="1"/>
  <c r="L442" i="1"/>
  <c r="M442" i="1"/>
  <c r="N442" i="1"/>
  <c r="K483" i="1"/>
  <c r="L483" i="1"/>
  <c r="M483" i="1"/>
  <c r="N483" i="1"/>
  <c r="K594" i="1"/>
  <c r="L594" i="1"/>
  <c r="N594" i="1"/>
  <c r="M594" i="1"/>
  <c r="M987" i="1"/>
  <c r="N987" i="1"/>
  <c r="K987" i="1"/>
  <c r="L987" i="1"/>
  <c r="O987" i="1" s="1"/>
  <c r="M857" i="1"/>
  <c r="N857" i="1"/>
  <c r="K857" i="1"/>
  <c r="L857" i="1"/>
  <c r="K1006" i="1"/>
  <c r="L1006" i="1"/>
  <c r="M1006" i="1"/>
  <c r="N1006" i="1"/>
  <c r="N977" i="1"/>
  <c r="M977" i="1"/>
  <c r="L977" i="1"/>
  <c r="K977" i="1"/>
  <c r="M567" i="1"/>
  <c r="N567" i="1"/>
  <c r="L567" i="1"/>
  <c r="O567" i="1" s="1"/>
  <c r="K567" i="1"/>
  <c r="L955" i="1"/>
  <c r="K955" i="1"/>
  <c r="M955" i="1"/>
  <c r="N955" i="1"/>
  <c r="L923" i="1"/>
  <c r="K923" i="1"/>
  <c r="M923" i="1"/>
  <c r="N923" i="1"/>
  <c r="M952" i="1"/>
  <c r="N952" i="1"/>
  <c r="L952" i="1"/>
  <c r="K952" i="1"/>
  <c r="K981" i="1"/>
  <c r="L981" i="1"/>
  <c r="M981" i="1"/>
  <c r="N981" i="1"/>
  <c r="N907" i="1"/>
  <c r="M907" i="1"/>
  <c r="L907" i="1"/>
  <c r="K907" i="1"/>
  <c r="M1019" i="1"/>
  <c r="N1019" i="1"/>
  <c r="K1019" i="1"/>
  <c r="L1019" i="1"/>
  <c r="O1019" i="1" s="1"/>
  <c r="M621" i="1"/>
  <c r="N621" i="1"/>
  <c r="K621" i="1"/>
  <c r="L621" i="1"/>
  <c r="N810" i="1"/>
  <c r="M810" i="1"/>
  <c r="L810" i="1"/>
  <c r="O810" i="1" s="1"/>
  <c r="K810" i="1"/>
  <c r="M1058" i="1"/>
  <c r="N1058" i="1"/>
  <c r="K1058" i="1"/>
  <c r="L1058" i="1"/>
  <c r="L861" i="1"/>
  <c r="K861" i="1"/>
  <c r="M861" i="1"/>
  <c r="N861" i="1"/>
  <c r="N932" i="1"/>
  <c r="M932" i="1"/>
  <c r="L932" i="1"/>
  <c r="K932" i="1"/>
  <c r="L935" i="1"/>
  <c r="K935" i="1"/>
  <c r="M935" i="1"/>
  <c r="N935" i="1"/>
  <c r="M843" i="1"/>
  <c r="N843" i="1"/>
  <c r="L843" i="1"/>
  <c r="K843" i="1"/>
  <c r="N662" i="1"/>
  <c r="M662" i="1"/>
  <c r="L662" i="1"/>
  <c r="O662" i="1" s="1"/>
  <c r="K662" i="1"/>
  <c r="M875" i="1"/>
  <c r="N875" i="1"/>
  <c r="L875" i="1"/>
  <c r="K875" i="1"/>
  <c r="N724" i="1"/>
  <c r="M724" i="1"/>
  <c r="L724" i="1"/>
  <c r="O724" i="1" s="1"/>
  <c r="K724" i="1"/>
  <c r="L705" i="1"/>
  <c r="K705" i="1"/>
  <c r="N705" i="1"/>
  <c r="M705" i="1"/>
  <c r="L721" i="1"/>
  <c r="K721" i="1"/>
  <c r="N721" i="1"/>
  <c r="M721" i="1"/>
  <c r="L809" i="1"/>
  <c r="K809" i="1"/>
  <c r="N809" i="1"/>
  <c r="M809" i="1"/>
  <c r="K560" i="1"/>
  <c r="L560" i="1"/>
  <c r="M560" i="1"/>
  <c r="N560" i="1"/>
  <c r="M545" i="1"/>
  <c r="N545" i="1"/>
  <c r="K545" i="1"/>
  <c r="L545" i="1"/>
  <c r="L282" i="1"/>
  <c r="K282" i="1"/>
  <c r="N282" i="1"/>
  <c r="M282" i="1"/>
  <c r="N381" i="1"/>
  <c r="M381" i="1"/>
  <c r="L381" i="1"/>
  <c r="K381" i="1"/>
  <c r="M1124" i="1"/>
  <c r="N1124" i="1"/>
  <c r="L1124" i="1"/>
  <c r="O1124" i="1" s="1"/>
  <c r="K1124" i="1"/>
  <c r="L878" i="1"/>
  <c r="K878" i="1"/>
  <c r="N878" i="1"/>
  <c r="M878" i="1"/>
  <c r="K441" i="1"/>
  <c r="L441" i="1"/>
  <c r="N441" i="1"/>
  <c r="M441" i="1"/>
  <c r="M540" i="1"/>
  <c r="N540" i="1"/>
  <c r="K540" i="1"/>
  <c r="L540" i="1"/>
  <c r="L321" i="1"/>
  <c r="K321" i="1"/>
  <c r="M321" i="1"/>
  <c r="N321" i="1"/>
  <c r="L614" i="1"/>
  <c r="K614" i="1"/>
  <c r="N614" i="1"/>
  <c r="M614" i="1"/>
  <c r="L1001" i="1"/>
  <c r="K1001" i="1"/>
  <c r="N1001" i="1"/>
  <c r="M1001" i="1"/>
  <c r="N895" i="1"/>
  <c r="M895" i="1"/>
  <c r="L895" i="1"/>
  <c r="K895" i="1"/>
  <c r="L305" i="1"/>
  <c r="K305" i="1"/>
  <c r="N305" i="1"/>
  <c r="M305" i="1"/>
  <c r="M1015" i="1"/>
  <c r="N1015" i="1"/>
  <c r="K1015" i="1"/>
  <c r="L1015" i="1"/>
  <c r="K489" i="1"/>
  <c r="L489" i="1"/>
  <c r="N489" i="1"/>
  <c r="M489" i="1"/>
  <c r="L287" i="1"/>
  <c r="K287" i="1"/>
  <c r="N287" i="1"/>
  <c r="M287" i="1"/>
  <c r="L579" i="1"/>
  <c r="K579" i="1"/>
  <c r="N579" i="1"/>
  <c r="M579" i="1"/>
  <c r="M1104" i="1"/>
  <c r="N1104" i="1"/>
  <c r="L1104" i="1"/>
  <c r="K1104" i="1"/>
  <c r="L868" i="1"/>
  <c r="K868" i="1"/>
  <c r="M868" i="1"/>
  <c r="N868" i="1"/>
  <c r="M988" i="1"/>
  <c r="N988" i="1"/>
  <c r="L988" i="1"/>
  <c r="K988" i="1"/>
  <c r="M330" i="1"/>
  <c r="N330" i="1"/>
  <c r="L330" i="1"/>
  <c r="O330" i="1" s="1"/>
  <c r="K330" i="1"/>
  <c r="K433" i="1"/>
  <c r="L433" i="1"/>
  <c r="N433" i="1"/>
  <c r="M433" i="1"/>
  <c r="L633" i="1"/>
  <c r="K633" i="1"/>
  <c r="M633" i="1"/>
  <c r="N633" i="1"/>
  <c r="N980" i="1"/>
  <c r="M980" i="1"/>
  <c r="K980" i="1"/>
  <c r="L980" i="1"/>
  <c r="N939" i="1"/>
  <c r="M939" i="1"/>
  <c r="L939" i="1"/>
  <c r="O939" i="1" s="1"/>
  <c r="K939" i="1"/>
  <c r="L840" i="1"/>
  <c r="K840" i="1"/>
  <c r="M840" i="1"/>
  <c r="N840" i="1"/>
  <c r="K765" i="1"/>
  <c r="L765" i="1"/>
  <c r="M765" i="1"/>
  <c r="N765" i="1"/>
  <c r="M347" i="1"/>
  <c r="N347" i="1"/>
  <c r="K347" i="1"/>
  <c r="L347" i="1"/>
  <c r="N496" i="1"/>
  <c r="M496" i="1"/>
  <c r="K496" i="1"/>
  <c r="L496" i="1"/>
  <c r="M1016" i="1"/>
  <c r="N1016" i="1"/>
  <c r="L1016" i="1"/>
  <c r="K1016" i="1"/>
  <c r="K998" i="1"/>
  <c r="L998" i="1"/>
  <c r="M998" i="1"/>
  <c r="N998" i="1"/>
  <c r="M443" i="1"/>
  <c r="N443" i="1"/>
  <c r="K443" i="1"/>
  <c r="L443" i="1"/>
  <c r="L297" i="1"/>
  <c r="K297" i="1"/>
  <c r="N297" i="1"/>
  <c r="M297" i="1"/>
  <c r="M584" i="1"/>
  <c r="N584" i="1"/>
  <c r="L584" i="1"/>
  <c r="K584" i="1"/>
  <c r="L702" i="1"/>
  <c r="K702" i="1"/>
  <c r="M702" i="1"/>
  <c r="N702" i="1"/>
  <c r="L474" i="1"/>
  <c r="K474" i="1"/>
  <c r="N474" i="1"/>
  <c r="M474" i="1"/>
  <c r="M296" i="1"/>
  <c r="N296" i="1"/>
  <c r="L296" i="1"/>
  <c r="O296" i="1" s="1"/>
  <c r="K296" i="1"/>
  <c r="M493" i="1"/>
  <c r="N493" i="1"/>
  <c r="L493" i="1"/>
  <c r="K493" i="1"/>
  <c r="M1000" i="1"/>
  <c r="N1000" i="1"/>
  <c r="L1000" i="1"/>
  <c r="O1000" i="1" s="1"/>
  <c r="K1000" i="1"/>
  <c r="K890" i="1"/>
  <c r="L890" i="1"/>
  <c r="N890" i="1"/>
  <c r="M890" i="1"/>
  <c r="M996" i="1"/>
  <c r="N996" i="1"/>
  <c r="L996" i="1"/>
  <c r="O996" i="1" s="1"/>
  <c r="K996" i="1"/>
  <c r="N453" i="1"/>
  <c r="M453" i="1"/>
  <c r="L453" i="1"/>
  <c r="K453" i="1"/>
  <c r="L610" i="1"/>
  <c r="K610" i="1"/>
  <c r="N610" i="1"/>
  <c r="M610" i="1"/>
  <c r="N1068" i="1"/>
  <c r="M1068" i="1"/>
  <c r="L1068" i="1"/>
  <c r="K1068" i="1"/>
  <c r="L618" i="1"/>
  <c r="K618" i="1"/>
  <c r="N618" i="1"/>
  <c r="M618" i="1"/>
  <c r="N986" i="1"/>
  <c r="M986" i="1"/>
  <c r="L986" i="1"/>
  <c r="K986" i="1"/>
  <c r="M889" i="1"/>
  <c r="N889" i="1"/>
  <c r="L889" i="1"/>
  <c r="O889" i="1" s="1"/>
  <c r="K889" i="1"/>
  <c r="K898" i="1"/>
  <c r="L898" i="1"/>
  <c r="N898" i="1"/>
  <c r="M898" i="1"/>
  <c r="L1142" i="1"/>
  <c r="K1142" i="1"/>
  <c r="M1142" i="1"/>
  <c r="N1142" i="1"/>
  <c r="L836" i="1"/>
  <c r="K836" i="1"/>
  <c r="M836" i="1"/>
  <c r="N836" i="1"/>
  <c r="M576" i="1"/>
  <c r="N576" i="1"/>
  <c r="L576" i="1"/>
  <c r="O576" i="1" s="1"/>
  <c r="K576" i="1"/>
  <c r="M845" i="1"/>
  <c r="N845" i="1"/>
  <c r="L845" i="1"/>
  <c r="K845" i="1"/>
  <c r="K521" i="1"/>
  <c r="L521" i="1"/>
  <c r="N521" i="1"/>
  <c r="M521" i="1"/>
  <c r="N507" i="1"/>
  <c r="M507" i="1"/>
  <c r="K507" i="1"/>
  <c r="L507" i="1"/>
  <c r="M859" i="1"/>
  <c r="N859" i="1"/>
  <c r="L859" i="1"/>
  <c r="O859" i="1" s="1"/>
  <c r="K859" i="1"/>
  <c r="M1123" i="1"/>
  <c r="N1123" i="1"/>
  <c r="K1123" i="1"/>
  <c r="L1123" i="1"/>
  <c r="K423" i="1"/>
  <c r="L423" i="1"/>
  <c r="N423" i="1"/>
  <c r="M423" i="1"/>
  <c r="M728" i="1"/>
  <c r="N728" i="1"/>
  <c r="L728" i="1"/>
  <c r="K728" i="1"/>
  <c r="N595" i="1"/>
  <c r="M595" i="1"/>
  <c r="K595" i="1"/>
  <c r="L595" i="1"/>
  <c r="K451" i="1"/>
  <c r="L451" i="1"/>
  <c r="M451" i="1"/>
  <c r="N451" i="1"/>
  <c r="M743" i="1"/>
  <c r="N743" i="1"/>
  <c r="L743" i="1"/>
  <c r="O743" i="1" s="1"/>
  <c r="K743" i="1"/>
  <c r="M799" i="1"/>
  <c r="N799" i="1"/>
  <c r="L799" i="1"/>
  <c r="K799" i="1"/>
  <c r="K346" i="1"/>
  <c r="L346" i="1"/>
  <c r="N346" i="1"/>
  <c r="M346" i="1"/>
  <c r="L764" i="1"/>
  <c r="K764" i="1"/>
  <c r="M764" i="1"/>
  <c r="N764" i="1"/>
  <c r="M780" i="1"/>
  <c r="N780" i="1"/>
  <c r="L780" i="1"/>
  <c r="O780" i="1" s="1"/>
  <c r="K780" i="1"/>
  <c r="N463" i="1"/>
  <c r="M463" i="1"/>
  <c r="K463" i="1"/>
  <c r="L463" i="1"/>
  <c r="N693" i="1"/>
  <c r="M693" i="1"/>
  <c r="L693" i="1"/>
  <c r="O693" i="1" s="1"/>
  <c r="K693" i="1"/>
  <c r="L310" i="1"/>
  <c r="K310" i="1"/>
  <c r="M310" i="1"/>
  <c r="N310" i="1"/>
  <c r="N439" i="1"/>
  <c r="M439" i="1"/>
  <c r="K439" i="1"/>
  <c r="L439" i="1"/>
  <c r="N643" i="1"/>
  <c r="M643" i="1"/>
  <c r="L643" i="1"/>
  <c r="K643" i="1"/>
  <c r="L285" i="1"/>
  <c r="K285" i="1"/>
  <c r="N285" i="1"/>
  <c r="M285" i="1"/>
  <c r="L500" i="1"/>
  <c r="K500" i="1"/>
  <c r="M500" i="1"/>
  <c r="N500" i="1"/>
  <c r="N668" i="1"/>
  <c r="M668" i="1"/>
  <c r="L668" i="1"/>
  <c r="O668" i="1" s="1"/>
  <c r="K668" i="1"/>
  <c r="N405" i="1"/>
  <c r="M405" i="1"/>
  <c r="L405" i="1"/>
  <c r="K405" i="1"/>
  <c r="L502" i="1"/>
  <c r="K502" i="1"/>
  <c r="M502" i="1"/>
  <c r="N502" i="1"/>
  <c r="L548" i="1"/>
  <c r="K548" i="1"/>
  <c r="N548" i="1"/>
  <c r="M548" i="1"/>
  <c r="L1070" i="1"/>
  <c r="K1070" i="1"/>
  <c r="N1070" i="1"/>
  <c r="M1070" i="1"/>
  <c r="K566" i="1"/>
  <c r="L566" i="1"/>
  <c r="N566" i="1"/>
  <c r="M566" i="1"/>
  <c r="N763" i="1"/>
  <c r="M763" i="1"/>
  <c r="L763" i="1"/>
  <c r="O763" i="1" s="1"/>
  <c r="K763" i="1"/>
  <c r="L756" i="1"/>
  <c r="K756" i="1"/>
  <c r="M756" i="1"/>
  <c r="N756" i="1"/>
  <c r="M642" i="1"/>
  <c r="N642" i="1"/>
  <c r="L642" i="1"/>
  <c r="O642" i="1" s="1"/>
  <c r="K642" i="1"/>
  <c r="K546" i="1"/>
  <c r="L546" i="1"/>
  <c r="N546" i="1"/>
  <c r="M546" i="1"/>
  <c r="M390" i="1"/>
  <c r="N390" i="1"/>
  <c r="L390" i="1"/>
  <c r="O390" i="1" s="1"/>
  <c r="K390" i="1"/>
  <c r="M704" i="1"/>
  <c r="N704" i="1"/>
  <c r="L704" i="1"/>
  <c r="K704" i="1"/>
  <c r="N914" i="1"/>
  <c r="M914" i="1"/>
  <c r="L914" i="1"/>
  <c r="O914" i="1" s="1"/>
  <c r="K914" i="1"/>
  <c r="L539" i="1"/>
  <c r="K539" i="1"/>
  <c r="N539" i="1"/>
  <c r="M539" i="1"/>
  <c r="K338" i="1"/>
  <c r="L338" i="1"/>
  <c r="N338" i="1"/>
  <c r="M338" i="1"/>
  <c r="M1143" i="1"/>
  <c r="N1143" i="1"/>
  <c r="K1143" i="1"/>
  <c r="L1143" i="1"/>
  <c r="N660" i="1"/>
  <c r="M660" i="1"/>
  <c r="K660" i="1"/>
  <c r="L660" i="1"/>
  <c r="M681" i="1"/>
  <c r="N681" i="1"/>
  <c r="L681" i="1"/>
  <c r="K681" i="1"/>
  <c r="L532" i="1"/>
  <c r="K532" i="1"/>
  <c r="M532" i="1"/>
  <c r="N532" i="1"/>
  <c r="L691" i="1"/>
  <c r="K691" i="1"/>
  <c r="N691" i="1"/>
  <c r="M691" i="1"/>
  <c r="M311" i="1"/>
  <c r="N311" i="1"/>
  <c r="L311" i="1"/>
  <c r="O311" i="1" s="1"/>
  <c r="K311" i="1"/>
  <c r="M589" i="1"/>
  <c r="N589" i="1"/>
  <c r="K589" i="1"/>
  <c r="L589" i="1"/>
  <c r="K601" i="1"/>
  <c r="L601" i="1"/>
  <c r="M601" i="1"/>
  <c r="N601" i="1"/>
  <c r="L833" i="1"/>
  <c r="K833" i="1"/>
  <c r="M833" i="1"/>
  <c r="N833" i="1"/>
  <c r="M1043" i="1"/>
  <c r="N1043" i="1"/>
  <c r="K1043" i="1"/>
  <c r="L1043" i="1"/>
  <c r="O1043" i="1" s="1"/>
  <c r="K940" i="1"/>
  <c r="L940" i="1"/>
  <c r="M940" i="1"/>
  <c r="N940" i="1"/>
  <c r="M1127" i="1"/>
  <c r="N1127" i="1"/>
  <c r="K1127" i="1"/>
  <c r="L1127" i="1"/>
  <c r="O1127" i="1" s="1"/>
  <c r="M1039" i="1"/>
  <c r="N1039" i="1"/>
  <c r="K1039" i="1"/>
  <c r="L1039" i="1"/>
  <c r="K828" i="1"/>
  <c r="L828" i="1"/>
  <c r="M828" i="1"/>
  <c r="N828" i="1"/>
  <c r="M1103" i="1"/>
  <c r="N1103" i="1"/>
  <c r="K1103" i="1"/>
  <c r="L1103" i="1"/>
  <c r="M983" i="1"/>
  <c r="N983" i="1"/>
  <c r="K983" i="1"/>
  <c r="L983" i="1"/>
  <c r="O983" i="1" s="1"/>
  <c r="N654" i="1"/>
  <c r="M654" i="1"/>
  <c r="L654" i="1"/>
  <c r="K654" i="1"/>
  <c r="M962" i="1"/>
  <c r="N962" i="1"/>
  <c r="L962" i="1"/>
  <c r="O962" i="1" s="1"/>
  <c r="K962" i="1"/>
  <c r="L1013" i="1"/>
  <c r="K1013" i="1"/>
  <c r="M1013" i="1"/>
  <c r="N1013" i="1"/>
  <c r="M1071" i="1"/>
  <c r="N1071" i="1"/>
  <c r="K1071" i="1"/>
  <c r="L1071" i="1"/>
  <c r="O1071" i="1" s="1"/>
  <c r="M927" i="1"/>
  <c r="N927" i="1"/>
  <c r="L927" i="1"/>
  <c r="K927" i="1"/>
  <c r="N918" i="1"/>
  <c r="M918" i="1"/>
  <c r="L918" i="1"/>
  <c r="O918" i="1" s="1"/>
  <c r="K918" i="1"/>
  <c r="N644" i="1"/>
  <c r="M644" i="1"/>
  <c r="K644" i="1"/>
  <c r="L644" i="1"/>
  <c r="K929" i="1"/>
  <c r="L929" i="1"/>
  <c r="N929" i="1"/>
  <c r="M929" i="1"/>
  <c r="M991" i="1"/>
  <c r="N991" i="1"/>
  <c r="K991" i="1"/>
  <c r="L991" i="1"/>
  <c r="L820" i="1"/>
  <c r="K820" i="1"/>
  <c r="M820" i="1"/>
  <c r="N820" i="1"/>
  <c r="N824" i="1"/>
  <c r="M824" i="1"/>
  <c r="L824" i="1"/>
  <c r="K824" i="1"/>
  <c r="M432" i="1"/>
  <c r="N432" i="1"/>
  <c r="K432" i="1"/>
  <c r="L432" i="1"/>
  <c r="O432" i="1" s="1"/>
  <c r="N835" i="1"/>
  <c r="M835" i="1"/>
  <c r="L835" i="1"/>
  <c r="K835" i="1"/>
  <c r="N651" i="1"/>
  <c r="M651" i="1"/>
  <c r="K651" i="1"/>
  <c r="L651" i="1"/>
  <c r="L524" i="1"/>
  <c r="K524" i="1"/>
  <c r="M524" i="1"/>
  <c r="N524" i="1"/>
  <c r="M682" i="1"/>
  <c r="N682" i="1"/>
  <c r="L682" i="1"/>
  <c r="O682" i="1" s="1"/>
  <c r="K682" i="1"/>
  <c r="K645" i="1"/>
  <c r="L645" i="1"/>
  <c r="N645" i="1"/>
  <c r="M645" i="1"/>
  <c r="M638" i="1"/>
  <c r="N638" i="1"/>
  <c r="L638" i="1"/>
  <c r="O638" i="1" s="1"/>
  <c r="K638" i="1"/>
  <c r="M289" i="1"/>
  <c r="N289" i="1"/>
  <c r="L289" i="1"/>
  <c r="K289" i="1"/>
  <c r="N270" i="1"/>
  <c r="M270" i="1"/>
  <c r="L270" i="1"/>
  <c r="O270" i="1" s="1"/>
  <c r="K270" i="1"/>
  <c r="L294" i="1"/>
  <c r="K294" i="1"/>
  <c r="M294" i="1"/>
  <c r="N294" i="1"/>
  <c r="K798" i="1"/>
  <c r="L798" i="1"/>
  <c r="M798" i="1"/>
  <c r="N798" i="1"/>
  <c r="L411" i="1"/>
  <c r="K411" i="1"/>
  <c r="M411" i="1"/>
  <c r="N411" i="1"/>
  <c r="K655" i="1"/>
  <c r="L655" i="1"/>
  <c r="M655" i="1"/>
  <c r="N655" i="1"/>
  <c r="M1096" i="1"/>
  <c r="N1096" i="1"/>
  <c r="L1096" i="1"/>
  <c r="K1096" i="1"/>
  <c r="L844" i="1"/>
  <c r="K844" i="1"/>
  <c r="M844" i="1"/>
  <c r="N844" i="1"/>
  <c r="M950" i="1"/>
  <c r="N950" i="1"/>
  <c r="L950" i="1"/>
  <c r="K950" i="1"/>
  <c r="M527" i="1"/>
  <c r="N527" i="1"/>
  <c r="K527" i="1"/>
  <c r="L527" i="1"/>
  <c r="O527" i="1" s="1"/>
  <c r="M333" i="1"/>
  <c r="N333" i="1"/>
  <c r="K333" i="1"/>
  <c r="L333" i="1"/>
  <c r="L619" i="1"/>
  <c r="K619" i="1"/>
  <c r="N619" i="1"/>
  <c r="M619" i="1"/>
  <c r="N1136" i="1"/>
  <c r="M1136" i="1"/>
  <c r="L1136" i="1"/>
  <c r="K1136" i="1"/>
  <c r="N770" i="1"/>
  <c r="M770" i="1"/>
  <c r="L770" i="1"/>
  <c r="O770" i="1" s="1"/>
  <c r="K770" i="1"/>
  <c r="L733" i="1"/>
  <c r="K733" i="1"/>
  <c r="M733" i="1"/>
  <c r="N733" i="1"/>
  <c r="N397" i="1"/>
  <c r="M397" i="1"/>
  <c r="L397" i="1"/>
  <c r="O397" i="1" s="1"/>
  <c r="K397" i="1"/>
  <c r="M457" i="1"/>
  <c r="N457" i="1"/>
  <c r="K457" i="1"/>
  <c r="L457" i="1"/>
  <c r="M593" i="1"/>
  <c r="N593" i="1"/>
  <c r="L593" i="1"/>
  <c r="O593" i="1" s="1"/>
  <c r="K593" i="1"/>
  <c r="M1012" i="1"/>
  <c r="N1012" i="1"/>
  <c r="L1012" i="1"/>
  <c r="K1012" i="1"/>
  <c r="L989" i="1"/>
  <c r="K989" i="1"/>
  <c r="M989" i="1"/>
  <c r="N989" i="1"/>
  <c r="M1118" i="1"/>
  <c r="N1118" i="1"/>
  <c r="L1118" i="1"/>
  <c r="K1118" i="1"/>
  <c r="M1060" i="1"/>
  <c r="N1060" i="1"/>
  <c r="L1060" i="1"/>
  <c r="O1060" i="1" s="1"/>
  <c r="K1060" i="1"/>
  <c r="N356" i="1"/>
  <c r="M356" i="1"/>
  <c r="L356" i="1"/>
  <c r="K356" i="1"/>
  <c r="M529" i="1"/>
  <c r="N529" i="1"/>
  <c r="K529" i="1"/>
  <c r="L529" i="1"/>
  <c r="O529" i="1" s="1"/>
  <c r="N1048" i="1"/>
  <c r="M1048" i="1"/>
  <c r="L1048" i="1"/>
  <c r="K1048" i="1"/>
  <c r="M1114" i="1"/>
  <c r="N1114" i="1"/>
  <c r="K1114" i="1"/>
  <c r="L1114" i="1"/>
  <c r="O1114" i="1" s="1"/>
  <c r="L1014" i="1"/>
  <c r="K1014" i="1"/>
  <c r="M1014" i="1"/>
  <c r="N1014" i="1"/>
  <c r="M384" i="1"/>
  <c r="N384" i="1"/>
  <c r="L384" i="1"/>
  <c r="O384" i="1" s="1"/>
  <c r="K384" i="1"/>
  <c r="N694" i="1"/>
  <c r="M694" i="1"/>
  <c r="L694" i="1"/>
  <c r="K694" i="1"/>
  <c r="L766" i="1"/>
  <c r="K766" i="1"/>
  <c r="M766" i="1"/>
  <c r="N766" i="1"/>
  <c r="M789" i="1"/>
  <c r="N789" i="1"/>
  <c r="L789" i="1"/>
  <c r="K789" i="1"/>
  <c r="K292" i="1"/>
  <c r="L292" i="1"/>
  <c r="N292" i="1"/>
  <c r="M292" i="1"/>
  <c r="N528" i="1"/>
  <c r="M528" i="1"/>
  <c r="K528" i="1"/>
  <c r="L528" i="1"/>
  <c r="M1032" i="1"/>
  <c r="N1032" i="1"/>
  <c r="L1032" i="1"/>
  <c r="O1032" i="1" s="1"/>
  <c r="K1032" i="1"/>
  <c r="L978" i="1"/>
  <c r="K978" i="1"/>
  <c r="N978" i="1"/>
  <c r="M978" i="1"/>
  <c r="K307" i="1"/>
  <c r="L307" i="1"/>
  <c r="M307" i="1"/>
  <c r="N307" i="1"/>
  <c r="N406" i="1"/>
  <c r="M406" i="1"/>
  <c r="L406" i="1"/>
  <c r="K406" i="1"/>
  <c r="L533" i="1"/>
  <c r="K533" i="1"/>
  <c r="M533" i="1"/>
  <c r="N533" i="1"/>
  <c r="M1100" i="1"/>
  <c r="N1100" i="1"/>
  <c r="L1100" i="1"/>
  <c r="K1100" i="1"/>
  <c r="K866" i="1"/>
  <c r="L866" i="1"/>
  <c r="N866" i="1"/>
  <c r="M866" i="1"/>
  <c r="M877" i="1"/>
  <c r="N877" i="1"/>
  <c r="L877" i="1"/>
  <c r="K877" i="1"/>
  <c r="M317" i="1"/>
  <c r="N317" i="1"/>
  <c r="L317" i="1"/>
  <c r="O317" i="1" s="1"/>
  <c r="K317" i="1"/>
  <c r="M931" i="1"/>
  <c r="N931" i="1"/>
  <c r="L931" i="1"/>
  <c r="K931" i="1"/>
  <c r="M352" i="1"/>
  <c r="N352" i="1"/>
  <c r="K352" i="1"/>
  <c r="L352" i="1"/>
  <c r="O352" i="1" s="1"/>
  <c r="K900" i="1"/>
  <c r="L900" i="1"/>
  <c r="M900" i="1"/>
  <c r="N900" i="1"/>
  <c r="K848" i="1"/>
  <c r="L848" i="1"/>
  <c r="M848" i="1"/>
  <c r="N848" i="1"/>
  <c r="K906" i="1"/>
  <c r="L906" i="1"/>
  <c r="N906" i="1"/>
  <c r="M906" i="1"/>
  <c r="K520" i="1"/>
  <c r="L520" i="1"/>
  <c r="N520" i="1"/>
  <c r="M520" i="1"/>
  <c r="M706" i="1"/>
  <c r="N706" i="1"/>
  <c r="L706" i="1"/>
  <c r="K706" i="1"/>
  <c r="L870" i="1"/>
  <c r="K870" i="1"/>
  <c r="N870" i="1"/>
  <c r="M870" i="1"/>
  <c r="L564" i="1"/>
  <c r="K564" i="1"/>
  <c r="M564" i="1"/>
  <c r="N564" i="1"/>
  <c r="L506" i="1"/>
  <c r="K506" i="1"/>
  <c r="N506" i="1"/>
  <c r="M506" i="1"/>
  <c r="M323" i="1"/>
  <c r="N323" i="1"/>
  <c r="K323" i="1"/>
  <c r="L323" i="1"/>
  <c r="L945" i="1"/>
  <c r="K945" i="1"/>
  <c r="M945" i="1"/>
  <c r="N945" i="1"/>
  <c r="K552" i="1"/>
  <c r="L552" i="1"/>
  <c r="M552" i="1"/>
  <c r="N552" i="1"/>
  <c r="M482" i="1"/>
  <c r="N482" i="1"/>
  <c r="K482" i="1"/>
  <c r="L482" i="1"/>
  <c r="O482" i="1" s="1"/>
  <c r="L600" i="1"/>
  <c r="K600" i="1"/>
  <c r="M600" i="1"/>
  <c r="N600" i="1"/>
  <c r="N484" i="1"/>
  <c r="M484" i="1"/>
  <c r="L484" i="1"/>
  <c r="O484" i="1" s="1"/>
  <c r="K484" i="1"/>
  <c r="N746" i="1"/>
  <c r="M746" i="1"/>
  <c r="L746" i="1"/>
  <c r="K746" i="1"/>
  <c r="M942" i="1"/>
  <c r="N942" i="1"/>
  <c r="L942" i="1"/>
  <c r="O942" i="1" s="1"/>
  <c r="K942" i="1"/>
  <c r="K588" i="1"/>
  <c r="L588" i="1"/>
  <c r="M588" i="1"/>
  <c r="N588" i="1"/>
  <c r="L971" i="1"/>
  <c r="K971" i="1"/>
  <c r="M971" i="1"/>
  <c r="N971" i="1"/>
  <c r="L342" i="1"/>
  <c r="K342" i="1"/>
  <c r="M342" i="1"/>
  <c r="N342" i="1"/>
  <c r="M366" i="1"/>
  <c r="N366" i="1"/>
  <c r="K366" i="1"/>
  <c r="L366" i="1"/>
  <c r="O366" i="1" s="1"/>
  <c r="N538" i="1"/>
  <c r="M538" i="1"/>
  <c r="K538" i="1"/>
  <c r="L538" i="1"/>
  <c r="L340" i="1"/>
  <c r="K340" i="1"/>
  <c r="N340" i="1"/>
  <c r="M340" i="1"/>
  <c r="L325" i="1"/>
  <c r="K325" i="1"/>
  <c r="M325" i="1"/>
  <c r="N325" i="1"/>
  <c r="L793" i="1"/>
  <c r="K793" i="1"/>
  <c r="N793" i="1"/>
  <c r="M793" i="1"/>
  <c r="N464" i="1"/>
  <c r="M464" i="1"/>
  <c r="K464" i="1"/>
  <c r="L464" i="1"/>
  <c r="N530" i="1"/>
  <c r="M530" i="1"/>
  <c r="K530" i="1"/>
  <c r="L530" i="1"/>
  <c r="M378" i="1"/>
  <c r="N378" i="1"/>
  <c r="L378" i="1"/>
  <c r="K378" i="1"/>
  <c r="K673" i="1"/>
  <c r="L673" i="1"/>
  <c r="N673" i="1"/>
  <c r="M673" i="1"/>
  <c r="K334" i="1"/>
  <c r="L334" i="1"/>
  <c r="N334" i="1"/>
  <c r="M334" i="1"/>
  <c r="L380" i="1"/>
  <c r="K380" i="1"/>
  <c r="M380" i="1"/>
  <c r="N380" i="1"/>
  <c r="N903" i="1"/>
  <c r="M903" i="1"/>
  <c r="L903" i="1"/>
  <c r="K903" i="1"/>
  <c r="M964" i="1"/>
  <c r="N964" i="1"/>
  <c r="K964" i="1"/>
  <c r="L964" i="1"/>
  <c r="O964" i="1" s="1"/>
  <c r="K602" i="1"/>
  <c r="L602" i="1"/>
  <c r="N602" i="1"/>
  <c r="M602" i="1"/>
  <c r="M611" i="1"/>
  <c r="N611" i="1"/>
  <c r="K611" i="1"/>
  <c r="L611" i="1"/>
  <c r="O611" i="1" s="1"/>
  <c r="N755" i="1"/>
  <c r="M755" i="1"/>
  <c r="L755" i="1"/>
  <c r="K755" i="1"/>
  <c r="N288" i="1"/>
  <c r="M288" i="1"/>
  <c r="K288" i="1"/>
  <c r="L288" i="1"/>
  <c r="N605" i="1"/>
  <c r="M605" i="1"/>
  <c r="K605" i="1"/>
  <c r="L605" i="1"/>
  <c r="M585" i="1"/>
  <c r="N585" i="1"/>
  <c r="L585" i="1"/>
  <c r="O585" i="1" s="1"/>
  <c r="K585" i="1"/>
  <c r="N812" i="1"/>
  <c r="M812" i="1"/>
  <c r="L812" i="1"/>
  <c r="K812" i="1"/>
  <c r="L1053" i="1"/>
  <c r="K1053" i="1"/>
  <c r="M1053" i="1"/>
  <c r="N1053" i="1"/>
  <c r="L302" i="1"/>
  <c r="K302" i="1"/>
  <c r="M302" i="1"/>
  <c r="N302" i="1"/>
  <c r="N784" i="1"/>
  <c r="M784" i="1"/>
  <c r="L784" i="1"/>
  <c r="O784" i="1" s="1"/>
  <c r="K784" i="1"/>
  <c r="M1027" i="1"/>
  <c r="N1027" i="1"/>
  <c r="K1027" i="1"/>
  <c r="L1027" i="1"/>
  <c r="M360" i="1"/>
  <c r="N360" i="1"/>
  <c r="K360" i="1"/>
  <c r="L360" i="1"/>
  <c r="O360" i="1" s="1"/>
  <c r="N657" i="1"/>
  <c r="M657" i="1"/>
  <c r="K657" i="1"/>
  <c r="L657" i="1"/>
  <c r="M791" i="1"/>
  <c r="N791" i="1"/>
  <c r="L791" i="1"/>
  <c r="O791" i="1" s="1"/>
  <c r="K791" i="1"/>
  <c r="K1141" i="1"/>
  <c r="L1141" i="1"/>
  <c r="M1141" i="1"/>
  <c r="N1141" i="1"/>
  <c r="L1106" i="1"/>
  <c r="K1106" i="1"/>
  <c r="M1106" i="1"/>
  <c r="N1106" i="1"/>
  <c r="K1038" i="1"/>
  <c r="L1038" i="1"/>
  <c r="M1038" i="1"/>
  <c r="N1038" i="1"/>
  <c r="N941" i="1"/>
  <c r="M941" i="1"/>
  <c r="L941" i="1"/>
  <c r="O941" i="1" s="1"/>
  <c r="K941" i="1"/>
  <c r="M1099" i="1"/>
  <c r="N1099" i="1"/>
  <c r="K1099" i="1"/>
  <c r="L1099" i="1"/>
  <c r="M958" i="1"/>
  <c r="N958" i="1"/>
  <c r="L958" i="1"/>
  <c r="O958" i="1" s="1"/>
  <c r="K958" i="1"/>
  <c r="L587" i="1"/>
  <c r="K587" i="1"/>
  <c r="N587" i="1"/>
  <c r="M587" i="1"/>
  <c r="L318" i="1"/>
  <c r="K318" i="1"/>
  <c r="M318" i="1"/>
  <c r="N318" i="1"/>
  <c r="L769" i="1"/>
  <c r="K769" i="1"/>
  <c r="N769" i="1"/>
  <c r="M769" i="1"/>
  <c r="M1073" i="1"/>
  <c r="N1073" i="1"/>
  <c r="L1073" i="1"/>
  <c r="O1073" i="1" s="1"/>
  <c r="K1073" i="1"/>
  <c r="N1091" i="1"/>
  <c r="M1091" i="1"/>
  <c r="K1091" i="1"/>
  <c r="L1091" i="1"/>
  <c r="L487" i="1"/>
  <c r="K487" i="1"/>
  <c r="N487" i="1"/>
  <c r="M487" i="1"/>
  <c r="N999" i="1"/>
  <c r="M999" i="1"/>
  <c r="K999" i="1"/>
  <c r="L999" i="1"/>
  <c r="M1023" i="1"/>
  <c r="N1023" i="1"/>
  <c r="K1023" i="1"/>
  <c r="L1023" i="1"/>
  <c r="O1023" i="1" s="1"/>
  <c r="N808" i="1"/>
  <c r="M808" i="1"/>
  <c r="L808" i="1"/>
  <c r="K808" i="1"/>
  <c r="L551" i="1"/>
  <c r="K551" i="1"/>
  <c r="N551" i="1"/>
  <c r="M551" i="1"/>
  <c r="M1110" i="1"/>
  <c r="N1110" i="1"/>
  <c r="K1110" i="1"/>
  <c r="L1110" i="1"/>
  <c r="M716" i="1"/>
  <c r="N716" i="1"/>
  <c r="L716" i="1"/>
  <c r="O716" i="1" s="1"/>
  <c r="K716" i="1"/>
  <c r="L753" i="1"/>
  <c r="K753" i="1"/>
  <c r="N753" i="1"/>
  <c r="M753" i="1"/>
  <c r="M385" i="1"/>
  <c r="N385" i="1"/>
  <c r="L385" i="1"/>
  <c r="O385" i="1" s="1"/>
  <c r="K385" i="1"/>
  <c r="L697" i="1"/>
  <c r="K697" i="1"/>
  <c r="N697" i="1"/>
  <c r="M697" i="1"/>
  <c r="M630" i="1"/>
  <c r="N630" i="1"/>
  <c r="L630" i="1"/>
  <c r="O630" i="1" s="1"/>
  <c r="K630" i="1"/>
  <c r="N919" i="1"/>
  <c r="M919" i="1"/>
  <c r="L919" i="1"/>
  <c r="K919" i="1"/>
  <c r="K680" i="1"/>
  <c r="L680" i="1"/>
  <c r="M680" i="1"/>
  <c r="N680" i="1"/>
  <c r="L658" i="1"/>
  <c r="K658" i="1"/>
  <c r="M658" i="1"/>
  <c r="N658" i="1"/>
  <c r="L629" i="1"/>
  <c r="K629" i="1"/>
  <c r="M629" i="1"/>
  <c r="N629" i="1"/>
  <c r="K459" i="1"/>
  <c r="L459" i="1"/>
  <c r="N459" i="1"/>
  <c r="M459" i="1"/>
  <c r="N410" i="1"/>
  <c r="M410" i="1"/>
  <c r="L410" i="1"/>
  <c r="O410" i="1" s="1"/>
  <c r="K410" i="1"/>
  <c r="K277" i="1"/>
  <c r="L277" i="1"/>
  <c r="N277" i="1"/>
  <c r="M277" i="1"/>
  <c r="K481" i="1"/>
  <c r="L481" i="1"/>
  <c r="N481" i="1"/>
  <c r="M481" i="1"/>
  <c r="N501" i="1"/>
  <c r="M501" i="1"/>
  <c r="K501" i="1"/>
  <c r="L501" i="1"/>
  <c r="K1021" i="1"/>
  <c r="L1021" i="1"/>
  <c r="M1021" i="1"/>
  <c r="N1021" i="1"/>
  <c r="M917" i="1"/>
  <c r="N917" i="1"/>
  <c r="L917" i="1"/>
  <c r="K917" i="1"/>
  <c r="K536" i="1"/>
  <c r="L536" i="1"/>
  <c r="M536" i="1"/>
  <c r="N536" i="1"/>
  <c r="K557" i="1"/>
  <c r="L557" i="1"/>
  <c r="M557" i="1"/>
  <c r="N557" i="1"/>
  <c r="K313" i="1"/>
  <c r="L313" i="1"/>
  <c r="M313" i="1"/>
  <c r="N313" i="1"/>
  <c r="N575" i="1"/>
  <c r="M575" i="1"/>
  <c r="L575" i="1"/>
  <c r="K575" i="1"/>
  <c r="K734" i="1"/>
  <c r="L734" i="1"/>
  <c r="M734" i="1"/>
  <c r="N734" i="1"/>
  <c r="K661" i="1"/>
  <c r="L661" i="1"/>
  <c r="M661" i="1"/>
  <c r="N661" i="1"/>
  <c r="N1028" i="1"/>
  <c r="M1028" i="1"/>
  <c r="L1028" i="1"/>
  <c r="O1028" i="1" s="1"/>
  <c r="K1028" i="1"/>
  <c r="M351" i="1"/>
  <c r="N351" i="1"/>
  <c r="L351" i="1"/>
  <c r="K351" i="1"/>
  <c r="N446" i="1"/>
  <c r="M446" i="1"/>
  <c r="L446" i="1"/>
  <c r="O446" i="1" s="1"/>
  <c r="K446" i="1"/>
  <c r="N543" i="1"/>
  <c r="M543" i="1"/>
  <c r="L543" i="1"/>
  <c r="K543" i="1"/>
  <c r="N1044" i="1"/>
  <c r="M1044" i="1"/>
  <c r="L1044" i="1"/>
  <c r="O1044" i="1" s="1"/>
  <c r="K1044" i="1"/>
  <c r="K603" i="1"/>
  <c r="L603" i="1"/>
  <c r="M603" i="1"/>
  <c r="N603" i="1"/>
  <c r="M328" i="1"/>
  <c r="N328" i="1"/>
  <c r="K328" i="1"/>
  <c r="L328" i="1"/>
  <c r="O328" i="1" s="1"/>
  <c r="N963" i="1"/>
  <c r="M963" i="1"/>
  <c r="K963" i="1"/>
  <c r="L963" i="1"/>
  <c r="M373" i="1"/>
  <c r="N373" i="1"/>
  <c r="L373" i="1"/>
  <c r="O373" i="1" s="1"/>
  <c r="K373" i="1"/>
  <c r="K455" i="1"/>
  <c r="L455" i="1"/>
  <c r="N455" i="1"/>
  <c r="M455" i="1"/>
  <c r="M1080" i="1"/>
  <c r="N1080" i="1"/>
  <c r="L1080" i="1"/>
  <c r="O1080" i="1" s="1"/>
  <c r="K1080" i="1"/>
  <c r="L375" i="1"/>
  <c r="K375" i="1"/>
  <c r="M375" i="1"/>
  <c r="N375" i="1"/>
  <c r="K858" i="1"/>
  <c r="L858" i="1"/>
  <c r="N858" i="1"/>
  <c r="M858" i="1"/>
  <c r="K416" i="1"/>
  <c r="L416" i="1"/>
  <c r="M416" i="1"/>
  <c r="N416" i="1"/>
  <c r="M992" i="1"/>
  <c r="N992" i="1"/>
  <c r="L992" i="1"/>
  <c r="O992" i="1" s="1"/>
  <c r="K992" i="1"/>
  <c r="K960" i="1"/>
  <c r="L960" i="1"/>
  <c r="M960" i="1"/>
  <c r="N960" i="1"/>
  <c r="L402" i="1"/>
  <c r="K402" i="1"/>
  <c r="N402" i="1"/>
  <c r="M402" i="1"/>
  <c r="K315" i="1"/>
  <c r="L315" i="1"/>
  <c r="M315" i="1"/>
  <c r="N315" i="1"/>
  <c r="M504" i="1"/>
  <c r="N504" i="1"/>
  <c r="L504" i="1"/>
  <c r="O504" i="1" s="1"/>
  <c r="K504" i="1"/>
  <c r="M1064" i="1"/>
  <c r="N1064" i="1"/>
  <c r="L1064" i="1"/>
  <c r="K1064" i="1"/>
  <c r="M714" i="1"/>
  <c r="N714" i="1"/>
  <c r="L714" i="1"/>
  <c r="O714" i="1" s="1"/>
  <c r="K714" i="1"/>
  <c r="L304" i="1"/>
  <c r="K304" i="1"/>
  <c r="M304" i="1"/>
  <c r="N304" i="1"/>
  <c r="L401" i="1"/>
  <c r="K401" i="1"/>
  <c r="M401" i="1"/>
  <c r="N401" i="1"/>
  <c r="K709" i="1"/>
  <c r="L709" i="1"/>
  <c r="M709" i="1"/>
  <c r="N709" i="1"/>
  <c r="N1132" i="1"/>
  <c r="M1132" i="1"/>
  <c r="L1132" i="1"/>
  <c r="O1132" i="1" s="1"/>
  <c r="K1132" i="1"/>
  <c r="N1025" i="1"/>
  <c r="M1025" i="1"/>
  <c r="L1025" i="1"/>
  <c r="K1025" i="1"/>
  <c r="K928" i="1"/>
  <c r="L928" i="1"/>
  <c r="M928" i="1"/>
  <c r="N928" i="1"/>
  <c r="M802" i="1"/>
  <c r="N802" i="1"/>
  <c r="L802" i="1"/>
  <c r="K802" i="1"/>
  <c r="N993" i="1"/>
  <c r="M993" i="1"/>
  <c r="L993" i="1"/>
  <c r="O993" i="1" s="1"/>
  <c r="K993" i="1"/>
  <c r="K922" i="1"/>
  <c r="L922" i="1"/>
  <c r="N922" i="1"/>
  <c r="M922" i="1"/>
  <c r="M1089" i="1"/>
  <c r="N1089" i="1"/>
  <c r="K1089" i="1"/>
  <c r="L1089" i="1"/>
  <c r="O1089" i="1" s="1"/>
  <c r="L912" i="1"/>
  <c r="K912" i="1"/>
  <c r="M912" i="1"/>
  <c r="N912" i="1"/>
  <c r="M961" i="1"/>
  <c r="N961" i="1"/>
  <c r="L961" i="1"/>
  <c r="O961" i="1" s="1"/>
  <c r="K961" i="1"/>
  <c r="L946" i="1"/>
  <c r="K946" i="1"/>
  <c r="M946" i="1"/>
  <c r="N946" i="1"/>
  <c r="L876" i="1"/>
  <c r="K876" i="1"/>
  <c r="M876" i="1"/>
  <c r="N876" i="1"/>
  <c r="K990" i="1"/>
  <c r="L990" i="1"/>
  <c r="M990" i="1"/>
  <c r="N990" i="1"/>
  <c r="M438" i="1"/>
  <c r="N438" i="1"/>
  <c r="L438" i="1"/>
  <c r="O438" i="1" s="1"/>
  <c r="K438" i="1"/>
  <c r="M391" i="1"/>
  <c r="N391" i="1"/>
  <c r="L391" i="1"/>
  <c r="K391" i="1"/>
  <c r="M821" i="1"/>
  <c r="N821" i="1"/>
  <c r="L821" i="1"/>
  <c r="O821" i="1" s="1"/>
  <c r="K821" i="1"/>
  <c r="K534" i="1"/>
  <c r="L534" i="1"/>
  <c r="N534" i="1"/>
  <c r="M534" i="1"/>
  <c r="L344" i="1"/>
  <c r="K344" i="1"/>
  <c r="M344" i="1"/>
  <c r="N344" i="1"/>
  <c r="N731" i="1"/>
  <c r="M731" i="1"/>
  <c r="L731" i="1"/>
  <c r="K731" i="1"/>
  <c r="K357" i="1"/>
  <c r="L357" i="1"/>
  <c r="N357" i="1"/>
  <c r="M357" i="1"/>
  <c r="L374" i="1"/>
  <c r="K374" i="1"/>
  <c r="M374" i="1"/>
  <c r="N374" i="1"/>
  <c r="N395" i="1"/>
  <c r="M395" i="1"/>
  <c r="L395" i="1"/>
  <c r="O395" i="1" s="1"/>
  <c r="K395" i="1"/>
  <c r="L316" i="1"/>
  <c r="K316" i="1"/>
  <c r="M316" i="1"/>
  <c r="N316" i="1"/>
  <c r="N641" i="1"/>
  <c r="M641" i="1"/>
  <c r="K641" i="1"/>
  <c r="L641" i="1"/>
  <c r="M823" i="1"/>
  <c r="N823" i="1"/>
  <c r="L823" i="1"/>
  <c r="K823" i="1"/>
  <c r="N418" i="1"/>
  <c r="M418" i="1"/>
  <c r="L418" i="1"/>
  <c r="O418" i="1" s="1"/>
  <c r="K418" i="1"/>
  <c r="N495" i="1"/>
  <c r="M495" i="1"/>
  <c r="K495" i="1"/>
  <c r="L495" i="1"/>
  <c r="N788" i="1"/>
  <c r="M788" i="1"/>
  <c r="L788" i="1"/>
  <c r="O788" i="1" s="1"/>
  <c r="K788" i="1"/>
  <c r="K393" i="1"/>
  <c r="L393" i="1"/>
  <c r="M393" i="1"/>
  <c r="N393" i="1"/>
  <c r="L462" i="1"/>
  <c r="K462" i="1"/>
  <c r="M462" i="1"/>
  <c r="N462" i="1"/>
  <c r="K1097" i="1"/>
  <c r="L1097" i="1"/>
  <c r="M1097" i="1"/>
  <c r="N1097" i="1"/>
  <c r="L279" i="1"/>
  <c r="K279" i="1"/>
  <c r="N279" i="1"/>
  <c r="M279" i="1"/>
  <c r="N327" i="1"/>
  <c r="M327" i="1"/>
  <c r="L327" i="1"/>
  <c r="K327" i="1"/>
  <c r="N578" i="1"/>
  <c r="M578" i="1"/>
  <c r="K578" i="1"/>
  <c r="L578" i="1"/>
  <c r="M537" i="1"/>
  <c r="N537" i="1"/>
  <c r="K537" i="1"/>
  <c r="L537" i="1"/>
  <c r="L700" i="1"/>
  <c r="K700" i="1"/>
  <c r="M700" i="1"/>
  <c r="N700" i="1"/>
  <c r="L571" i="1"/>
  <c r="K571" i="1"/>
  <c r="M571" i="1"/>
  <c r="N571" i="1"/>
  <c r="N747" i="1"/>
  <c r="M747" i="1"/>
  <c r="L747" i="1"/>
  <c r="O747" i="1" s="1"/>
  <c r="K747" i="1"/>
  <c r="N887" i="1"/>
  <c r="M887" i="1"/>
  <c r="L887" i="1"/>
  <c r="K887" i="1"/>
  <c r="M569" i="1"/>
  <c r="N569" i="1"/>
  <c r="K569" i="1"/>
  <c r="L569" i="1"/>
  <c r="O569" i="1" s="1"/>
  <c r="M768" i="1"/>
  <c r="N768" i="1"/>
  <c r="L768" i="1"/>
  <c r="K768" i="1"/>
  <c r="L737" i="1"/>
  <c r="K737" i="1"/>
  <c r="N737" i="1"/>
  <c r="M737" i="1"/>
  <c r="M591" i="1"/>
  <c r="N591" i="1"/>
  <c r="L591" i="1"/>
  <c r="K591" i="1"/>
  <c r="N349" i="1"/>
  <c r="M349" i="1"/>
  <c r="K349" i="1"/>
  <c r="L349" i="1"/>
  <c r="N676" i="1"/>
  <c r="M676" i="1"/>
  <c r="K676" i="1"/>
  <c r="L676" i="1"/>
  <c r="N1131" i="1"/>
  <c r="M1131" i="1"/>
  <c r="K1131" i="1"/>
  <c r="L1131" i="1"/>
  <c r="M1135" i="1"/>
  <c r="N1135" i="1"/>
  <c r="K1135" i="1"/>
  <c r="L1135" i="1"/>
  <c r="M358" i="1"/>
  <c r="N358" i="1"/>
  <c r="K358" i="1"/>
  <c r="L358" i="1"/>
  <c r="O358" i="1" s="1"/>
  <c r="N523" i="1"/>
  <c r="M523" i="1"/>
  <c r="K523" i="1"/>
  <c r="L523" i="1"/>
  <c r="K646" i="1"/>
  <c r="L646" i="1"/>
  <c r="N646" i="1"/>
  <c r="M646" i="1"/>
  <c r="M319" i="1"/>
  <c r="N319" i="1"/>
  <c r="L319" i="1"/>
  <c r="K319" i="1"/>
  <c r="M775" i="1"/>
  <c r="N775" i="1"/>
  <c r="L775" i="1"/>
  <c r="O775" i="1" s="1"/>
  <c r="K775" i="1"/>
  <c r="M838" i="1"/>
  <c r="N838" i="1"/>
  <c r="L838" i="1"/>
  <c r="K838" i="1"/>
  <c r="M712" i="1"/>
  <c r="N712" i="1"/>
  <c r="L712" i="1"/>
  <c r="O712" i="1" s="1"/>
  <c r="K712" i="1"/>
  <c r="M1087" i="1"/>
  <c r="N1087" i="1"/>
  <c r="K1087" i="1"/>
  <c r="L1087" i="1"/>
  <c r="K364" i="1"/>
  <c r="L364" i="1"/>
  <c r="M364" i="1"/>
  <c r="N364" i="1"/>
  <c r="M1055" i="1"/>
  <c r="N1055" i="1"/>
  <c r="K1055" i="1"/>
  <c r="L1055" i="1"/>
  <c r="M719" i="1"/>
  <c r="N719" i="1"/>
  <c r="L719" i="1"/>
  <c r="O719" i="1" s="1"/>
  <c r="K719" i="1"/>
  <c r="M1047" i="1"/>
  <c r="N1047" i="1"/>
  <c r="K1047" i="1"/>
  <c r="L1047" i="1"/>
  <c r="L785" i="1"/>
  <c r="K785" i="1"/>
  <c r="N785" i="1"/>
  <c r="M785" i="1"/>
  <c r="L563" i="1"/>
  <c r="K563" i="1"/>
  <c r="N563" i="1"/>
  <c r="M563" i="1"/>
  <c r="M979" i="1"/>
  <c r="N979" i="1"/>
  <c r="K979" i="1"/>
  <c r="L979" i="1"/>
  <c r="O979" i="1" s="1"/>
  <c r="L826" i="1"/>
  <c r="K826" i="1"/>
  <c r="M826" i="1"/>
  <c r="N826" i="1"/>
  <c r="N1063" i="1"/>
  <c r="M1063" i="1"/>
  <c r="K1063" i="1"/>
  <c r="L1063" i="1"/>
  <c r="M436" i="1"/>
  <c r="N436" i="1"/>
  <c r="L436" i="1"/>
  <c r="K436" i="1"/>
  <c r="K1113" i="1"/>
  <c r="L1113" i="1"/>
  <c r="M1113" i="1"/>
  <c r="N1113" i="1"/>
  <c r="L827" i="1"/>
  <c r="K827" i="1"/>
  <c r="M827" i="1"/>
  <c r="N827" i="1"/>
  <c r="K864" i="1"/>
  <c r="L864" i="1"/>
  <c r="M864" i="1"/>
  <c r="N864" i="1"/>
  <c r="N699" i="1"/>
  <c r="M699" i="1"/>
  <c r="L699" i="1"/>
  <c r="K699" i="1"/>
  <c r="K920" i="1"/>
  <c r="L920" i="1"/>
  <c r="M920" i="1"/>
  <c r="N920" i="1"/>
  <c r="L897" i="1"/>
  <c r="K897" i="1"/>
  <c r="M897" i="1"/>
  <c r="N897" i="1"/>
  <c r="L947" i="1"/>
  <c r="K947" i="1"/>
  <c r="M947" i="1"/>
  <c r="N947" i="1"/>
  <c r="K957" i="1"/>
  <c r="L957" i="1"/>
  <c r="M957" i="1"/>
  <c r="N957" i="1"/>
  <c r="M450" i="1"/>
  <c r="N450" i="1"/>
  <c r="K450" i="1"/>
  <c r="L450" i="1"/>
  <c r="O450" i="1" s="1"/>
  <c r="M598" i="1"/>
  <c r="N598" i="1"/>
  <c r="K598" i="1"/>
  <c r="L598" i="1"/>
  <c r="N867" i="1"/>
  <c r="M867" i="1"/>
  <c r="L867" i="1"/>
  <c r="O867" i="1" s="1"/>
  <c r="K867" i="1"/>
  <c r="M639" i="1"/>
  <c r="N639" i="1"/>
  <c r="K639" i="1"/>
  <c r="L639" i="1"/>
  <c r="K590" i="1"/>
  <c r="L590" i="1"/>
  <c r="N590" i="1"/>
  <c r="M590" i="1"/>
  <c r="N522" i="1"/>
  <c r="M522" i="1"/>
  <c r="K522" i="1"/>
  <c r="L522" i="1"/>
  <c r="M293" i="1"/>
  <c r="N293" i="1"/>
  <c r="L293" i="1"/>
  <c r="O293" i="1" s="1"/>
  <c r="K293" i="1"/>
  <c r="M370" i="1"/>
  <c r="N370" i="1"/>
  <c r="L370" i="1"/>
  <c r="K370" i="1"/>
  <c r="N268" i="1"/>
  <c r="M268" i="1"/>
  <c r="L268" i="1"/>
  <c r="O268" i="1" s="1"/>
  <c r="K268" i="1"/>
  <c r="N469" i="1"/>
  <c r="M469" i="1"/>
  <c r="K469" i="1"/>
  <c r="L469" i="1"/>
  <c r="L1010" i="1"/>
  <c r="K1010" i="1"/>
  <c r="M1010" i="1"/>
  <c r="N1010" i="1"/>
  <c r="N1024" i="1"/>
  <c r="M1024" i="1"/>
  <c r="L1024" i="1"/>
  <c r="K1024" i="1"/>
  <c r="M741" i="1"/>
  <c r="N741" i="1"/>
  <c r="L741" i="1"/>
  <c r="O741" i="1" s="1"/>
  <c r="K741" i="1"/>
  <c r="M1082" i="1"/>
  <c r="N1082" i="1"/>
  <c r="L1082" i="1"/>
  <c r="K1082" i="1"/>
  <c r="L1017" i="1"/>
  <c r="K1017" i="1"/>
  <c r="M1017" i="1"/>
  <c r="N1017" i="1"/>
  <c r="M368" i="1"/>
  <c r="N368" i="1"/>
  <c r="L368" i="1"/>
  <c r="K368" i="1"/>
  <c r="M1022" i="1"/>
  <c r="N1022" i="1"/>
  <c r="L1022" i="1"/>
  <c r="O1022" i="1" s="1"/>
  <c r="K1022" i="1"/>
  <c r="M414" i="1"/>
  <c r="N414" i="1"/>
  <c r="L414" i="1"/>
  <c r="K414" i="1"/>
  <c r="M596" i="1"/>
  <c r="N596" i="1"/>
  <c r="K596" i="1"/>
  <c r="L596" i="1"/>
  <c r="O596" i="1" s="1"/>
  <c r="K336" i="1"/>
  <c r="L336" i="1"/>
  <c r="M336" i="1"/>
  <c r="N336" i="1"/>
  <c r="N562" i="1"/>
  <c r="M562" i="1"/>
  <c r="K562" i="1"/>
  <c r="L562" i="1"/>
  <c r="N779" i="1"/>
  <c r="M779" i="1"/>
  <c r="L779" i="1"/>
  <c r="K779" i="1"/>
  <c r="K339" i="1"/>
  <c r="L339" i="1"/>
  <c r="M339" i="1"/>
  <c r="N339" i="1"/>
  <c r="K613" i="1"/>
  <c r="L613" i="1"/>
  <c r="M613" i="1"/>
  <c r="N613" i="1"/>
  <c r="M722" i="1"/>
  <c r="N722" i="1"/>
  <c r="L722" i="1"/>
  <c r="O722" i="1" s="1"/>
  <c r="K722" i="1"/>
  <c r="K503" i="1"/>
  <c r="L503" i="1"/>
  <c r="N503" i="1"/>
  <c r="M503" i="1"/>
  <c r="L445" i="1"/>
  <c r="K445" i="1"/>
  <c r="N445" i="1"/>
  <c r="M445" i="1"/>
  <c r="K1034" i="1"/>
  <c r="L1034" i="1"/>
  <c r="M1034" i="1"/>
  <c r="N1034" i="1"/>
  <c r="L461" i="1"/>
  <c r="K461" i="1"/>
  <c r="N461" i="1"/>
  <c r="M461" i="1"/>
  <c r="K295" i="1"/>
  <c r="L295" i="1"/>
  <c r="N295" i="1"/>
  <c r="M295" i="1"/>
  <c r="L884" i="1"/>
  <c r="K884" i="1"/>
  <c r="M884" i="1"/>
  <c r="N884" i="1"/>
  <c r="L320" i="1"/>
  <c r="K320" i="1"/>
  <c r="M320" i="1"/>
  <c r="N320" i="1"/>
  <c r="K376" i="1"/>
  <c r="L376" i="1"/>
  <c r="M376" i="1"/>
  <c r="N376" i="1"/>
  <c r="M685" i="1"/>
  <c r="N685" i="1"/>
  <c r="L685" i="1"/>
  <c r="K685" i="1"/>
  <c r="M382" i="1"/>
  <c r="N382" i="1"/>
  <c r="L382" i="1"/>
  <c r="O382" i="1" s="1"/>
  <c r="K382" i="1"/>
  <c r="N794" i="1"/>
  <c r="M794" i="1"/>
  <c r="L794" i="1"/>
  <c r="K794" i="1"/>
  <c r="L607" i="1"/>
  <c r="K607" i="1"/>
  <c r="N607" i="1"/>
  <c r="M607" i="1"/>
  <c r="K1045" i="1"/>
  <c r="L1045" i="1"/>
  <c r="M1045" i="1"/>
  <c r="N1045" i="1"/>
  <c r="K916" i="1"/>
  <c r="L916" i="1"/>
  <c r="M916" i="1"/>
  <c r="N916" i="1"/>
  <c r="M267" i="1"/>
  <c r="N267" i="1"/>
  <c r="K267" i="1"/>
  <c r="L267" i="1"/>
  <c r="L518" i="1"/>
  <c r="K518" i="1"/>
  <c r="M518" i="1"/>
  <c r="N518" i="1"/>
  <c r="M850" i="1"/>
  <c r="N850" i="1"/>
  <c r="L850" i="1"/>
  <c r="K850" i="1"/>
  <c r="M359" i="1"/>
  <c r="N359" i="1"/>
  <c r="K359" i="1"/>
  <c r="L359" i="1"/>
  <c r="O359" i="1" s="1"/>
  <c r="N550" i="1"/>
  <c r="M550" i="1"/>
  <c r="K550" i="1"/>
  <c r="L550" i="1"/>
  <c r="M735" i="1"/>
  <c r="N735" i="1"/>
  <c r="L735" i="1"/>
  <c r="O735" i="1" s="1"/>
  <c r="K735" i="1"/>
  <c r="N698" i="1"/>
  <c r="M698" i="1"/>
  <c r="L698" i="1"/>
  <c r="K698" i="1"/>
  <c r="M1007" i="1"/>
  <c r="N1007" i="1"/>
  <c r="K1007" i="1"/>
  <c r="L1007" i="1"/>
  <c r="O1007" i="1" s="1"/>
  <c r="L777" i="1"/>
  <c r="K777" i="1"/>
  <c r="N777" i="1"/>
  <c r="M777" i="1"/>
  <c r="M1139" i="1"/>
  <c r="N1139" i="1"/>
  <c r="K1139" i="1"/>
  <c r="L1139" i="1"/>
  <c r="L688" i="1"/>
  <c r="K688" i="1"/>
  <c r="M688" i="1"/>
  <c r="N688" i="1"/>
  <c r="N881" i="1"/>
  <c r="M881" i="1"/>
  <c r="L881" i="1"/>
  <c r="O881" i="1" s="1"/>
  <c r="K881" i="1"/>
  <c r="M886" i="1"/>
  <c r="N886" i="1"/>
  <c r="L886" i="1"/>
  <c r="K886" i="1"/>
  <c r="M1107" i="1"/>
  <c r="N1107" i="1"/>
  <c r="K1107" i="1"/>
  <c r="L1107" i="1"/>
  <c r="O1107" i="1" s="1"/>
  <c r="K965" i="1"/>
  <c r="L965" i="1"/>
  <c r="M965" i="1"/>
  <c r="N965" i="1"/>
  <c r="N730" i="1"/>
  <c r="M730" i="1"/>
  <c r="L730" i="1"/>
  <c r="O730" i="1" s="1"/>
  <c r="K730" i="1"/>
  <c r="K666" i="1"/>
  <c r="L666" i="1"/>
  <c r="M666" i="1"/>
  <c r="N666" i="1"/>
  <c r="M640" i="1"/>
  <c r="N640" i="1"/>
  <c r="L640" i="1"/>
  <c r="O640" i="1" s="1"/>
  <c r="K640" i="1"/>
  <c r="M995" i="1"/>
  <c r="N995" i="1"/>
  <c r="K995" i="1"/>
  <c r="L995" i="1"/>
  <c r="L1077" i="1"/>
  <c r="K1077" i="1"/>
  <c r="M1077" i="1"/>
  <c r="N1077" i="1"/>
  <c r="K667" i="1"/>
  <c r="L667" i="1"/>
  <c r="M667" i="1"/>
  <c r="N667" i="1"/>
  <c r="K1002" i="1"/>
  <c r="L1002" i="1"/>
  <c r="M1002" i="1"/>
  <c r="N1002" i="1"/>
  <c r="M976" i="1"/>
  <c r="N976" i="1"/>
  <c r="K976" i="1"/>
  <c r="L976" i="1"/>
  <c r="N261" i="1"/>
  <c r="M261" i="1"/>
  <c r="K261" i="1"/>
  <c r="L261" i="1"/>
  <c r="M386" i="1"/>
  <c r="N386" i="1"/>
  <c r="L386" i="1"/>
  <c r="K386" i="1"/>
  <c r="L672" i="1"/>
  <c r="K672" i="1"/>
  <c r="M672" i="1"/>
  <c r="N672" i="1"/>
  <c r="N915" i="1"/>
  <c r="M915" i="1"/>
  <c r="L915" i="1"/>
  <c r="K915" i="1"/>
  <c r="L925" i="1"/>
  <c r="K925" i="1"/>
  <c r="M925" i="1"/>
  <c r="N925" i="1"/>
  <c r="K937" i="1"/>
  <c r="L937" i="1"/>
  <c r="M937" i="1"/>
  <c r="N937" i="1"/>
  <c r="L804" i="1"/>
  <c r="K804" i="1"/>
  <c r="M804" i="1"/>
  <c r="N804" i="1"/>
  <c r="M855" i="1"/>
  <c r="N855" i="1"/>
  <c r="K855" i="1"/>
  <c r="L855" i="1"/>
  <c r="M606" i="1"/>
  <c r="N606" i="1"/>
  <c r="L606" i="1"/>
  <c r="O606" i="1" s="1"/>
  <c r="K606" i="1"/>
  <c r="M541" i="1"/>
  <c r="N541" i="1"/>
  <c r="L541" i="1"/>
  <c r="K541" i="1"/>
  <c r="K491" i="1"/>
  <c r="L491" i="1"/>
  <c r="M491" i="1"/>
  <c r="N491" i="1"/>
  <c r="N266" i="1"/>
  <c r="M266" i="1"/>
  <c r="L266" i="1"/>
  <c r="K266" i="1"/>
  <c r="N262" i="1"/>
  <c r="M262" i="1"/>
  <c r="L262" i="1"/>
  <c r="O262" i="1" s="1"/>
  <c r="K262" i="1"/>
  <c r="L460" i="1"/>
  <c r="K460" i="1"/>
  <c r="M460" i="1"/>
  <c r="N460" i="1"/>
  <c r="K1117" i="1"/>
  <c r="L1117" i="1"/>
  <c r="M1117" i="1"/>
  <c r="N1117" i="1"/>
  <c r="K409" i="1"/>
  <c r="L409" i="1"/>
  <c r="N409" i="1"/>
  <c r="M409" i="1"/>
  <c r="M951" i="1"/>
  <c r="N951" i="1"/>
  <c r="L951" i="1"/>
  <c r="O951" i="1" s="1"/>
  <c r="K951" i="1"/>
  <c r="M337" i="1"/>
  <c r="N337" i="1"/>
  <c r="K337" i="1"/>
  <c r="L337" i="1"/>
  <c r="M396" i="1"/>
  <c r="N396" i="1"/>
  <c r="L396" i="1"/>
  <c r="O396" i="1" s="1"/>
  <c r="K396" i="1"/>
  <c r="N909" i="1"/>
  <c r="M909" i="1"/>
  <c r="L909" i="1"/>
  <c r="K909" i="1"/>
  <c r="K949" i="1"/>
  <c r="L949" i="1"/>
  <c r="N949" i="1"/>
  <c r="M949" i="1"/>
  <c r="L902" i="1"/>
  <c r="K902" i="1"/>
  <c r="N902" i="1"/>
  <c r="M902" i="1"/>
  <c r="K276" i="1"/>
  <c r="L276" i="1"/>
  <c r="N276" i="1"/>
  <c r="M276" i="1"/>
  <c r="L430" i="1"/>
  <c r="K430" i="1"/>
  <c r="M430" i="1"/>
  <c r="N430" i="1"/>
  <c r="M494" i="1"/>
  <c r="N494" i="1"/>
  <c r="L494" i="1"/>
  <c r="O494" i="1" s="1"/>
  <c r="K494" i="1"/>
  <c r="L790" i="1"/>
  <c r="K790" i="1"/>
  <c r="M790" i="1"/>
  <c r="N790" i="1"/>
  <c r="L513" i="1"/>
  <c r="K513" i="1"/>
  <c r="N513" i="1"/>
  <c r="M513" i="1"/>
  <c r="L956" i="1"/>
  <c r="K956" i="1"/>
  <c r="M956" i="1"/>
  <c r="N956" i="1"/>
  <c r="K678" i="1"/>
  <c r="L678" i="1"/>
  <c r="M678" i="1"/>
  <c r="N678" i="1"/>
  <c r="K417" i="1"/>
  <c r="L417" i="1"/>
  <c r="M417" i="1"/>
  <c r="N417" i="1"/>
  <c r="L726" i="1"/>
  <c r="K726" i="1"/>
  <c r="M726" i="1"/>
  <c r="N726" i="1"/>
  <c r="L407" i="1"/>
  <c r="K407" i="1"/>
  <c r="N407" i="1"/>
  <c r="M407" i="1"/>
  <c r="K426" i="1"/>
  <c r="L426" i="1"/>
  <c r="M426" i="1"/>
  <c r="N426" i="1"/>
  <c r="N717" i="1"/>
  <c r="M717" i="1"/>
  <c r="K717" i="1"/>
  <c r="L717" i="1"/>
  <c r="N1108" i="1"/>
  <c r="M1108" i="1"/>
  <c r="L1108" i="1"/>
  <c r="O1108" i="1" s="1"/>
  <c r="K1108" i="1"/>
  <c r="K973" i="1"/>
  <c r="L973" i="1"/>
  <c r="M973" i="1"/>
  <c r="N973" i="1"/>
  <c r="L622" i="1"/>
  <c r="K622" i="1"/>
  <c r="M622" i="1"/>
  <c r="N622" i="1"/>
  <c r="N1069" i="1"/>
  <c r="M1069" i="1"/>
  <c r="L1069" i="1"/>
  <c r="K1069" i="1"/>
  <c r="N428" i="1"/>
  <c r="M428" i="1"/>
  <c r="K428" i="1"/>
  <c r="L428" i="1"/>
  <c r="L421" i="1"/>
  <c r="K421" i="1"/>
  <c r="N421" i="1"/>
  <c r="M421" i="1"/>
  <c r="K718" i="1"/>
  <c r="L718" i="1"/>
  <c r="M718" i="1"/>
  <c r="N718" i="1"/>
  <c r="N1020" i="1"/>
  <c r="M1020" i="1"/>
  <c r="L1020" i="1"/>
  <c r="K1020" i="1"/>
  <c r="L1037" i="1"/>
  <c r="K1037" i="1"/>
  <c r="M1037" i="1"/>
  <c r="N1037" i="1"/>
  <c r="K379" i="1"/>
  <c r="L379" i="1"/>
  <c r="M379" i="1"/>
  <c r="N379" i="1"/>
  <c r="M1056" i="1"/>
  <c r="N1056" i="1"/>
  <c r="L1056" i="1"/>
  <c r="O1056" i="1" s="1"/>
  <c r="K1056" i="1"/>
  <c r="L647" i="1"/>
  <c r="K647" i="1"/>
  <c r="N647" i="1"/>
  <c r="M647" i="1"/>
  <c r="K425" i="1"/>
  <c r="L425" i="1"/>
  <c r="N425" i="1"/>
  <c r="M425" i="1"/>
  <c r="N429" i="1"/>
  <c r="M429" i="1"/>
  <c r="L429" i="1"/>
  <c r="K429" i="1"/>
  <c r="N580" i="1"/>
  <c r="M580" i="1"/>
  <c r="L580" i="1"/>
  <c r="O580" i="1" s="1"/>
  <c r="K580" i="1"/>
  <c r="M1128" i="1"/>
  <c r="N1128" i="1"/>
  <c r="L1128" i="1"/>
  <c r="K1128" i="1"/>
  <c r="K908" i="1"/>
  <c r="L908" i="1"/>
  <c r="M908" i="1"/>
  <c r="N908" i="1"/>
  <c r="N341" i="1"/>
  <c r="M341" i="1"/>
  <c r="K341" i="1"/>
  <c r="L341" i="1"/>
  <c r="N586" i="1"/>
  <c r="M586" i="1"/>
  <c r="L586" i="1"/>
  <c r="O586" i="1" s="1"/>
  <c r="K586" i="1"/>
  <c r="K773" i="1"/>
  <c r="L773" i="1"/>
  <c r="M773" i="1"/>
  <c r="N773" i="1"/>
  <c r="K710" i="1"/>
  <c r="L710" i="1"/>
  <c r="M710" i="1"/>
  <c r="N710" i="1"/>
  <c r="N879" i="1"/>
  <c r="M879" i="1"/>
  <c r="L879" i="1"/>
  <c r="K879" i="1"/>
  <c r="L1137" i="1"/>
  <c r="K1137" i="1"/>
  <c r="M1137" i="1"/>
  <c r="N1137" i="1"/>
  <c r="L1042" i="1"/>
  <c r="K1042" i="1"/>
  <c r="M1042" i="1"/>
  <c r="N1042" i="1"/>
  <c r="K842" i="1"/>
  <c r="L842" i="1"/>
  <c r="N842" i="1"/>
  <c r="M842" i="1"/>
  <c r="L1049" i="1"/>
  <c r="K1049" i="1"/>
  <c r="M1049" i="1"/>
  <c r="N1049" i="1"/>
  <c r="L994" i="1"/>
  <c r="K994" i="1"/>
  <c r="M994" i="1"/>
  <c r="N994" i="1"/>
  <c r="K968" i="1"/>
  <c r="L968" i="1"/>
  <c r="M968" i="1"/>
  <c r="N968" i="1"/>
  <c r="M905" i="1"/>
  <c r="N905" i="1"/>
  <c r="L905" i="1"/>
  <c r="O905" i="1" s="1"/>
  <c r="K905" i="1"/>
  <c r="L880" i="1"/>
  <c r="K880" i="1"/>
  <c r="M880" i="1"/>
  <c r="N880" i="1"/>
  <c r="L1066" i="1"/>
  <c r="K1066" i="1"/>
  <c r="M1066" i="1"/>
  <c r="N1066" i="1"/>
  <c r="N1074" i="1"/>
  <c r="M1074" i="1"/>
  <c r="L1074" i="1"/>
  <c r="K1074" i="1"/>
  <c r="N771" i="1"/>
  <c r="M771" i="1"/>
  <c r="L771" i="1"/>
  <c r="O771" i="1" s="1"/>
  <c r="K771" i="1"/>
  <c r="K498" i="1"/>
  <c r="L498" i="1"/>
  <c r="M498" i="1"/>
  <c r="N498" i="1"/>
  <c r="N542" i="1"/>
  <c r="M542" i="1"/>
  <c r="K542" i="1"/>
  <c r="L542" i="1"/>
  <c r="K488" i="1"/>
  <c r="L488" i="1"/>
  <c r="N488" i="1"/>
  <c r="M488" i="1"/>
  <c r="M549" i="1"/>
  <c r="N549" i="1"/>
  <c r="L549" i="1"/>
  <c r="K549" i="1"/>
  <c r="K772" i="1"/>
  <c r="L772" i="1"/>
  <c r="M772" i="1"/>
  <c r="N772" i="1"/>
  <c r="M479" i="1"/>
  <c r="N479" i="1"/>
  <c r="K479" i="1"/>
  <c r="L479" i="1"/>
  <c r="O479" i="1" s="1"/>
  <c r="L424" i="1"/>
  <c r="K424" i="1"/>
  <c r="M424" i="1"/>
  <c r="N424" i="1"/>
  <c r="K435" i="1"/>
  <c r="L435" i="1"/>
  <c r="M435" i="1"/>
  <c r="N435" i="1"/>
  <c r="N274" i="1"/>
  <c r="M274" i="1"/>
  <c r="K274" i="1"/>
  <c r="L274" i="1"/>
  <c r="N786" i="1"/>
  <c r="M786" i="1"/>
  <c r="L786" i="1"/>
  <c r="O786" i="1" s="1"/>
  <c r="K786" i="1"/>
  <c r="K921" i="1"/>
  <c r="L921" i="1"/>
  <c r="M921" i="1"/>
  <c r="N921" i="1"/>
  <c r="L281" i="1"/>
  <c r="K281" i="1"/>
  <c r="N281" i="1"/>
  <c r="M281" i="1"/>
  <c r="N365" i="1"/>
  <c r="M365" i="1"/>
  <c r="K365" i="1"/>
  <c r="L365" i="1"/>
  <c r="N787" i="1"/>
  <c r="M787" i="1"/>
  <c r="L787" i="1"/>
  <c r="O787" i="1" s="1"/>
  <c r="K787" i="1"/>
  <c r="N431" i="1"/>
  <c r="M431" i="1"/>
  <c r="K431" i="1"/>
  <c r="L431" i="1"/>
  <c r="M689" i="1"/>
  <c r="N689" i="1"/>
  <c r="L689" i="1"/>
  <c r="O689" i="1" s="1"/>
  <c r="K689" i="1"/>
  <c r="L817" i="1"/>
  <c r="K817" i="1"/>
  <c r="N817" i="1"/>
  <c r="M817" i="1"/>
  <c r="N350" i="1"/>
  <c r="M350" i="1"/>
  <c r="K350" i="1"/>
  <c r="L350" i="1"/>
  <c r="K466" i="1"/>
  <c r="L466" i="1"/>
  <c r="M466" i="1"/>
  <c r="N466" i="1"/>
  <c r="K299" i="1"/>
  <c r="L299" i="1"/>
  <c r="N299" i="1"/>
  <c r="M299" i="1"/>
  <c r="L470" i="1"/>
  <c r="K470" i="1"/>
  <c r="N470" i="1"/>
  <c r="M470" i="1"/>
  <c r="M839" i="1"/>
  <c r="N839" i="1"/>
  <c r="K839" i="1"/>
  <c r="L839" i="1"/>
  <c r="O839" i="1" s="1"/>
  <c r="N736" i="1"/>
  <c r="M736" i="1"/>
  <c r="L736" i="1"/>
  <c r="K736" i="1"/>
  <c r="L1085" i="1"/>
  <c r="K1085" i="1"/>
  <c r="M1085" i="1"/>
  <c r="N1085" i="1"/>
  <c r="L408" i="1"/>
  <c r="K408" i="1"/>
  <c r="M408" i="1"/>
  <c r="N408" i="1"/>
  <c r="K592" i="1"/>
  <c r="L592" i="1"/>
  <c r="M592" i="1"/>
  <c r="N592" i="1"/>
  <c r="N650" i="1"/>
  <c r="M650" i="1"/>
  <c r="K650" i="1"/>
  <c r="L650" i="1"/>
  <c r="L467" i="1"/>
  <c r="K467" i="1"/>
  <c r="M467" i="1"/>
  <c r="N467" i="1"/>
  <c r="K554" i="1"/>
  <c r="L554" i="1"/>
  <c r="N554" i="1"/>
  <c r="M554" i="1"/>
  <c r="M624" i="1"/>
  <c r="N624" i="1"/>
  <c r="L624" i="1"/>
  <c r="O624" i="1" s="1"/>
  <c r="K624" i="1"/>
  <c r="N816" i="1"/>
  <c r="M816" i="1"/>
  <c r="L816" i="1"/>
  <c r="K816" i="1"/>
  <c r="K852" i="1"/>
  <c r="L852" i="1"/>
  <c r="M852" i="1"/>
  <c r="N852" i="1"/>
  <c r="N447" i="1"/>
  <c r="M447" i="1"/>
  <c r="K447" i="1"/>
  <c r="L447" i="1"/>
  <c r="M653" i="1"/>
  <c r="N653" i="1"/>
  <c r="K653" i="1"/>
  <c r="L653" i="1"/>
  <c r="O653" i="1" s="1"/>
  <c r="M783" i="1"/>
  <c r="N783" i="1"/>
  <c r="L783" i="1"/>
  <c r="K783" i="1"/>
  <c r="M863" i="1"/>
  <c r="N863" i="1"/>
  <c r="L863" i="1"/>
  <c r="O863" i="1" s="1"/>
  <c r="K863" i="1"/>
  <c r="M306" i="1"/>
  <c r="N306" i="1"/>
  <c r="L306" i="1"/>
  <c r="K306" i="1"/>
  <c r="N739" i="1"/>
  <c r="M739" i="1"/>
  <c r="L739" i="1"/>
  <c r="O739" i="1" s="1"/>
  <c r="K739" i="1"/>
  <c r="M1046" i="1"/>
  <c r="N1046" i="1"/>
  <c r="L1046" i="1"/>
  <c r="K1046" i="1"/>
  <c r="N882" i="1"/>
  <c r="M882" i="1"/>
  <c r="L882" i="1"/>
  <c r="O882" i="1" s="1"/>
  <c r="K882" i="1"/>
  <c r="N581" i="1"/>
  <c r="M581" i="1"/>
  <c r="K581" i="1"/>
  <c r="L581" i="1"/>
  <c r="M1035" i="1"/>
  <c r="N1035" i="1"/>
  <c r="K1035" i="1"/>
  <c r="L1035" i="1"/>
  <c r="O1035" i="1" s="1"/>
  <c r="M1083" i="1"/>
  <c r="N1083" i="1"/>
  <c r="K1083" i="1"/>
  <c r="L1083" i="1"/>
  <c r="N759" i="1"/>
  <c r="M759" i="1"/>
  <c r="L759" i="1"/>
  <c r="O759" i="1" s="1"/>
  <c r="K759" i="1"/>
  <c r="M966" i="1"/>
  <c r="N966" i="1"/>
  <c r="K966" i="1"/>
  <c r="L966" i="1"/>
  <c r="L865" i="1"/>
  <c r="K865" i="1"/>
  <c r="M865" i="1"/>
  <c r="N865" i="1"/>
  <c r="M969" i="1"/>
  <c r="N969" i="1"/>
  <c r="L969" i="1"/>
  <c r="K969" i="1"/>
  <c r="K796" i="1"/>
  <c r="L796" i="1"/>
  <c r="M796" i="1"/>
  <c r="N796" i="1"/>
  <c r="N748" i="1"/>
  <c r="M748" i="1"/>
  <c r="L748" i="1"/>
  <c r="K748" i="1"/>
  <c r="N1054" i="1"/>
  <c r="M1054" i="1"/>
  <c r="L1054" i="1"/>
  <c r="O1054" i="1" s="1"/>
  <c r="K1054" i="1"/>
  <c r="N830" i="1"/>
  <c r="M830" i="1"/>
  <c r="L830" i="1"/>
  <c r="K830" i="1"/>
  <c r="N819" i="1"/>
  <c r="M819" i="1"/>
  <c r="L819" i="1"/>
  <c r="O819" i="1" s="1"/>
  <c r="K819" i="1"/>
  <c r="M1079" i="1"/>
  <c r="N1079" i="1"/>
  <c r="K1079" i="1"/>
  <c r="L1079" i="1"/>
  <c r="K1081" i="1"/>
  <c r="L1081" i="1"/>
  <c r="M1081" i="1"/>
  <c r="N1081" i="1"/>
  <c r="L745" i="1"/>
  <c r="K745" i="1"/>
  <c r="N745" i="1"/>
  <c r="M745" i="1"/>
  <c r="N795" i="1"/>
  <c r="M795" i="1"/>
  <c r="L795" i="1"/>
  <c r="O795" i="1" s="1"/>
  <c r="K795" i="1"/>
  <c r="L648" i="1"/>
  <c r="K648" i="1"/>
  <c r="M648" i="1"/>
  <c r="N648" i="1"/>
  <c r="N873" i="1"/>
  <c r="M873" i="1"/>
  <c r="L873" i="1"/>
  <c r="O873" i="1" s="1"/>
  <c r="K873" i="1"/>
  <c r="L713" i="1"/>
  <c r="K713" i="1"/>
  <c r="N713" i="1"/>
  <c r="M713" i="1"/>
  <c r="M933" i="1"/>
  <c r="N933" i="1"/>
  <c r="L933" i="1"/>
  <c r="O933" i="1" s="1"/>
  <c r="K933" i="1"/>
  <c r="K471" i="1"/>
  <c r="L471" i="1"/>
  <c r="N471" i="1"/>
  <c r="M471" i="1"/>
  <c r="L853" i="1"/>
  <c r="K853" i="1"/>
  <c r="N853" i="1"/>
  <c r="M853" i="1"/>
  <c r="L556" i="1"/>
  <c r="K556" i="1"/>
  <c r="N556" i="1"/>
  <c r="M556" i="1"/>
  <c r="N448" i="1"/>
  <c r="M448" i="1"/>
  <c r="K448" i="1"/>
  <c r="L448" i="1"/>
  <c r="K398" i="1"/>
  <c r="L398" i="1"/>
  <c r="M398" i="1"/>
  <c r="N398" i="1"/>
  <c r="M577" i="1"/>
  <c r="N577" i="1"/>
  <c r="K577" i="1"/>
  <c r="L577" i="1"/>
  <c r="O577" i="1" s="1"/>
  <c r="L444" i="1"/>
  <c r="K444" i="1"/>
  <c r="M444" i="1"/>
  <c r="N444" i="1"/>
  <c r="M404" i="1"/>
  <c r="N404" i="1"/>
  <c r="L404" i="1"/>
  <c r="O404" i="1" s="1"/>
  <c r="K404" i="1"/>
  <c r="M725" i="1"/>
  <c r="N725" i="1"/>
  <c r="L725" i="1"/>
  <c r="K725" i="1"/>
  <c r="K874" i="1"/>
  <c r="L874" i="1"/>
  <c r="N874" i="1"/>
  <c r="M874" i="1"/>
  <c r="K412" i="1"/>
  <c r="L412" i="1"/>
  <c r="M412" i="1"/>
  <c r="N412" i="1"/>
  <c r="N1008" i="1"/>
  <c r="M1008" i="1"/>
  <c r="L1008" i="1"/>
  <c r="O1008" i="1" s="1"/>
  <c r="K1008" i="1"/>
  <c r="L982" i="1"/>
  <c r="K982" i="1"/>
  <c r="M982" i="1"/>
  <c r="N982" i="1"/>
  <c r="M377" i="1"/>
  <c r="N377" i="1"/>
  <c r="L377" i="1"/>
  <c r="O377" i="1" s="1"/>
  <c r="K377" i="1"/>
  <c r="L974" i="1"/>
  <c r="K974" i="1"/>
  <c r="M974" i="1"/>
  <c r="N974" i="1"/>
  <c r="M485" i="1"/>
  <c r="N485" i="1"/>
  <c r="K485" i="1"/>
  <c r="L485" i="1"/>
  <c r="O485" i="1" s="1"/>
  <c r="M510" i="1"/>
  <c r="N510" i="1"/>
  <c r="K510" i="1"/>
  <c r="L510" i="1"/>
  <c r="M749" i="1"/>
  <c r="N749" i="1"/>
  <c r="L749" i="1"/>
  <c r="O749" i="1" s="1"/>
  <c r="K749" i="1"/>
  <c r="M1140" i="1"/>
  <c r="N1140" i="1"/>
  <c r="L1140" i="1"/>
  <c r="K1140" i="1"/>
  <c r="K656" i="1"/>
  <c r="L656" i="1"/>
  <c r="M656" i="1"/>
  <c r="N656" i="1"/>
  <c r="K757" i="1"/>
  <c r="L757" i="1"/>
  <c r="M757" i="1"/>
  <c r="N757" i="1"/>
  <c r="K1026" i="1"/>
  <c r="L1026" i="1"/>
  <c r="M1026" i="1"/>
  <c r="N1026" i="1"/>
  <c r="N456" i="1"/>
  <c r="M456" i="1"/>
  <c r="K456" i="1"/>
  <c r="L456" i="1"/>
  <c r="L490" i="1"/>
  <c r="K490" i="1"/>
  <c r="N490" i="1"/>
  <c r="M490" i="1"/>
  <c r="K782" i="1"/>
  <c r="L782" i="1"/>
  <c r="M782" i="1"/>
  <c r="N782" i="1"/>
  <c r="M1052" i="1"/>
  <c r="N1052" i="1"/>
  <c r="L1052" i="1"/>
  <c r="O1052" i="1" s="1"/>
  <c r="K1052" i="1"/>
  <c r="M1121" i="1"/>
  <c r="N1121" i="1"/>
  <c r="K1121" i="1"/>
  <c r="L1121" i="1"/>
  <c r="N478" i="1"/>
  <c r="M478" i="1"/>
  <c r="K478" i="1"/>
  <c r="L478" i="1"/>
  <c r="N1088" i="1"/>
  <c r="M1088" i="1"/>
  <c r="L1088" i="1"/>
  <c r="K1088" i="1"/>
  <c r="M1062" i="1"/>
  <c r="N1062" i="1"/>
  <c r="K1062" i="1"/>
  <c r="L1062" i="1"/>
  <c r="O1062" i="1" s="1"/>
  <c r="K701" i="1"/>
  <c r="L701" i="1"/>
  <c r="M701" i="1"/>
  <c r="N701" i="1"/>
  <c r="N437" i="1"/>
  <c r="M437" i="1"/>
  <c r="L437" i="1"/>
  <c r="O437" i="1" s="1"/>
  <c r="K437" i="1"/>
  <c r="L555" i="1"/>
  <c r="K555" i="1"/>
  <c r="N555" i="1"/>
  <c r="M555" i="1"/>
  <c r="L750" i="1"/>
  <c r="K750" i="1"/>
  <c r="M750" i="1"/>
  <c r="N750" i="1"/>
  <c r="K1033" i="1"/>
  <c r="L1033" i="1"/>
  <c r="M1033" i="1"/>
  <c r="N1033" i="1"/>
  <c r="N335" i="1"/>
  <c r="M335" i="1"/>
  <c r="K335" i="1"/>
  <c r="L335" i="1"/>
  <c r="L597" i="1"/>
  <c r="K597" i="1"/>
  <c r="M597" i="1"/>
  <c r="N597" i="1"/>
  <c r="L805" i="1"/>
  <c r="K805" i="1"/>
  <c r="M805" i="1"/>
  <c r="N805" i="1"/>
  <c r="K774" i="1"/>
  <c r="L774" i="1"/>
  <c r="M774" i="1"/>
  <c r="N774" i="1"/>
  <c r="K1090" i="1"/>
  <c r="L1090" i="1"/>
  <c r="M1090" i="1"/>
  <c r="N1090" i="1"/>
  <c r="M891" i="1"/>
  <c r="N891" i="1"/>
  <c r="L891" i="1"/>
  <c r="K891" i="1"/>
  <c r="L1005" i="1"/>
  <c r="K1005" i="1"/>
  <c r="M1005" i="1"/>
  <c r="N1005" i="1"/>
  <c r="M975" i="1"/>
  <c r="N975" i="1"/>
  <c r="K975" i="1"/>
  <c r="L975" i="1"/>
  <c r="L846" i="1"/>
  <c r="K846" i="1"/>
  <c r="N846" i="1"/>
  <c r="M846" i="1"/>
  <c r="M762" i="1"/>
  <c r="N762" i="1"/>
  <c r="K762" i="1"/>
  <c r="L762" i="1"/>
  <c r="K1030" i="1"/>
  <c r="L1030" i="1"/>
  <c r="N1030" i="1"/>
  <c r="M1030" i="1"/>
  <c r="M847" i="1"/>
  <c r="N847" i="1"/>
  <c r="L847" i="1"/>
  <c r="K847" i="1"/>
  <c r="K954" i="1"/>
  <c r="L954" i="1"/>
  <c r="N954" i="1"/>
  <c r="M954" i="1"/>
  <c r="M1125" i="1"/>
  <c r="N1125" i="1"/>
  <c r="K1125" i="1"/>
  <c r="L1125" i="1"/>
  <c r="K1129" i="1"/>
  <c r="L1129" i="1"/>
  <c r="M1129" i="1"/>
  <c r="N1129" i="1"/>
  <c r="M615" i="1"/>
  <c r="N615" i="1"/>
  <c r="K615" i="1"/>
  <c r="L615" i="1"/>
  <c r="L516" i="1"/>
  <c r="K516" i="1"/>
  <c r="M516" i="1"/>
  <c r="N516" i="1"/>
  <c r="M547" i="1"/>
  <c r="N547" i="1"/>
  <c r="L547" i="1"/>
  <c r="K547" i="1"/>
  <c r="M953" i="1"/>
  <c r="N953" i="1"/>
  <c r="L953" i="1"/>
  <c r="O953" i="1" s="1"/>
  <c r="K953" i="1"/>
  <c r="K303" i="1"/>
  <c r="L303" i="1"/>
  <c r="M303" i="1"/>
  <c r="N303" i="1"/>
  <c r="N831" i="1"/>
  <c r="M831" i="1"/>
  <c r="L831" i="1"/>
  <c r="O831" i="1" s="1"/>
  <c r="K831" i="1"/>
  <c r="K454" i="1"/>
  <c r="L454" i="1"/>
  <c r="M454" i="1"/>
  <c r="N454" i="1"/>
  <c r="K558" i="1"/>
  <c r="L558" i="1"/>
  <c r="N558" i="1"/>
  <c r="M558" i="1"/>
  <c r="K822" i="1"/>
  <c r="L822" i="1"/>
  <c r="M822" i="1"/>
  <c r="N822" i="1"/>
  <c r="M434" i="1"/>
  <c r="N434" i="1"/>
  <c r="K434" i="1"/>
  <c r="L434" i="1"/>
  <c r="O434" i="1" s="1"/>
  <c r="M776" i="1"/>
  <c r="N776" i="1"/>
  <c r="L776" i="1"/>
  <c r="K776" i="1"/>
  <c r="M930" i="1"/>
  <c r="N930" i="1"/>
  <c r="L930" i="1"/>
  <c r="O930" i="1" s="1"/>
  <c r="K930" i="1"/>
  <c r="N477" i="1"/>
  <c r="M477" i="1"/>
  <c r="L477" i="1"/>
  <c r="K477" i="1"/>
  <c r="N511" i="1"/>
  <c r="M511" i="1"/>
  <c r="K511" i="1"/>
  <c r="L511" i="1"/>
  <c r="N1009" i="1"/>
  <c r="M1009" i="1"/>
  <c r="K1009" i="1"/>
  <c r="L1009" i="1"/>
  <c r="N509" i="1"/>
  <c r="M509" i="1"/>
  <c r="L509" i="1"/>
  <c r="O509" i="1" s="1"/>
  <c r="K509" i="1"/>
  <c r="L332" i="1"/>
  <c r="K332" i="1"/>
  <c r="M332" i="1"/>
  <c r="N332" i="1"/>
  <c r="L413" i="1"/>
  <c r="K413" i="1"/>
  <c r="M413" i="1"/>
  <c r="N413" i="1"/>
  <c r="L468" i="1"/>
  <c r="K468" i="1"/>
  <c r="M468" i="1"/>
  <c r="N468" i="1"/>
  <c r="N473" i="1"/>
  <c r="M473" i="1"/>
  <c r="K473" i="1"/>
  <c r="L473" i="1"/>
  <c r="N696" i="1"/>
  <c r="M696" i="1"/>
  <c r="L696" i="1"/>
  <c r="K696" i="1"/>
  <c r="N570" i="1"/>
  <c r="M570" i="1"/>
  <c r="K570" i="1"/>
  <c r="L570" i="1"/>
  <c r="L544" i="1"/>
  <c r="K544" i="1"/>
  <c r="M544" i="1"/>
  <c r="N544" i="1"/>
  <c r="N635" i="1"/>
  <c r="M635" i="1"/>
  <c r="L635" i="1"/>
  <c r="O635" i="1" s="1"/>
  <c r="K635" i="1"/>
  <c r="M675" i="1"/>
  <c r="N675" i="1"/>
  <c r="L675" i="1"/>
  <c r="K675" i="1"/>
  <c r="L367" i="1"/>
  <c r="K367" i="1"/>
  <c r="M367" i="1"/>
  <c r="N367" i="1"/>
  <c r="M686" i="1"/>
  <c r="N686" i="1"/>
  <c r="L686" i="1"/>
  <c r="K686" i="1"/>
  <c r="N751" i="1"/>
  <c r="M751" i="1"/>
  <c r="L751" i="1"/>
  <c r="O751" i="1" s="1"/>
  <c r="K751" i="1"/>
  <c r="M934" i="1"/>
  <c r="N934" i="1"/>
  <c r="L934" i="1"/>
  <c r="K934" i="1"/>
  <c r="N574" i="1"/>
  <c r="M574" i="1"/>
  <c r="K574" i="1"/>
  <c r="L574" i="1"/>
  <c r="N720" i="1"/>
  <c r="M720" i="1"/>
  <c r="L720" i="1"/>
  <c r="K720" i="1"/>
  <c r="L531" i="1"/>
  <c r="K531" i="1"/>
  <c r="N531" i="1"/>
  <c r="M531" i="1"/>
  <c r="L1086" i="1"/>
  <c r="K1086" i="1"/>
  <c r="M1086" i="1"/>
  <c r="N1086" i="1"/>
  <c r="K616" i="1"/>
  <c r="L616" i="1"/>
  <c r="M616" i="1"/>
  <c r="N616" i="1"/>
  <c r="N582" i="1"/>
  <c r="M582" i="1"/>
  <c r="K582" i="1"/>
  <c r="L582" i="1"/>
  <c r="L599" i="1"/>
  <c r="K599" i="1"/>
  <c r="M599" i="1"/>
  <c r="N599" i="1"/>
  <c r="N669" i="1"/>
  <c r="M669" i="1"/>
  <c r="K669" i="1"/>
  <c r="L669" i="1"/>
  <c r="K392" i="1"/>
  <c r="L392" i="1"/>
  <c r="M392" i="1"/>
  <c r="N392" i="1"/>
  <c r="M792" i="1"/>
  <c r="N792" i="1"/>
  <c r="L792" i="1"/>
  <c r="K792" i="1"/>
  <c r="M1011" i="1"/>
  <c r="N1011" i="1"/>
  <c r="K1011" i="1"/>
  <c r="L1011" i="1"/>
  <c r="O1011" i="1" s="1"/>
  <c r="M1111" i="1"/>
  <c r="N1111" i="1"/>
  <c r="K1111" i="1"/>
  <c r="L1111" i="1"/>
  <c r="K856" i="1"/>
  <c r="L856" i="1"/>
  <c r="M856" i="1"/>
  <c r="N856" i="1"/>
  <c r="L740" i="1"/>
  <c r="K740" i="1"/>
  <c r="M740" i="1"/>
  <c r="N740" i="1"/>
  <c r="L888" i="1"/>
  <c r="K888" i="1"/>
  <c r="M888" i="1"/>
  <c r="N888" i="1"/>
  <c r="N901" i="1"/>
  <c r="M901" i="1"/>
  <c r="L901" i="1"/>
  <c r="K901" i="1"/>
  <c r="M1122" i="1"/>
  <c r="N1122" i="1"/>
  <c r="K1122" i="1"/>
  <c r="L1122" i="1"/>
  <c r="O1122" i="1" s="1"/>
  <c r="M1003" i="1"/>
  <c r="N1003" i="1"/>
  <c r="K1003" i="1"/>
  <c r="L1003" i="1"/>
  <c r="N715" i="1"/>
  <c r="M715" i="1"/>
  <c r="L715" i="1"/>
  <c r="O715" i="1" s="1"/>
  <c r="K715" i="1"/>
  <c r="N871" i="1"/>
  <c r="M871" i="1"/>
  <c r="L871" i="1"/>
  <c r="K871" i="1"/>
  <c r="L885" i="1"/>
  <c r="K885" i="1"/>
  <c r="N885" i="1"/>
  <c r="M885" i="1"/>
  <c r="N862" i="1"/>
  <c r="M862" i="1"/>
  <c r="L862" i="1"/>
  <c r="K862" i="1"/>
  <c r="N1098" i="1"/>
  <c r="M1098" i="1"/>
  <c r="L1098" i="1"/>
  <c r="O1098" i="1" s="1"/>
  <c r="K1098" i="1"/>
  <c r="M1059" i="1"/>
  <c r="N1059" i="1"/>
  <c r="K1059" i="1"/>
  <c r="L1059" i="1"/>
  <c r="N627" i="1"/>
  <c r="M627" i="1"/>
  <c r="K627" i="1"/>
  <c r="L627" i="1"/>
  <c r="K515" i="1"/>
  <c r="L515" i="1"/>
  <c r="N515" i="1"/>
  <c r="M515" i="1"/>
  <c r="N671" i="1"/>
  <c r="M671" i="1"/>
  <c r="L671" i="1"/>
  <c r="O671" i="1" s="1"/>
  <c r="K671" i="1"/>
  <c r="N1051" i="1"/>
  <c r="M1051" i="1"/>
  <c r="K1051" i="1"/>
  <c r="L1051" i="1"/>
  <c r="M899" i="1"/>
  <c r="N899" i="1"/>
  <c r="L899" i="1"/>
  <c r="O899" i="1" s="1"/>
  <c r="K899" i="1"/>
  <c r="M841" i="1"/>
  <c r="N841" i="1"/>
  <c r="L841" i="1"/>
  <c r="K841" i="1"/>
  <c r="M636" i="1"/>
  <c r="N636" i="1"/>
  <c r="L636" i="1"/>
  <c r="O636" i="1" s="1"/>
  <c r="K636" i="1"/>
  <c r="L801" i="1"/>
  <c r="K801" i="1"/>
  <c r="N801" i="1"/>
  <c r="M801" i="1"/>
  <c r="N264" i="1"/>
  <c r="M264" i="1"/>
  <c r="L264" i="1"/>
  <c r="O264" i="1" s="1"/>
  <c r="K264" i="1"/>
  <c r="N851" i="1"/>
  <c r="M851" i="1"/>
  <c r="L851" i="1"/>
  <c r="K851" i="1"/>
  <c r="M452" i="1"/>
  <c r="N452" i="1"/>
  <c r="L452" i="1"/>
  <c r="O452" i="1" s="1"/>
  <c r="K452" i="1"/>
  <c r="N628" i="1"/>
  <c r="M628" i="1"/>
  <c r="L628" i="1"/>
  <c r="K628" i="1"/>
  <c r="K361" i="1"/>
  <c r="L361" i="1"/>
  <c r="M361" i="1"/>
  <c r="N361" i="1"/>
  <c r="M499" i="1"/>
  <c r="N499" i="1"/>
  <c r="K499" i="1"/>
  <c r="L499" i="1"/>
  <c r="N420" i="1"/>
  <c r="M420" i="1"/>
  <c r="L420" i="1"/>
  <c r="O420" i="1" s="1"/>
  <c r="K420" i="1"/>
  <c r="K329" i="1"/>
  <c r="L329" i="1"/>
  <c r="N329" i="1"/>
  <c r="M329" i="1"/>
  <c r="L683" i="1"/>
  <c r="K683" i="1"/>
  <c r="N683" i="1"/>
  <c r="M683" i="1"/>
  <c r="M1076" i="1"/>
  <c r="N1076" i="1"/>
  <c r="L1076" i="1"/>
  <c r="K1076" i="1"/>
  <c r="N1112" i="1"/>
  <c r="M1112" i="1"/>
  <c r="L1112" i="1"/>
  <c r="O1112" i="1" s="1"/>
  <c r="K1112" i="1"/>
  <c r="M1101" i="1"/>
  <c r="N1101" i="1"/>
  <c r="K1101" i="1"/>
  <c r="L1101" i="1"/>
  <c r="M967" i="1"/>
  <c r="N967" i="1"/>
  <c r="L967" i="1"/>
  <c r="O967" i="1" s="1"/>
  <c r="K967" i="1"/>
  <c r="L275" i="1"/>
  <c r="K275" i="1"/>
  <c r="M275" i="1"/>
  <c r="N275" i="1"/>
  <c r="L742" i="1"/>
  <c r="K742" i="1"/>
  <c r="M742" i="1"/>
  <c r="N742" i="1"/>
  <c r="M324" i="1"/>
  <c r="N324" i="1"/>
  <c r="L324" i="1"/>
  <c r="K324" i="1"/>
  <c r="L625" i="1"/>
  <c r="K625" i="1"/>
  <c r="N625" i="1"/>
  <c r="M625" i="1"/>
  <c r="M1040" i="1"/>
  <c r="N1040" i="1"/>
  <c r="L1040" i="1"/>
  <c r="K1040" i="1"/>
  <c r="L829" i="1"/>
  <c r="K829" i="1"/>
  <c r="N829" i="1"/>
  <c r="M829" i="1"/>
  <c r="K486" i="1"/>
  <c r="L486" i="1"/>
  <c r="N486" i="1"/>
  <c r="M486" i="1"/>
  <c r="N326" i="1"/>
  <c r="M326" i="1"/>
  <c r="L326" i="1"/>
  <c r="K326" i="1"/>
  <c r="M427" i="1"/>
  <c r="N427" i="1"/>
  <c r="K427" i="1"/>
  <c r="L427" i="1"/>
  <c r="M475" i="1"/>
  <c r="N475" i="1"/>
  <c r="K475" i="1"/>
  <c r="L475" i="1"/>
  <c r="O475" i="1" s="1"/>
  <c r="N781" i="1"/>
  <c r="M781" i="1"/>
  <c r="L781" i="1"/>
  <c r="K781" i="1"/>
  <c r="K758" i="1"/>
  <c r="L758" i="1"/>
  <c r="M758" i="1"/>
  <c r="N758" i="1"/>
  <c r="N1050" i="1"/>
  <c r="M1050" i="1"/>
  <c r="L1050" i="1"/>
  <c r="K1050" i="1"/>
  <c r="L300" i="1"/>
  <c r="K300" i="1"/>
  <c r="N300" i="1"/>
  <c r="M300" i="1"/>
  <c r="M308" i="1"/>
  <c r="N308" i="1"/>
  <c r="L308" i="1"/>
  <c r="K308" i="1"/>
  <c r="N472" i="1"/>
  <c r="M472" i="1"/>
  <c r="L472" i="1"/>
  <c r="K472" i="1"/>
  <c r="K559" i="1"/>
  <c r="L559" i="1"/>
  <c r="M559" i="1"/>
  <c r="N559" i="1"/>
  <c r="N738" i="1"/>
  <c r="M738" i="1"/>
  <c r="K738" i="1"/>
  <c r="L738" i="1"/>
  <c r="N1084" i="1"/>
  <c r="M1084" i="1"/>
  <c r="L1084" i="1"/>
  <c r="K1084" i="1"/>
  <c r="L970" i="1"/>
  <c r="K970" i="1"/>
  <c r="M970" i="1"/>
  <c r="N970" i="1"/>
  <c r="M492" i="1"/>
  <c r="N492" i="1"/>
  <c r="L492" i="1"/>
  <c r="K492" i="1"/>
  <c r="M1120" i="1"/>
  <c r="N1120" i="1"/>
  <c r="L1120" i="1"/>
  <c r="O1120" i="1" s="1"/>
  <c r="K1120" i="1"/>
  <c r="K936" i="1"/>
  <c r="L936" i="1"/>
  <c r="M936" i="1"/>
  <c r="N936" i="1"/>
  <c r="K924" i="1"/>
  <c r="L924" i="1"/>
  <c r="M924" i="1"/>
  <c r="N924" i="1"/>
  <c r="L497" i="1"/>
  <c r="K497" i="1"/>
  <c r="N497" i="1"/>
  <c r="M497" i="1"/>
  <c r="N512" i="1"/>
  <c r="M512" i="1"/>
  <c r="L512" i="1"/>
  <c r="K512" i="1"/>
  <c r="K814" i="1"/>
  <c r="L814" i="1"/>
  <c r="M814" i="1"/>
  <c r="N814" i="1"/>
  <c r="M1116" i="1"/>
  <c r="N1116" i="1"/>
  <c r="L1116" i="1"/>
  <c r="O1116" i="1" s="1"/>
  <c r="K1116" i="1"/>
  <c r="M362" i="1"/>
  <c r="N362" i="1"/>
  <c r="L362" i="1"/>
  <c r="K362" i="1"/>
  <c r="L609" i="1"/>
  <c r="K609" i="1"/>
  <c r="N609" i="1"/>
  <c r="M609" i="1"/>
  <c r="N1004" i="1"/>
  <c r="M1004" i="1"/>
  <c r="L1004" i="1"/>
  <c r="K1004" i="1"/>
  <c r="L892" i="1"/>
  <c r="K892" i="1"/>
  <c r="M892" i="1"/>
  <c r="N892" i="1"/>
  <c r="M1119" i="1"/>
  <c r="N1119" i="1"/>
  <c r="K1119" i="1"/>
  <c r="L1119" i="1"/>
  <c r="L1041" i="1"/>
  <c r="K1041" i="1"/>
  <c r="M1041" i="1"/>
  <c r="N1041" i="1"/>
  <c r="K1126" i="1"/>
  <c r="L1126" i="1"/>
  <c r="M1126" i="1"/>
  <c r="N1126" i="1"/>
  <c r="N959" i="1"/>
  <c r="M959" i="1"/>
  <c r="L959" i="1"/>
  <c r="K959" i="1"/>
  <c r="K910" i="1"/>
  <c r="L910" i="1"/>
  <c r="N910" i="1"/>
  <c r="M910" i="1"/>
  <c r="L1029" i="1"/>
  <c r="K1029" i="1"/>
  <c r="M1029" i="1"/>
  <c r="N1029" i="1"/>
  <c r="M754" i="1"/>
  <c r="N754" i="1"/>
  <c r="L754" i="1"/>
  <c r="K754" i="1"/>
  <c r="K449" i="1"/>
  <c r="L449" i="1"/>
  <c r="N449" i="1"/>
  <c r="M449" i="1"/>
  <c r="L1094" i="1"/>
  <c r="K1094" i="1"/>
  <c r="M1094" i="1"/>
  <c r="N1094" i="1"/>
  <c r="M911" i="1"/>
  <c r="N911" i="1"/>
  <c r="L911" i="1"/>
  <c r="O911" i="1" s="1"/>
  <c r="K911" i="1"/>
  <c r="M353" i="1"/>
  <c r="N353" i="1"/>
  <c r="K353" i="1"/>
  <c r="L353" i="1"/>
  <c r="M854" i="1"/>
  <c r="N854" i="1"/>
  <c r="L854" i="1"/>
  <c r="O854" i="1" s="1"/>
  <c r="K854" i="1"/>
  <c r="N422" i="1"/>
  <c r="M422" i="1"/>
  <c r="L422" i="1"/>
  <c r="K422" i="1"/>
  <c r="L284" i="1"/>
  <c r="K284" i="1"/>
  <c r="M284" i="1"/>
  <c r="N284" i="1"/>
  <c r="L301" i="1"/>
  <c r="K301" i="1"/>
  <c r="N301" i="1"/>
  <c r="M301" i="1"/>
  <c r="M371" i="1"/>
  <c r="N371" i="1"/>
  <c r="K371" i="1"/>
  <c r="L371" i="1"/>
  <c r="O371" i="1" s="1"/>
  <c r="K1065" i="1"/>
  <c r="L1065" i="1"/>
  <c r="M1065" i="1"/>
  <c r="N1065" i="1"/>
  <c r="N514" i="1"/>
  <c r="M514" i="1"/>
  <c r="L514" i="1"/>
  <c r="K514" i="1"/>
  <c r="N707" i="1"/>
  <c r="M707" i="1"/>
  <c r="L707" i="1"/>
  <c r="K707" i="1"/>
  <c r="L896" i="1"/>
  <c r="K896" i="1"/>
  <c r="M896" i="1"/>
  <c r="N896" i="1"/>
  <c r="L278" i="1"/>
  <c r="K278" i="1"/>
  <c r="M278" i="1"/>
  <c r="N278" i="1"/>
  <c r="K505" i="1"/>
  <c r="L505" i="1"/>
  <c r="N505" i="1"/>
  <c r="M505" i="1"/>
  <c r="M1031" i="1"/>
  <c r="N1031" i="1"/>
  <c r="K1031" i="1"/>
  <c r="L1031" i="1"/>
  <c r="M263" i="1"/>
  <c r="N263" i="1"/>
  <c r="K263" i="1"/>
  <c r="L263" i="1"/>
  <c r="O263" i="1" s="1"/>
  <c r="M663" i="1"/>
  <c r="N663" i="1"/>
  <c r="L663" i="1"/>
  <c r="K663" i="1"/>
  <c r="M1095" i="1"/>
  <c r="N1095" i="1"/>
  <c r="K1095" i="1"/>
  <c r="L1095" i="1"/>
  <c r="O1095" i="1" s="1"/>
  <c r="L314" i="1"/>
  <c r="K314" i="1"/>
  <c r="M314" i="1"/>
  <c r="N314" i="1"/>
  <c r="N665" i="1"/>
  <c r="M665" i="1"/>
  <c r="L665" i="1"/>
  <c r="K665" i="1"/>
  <c r="M1075" i="1"/>
  <c r="N1075" i="1"/>
  <c r="K1075" i="1"/>
  <c r="L1075" i="1"/>
  <c r="L291" i="1"/>
  <c r="K291" i="1"/>
  <c r="N291" i="1"/>
  <c r="M291" i="1"/>
  <c r="M508" i="1"/>
  <c r="N508" i="1"/>
  <c r="L508" i="1"/>
  <c r="K508" i="1"/>
  <c r="M807" i="1"/>
  <c r="N807" i="1"/>
  <c r="L807" i="1"/>
  <c r="O807" i="1" s="1"/>
  <c r="K807" i="1"/>
  <c r="L348" i="1"/>
  <c r="K348" i="1"/>
  <c r="M348" i="1"/>
  <c r="N348" i="1"/>
  <c r="K272" i="1"/>
  <c r="L272" i="1"/>
  <c r="N272" i="1"/>
  <c r="M272" i="1"/>
  <c r="M1067" i="1"/>
  <c r="N1067" i="1"/>
  <c r="K1067" i="1"/>
  <c r="L1067" i="1"/>
  <c r="L1109" i="1"/>
  <c r="K1109" i="1"/>
  <c r="M1109" i="1"/>
  <c r="N1109" i="1"/>
  <c r="M637" i="1"/>
  <c r="N637" i="1"/>
  <c r="K637" i="1"/>
  <c r="L637" i="1"/>
  <c r="L298" i="1"/>
  <c r="K298" i="1"/>
  <c r="N298" i="1"/>
  <c r="M298" i="1"/>
  <c r="L904" i="1"/>
  <c r="K904" i="1"/>
  <c r="M904" i="1"/>
  <c r="N904" i="1"/>
  <c r="M869" i="1"/>
  <c r="N869" i="1"/>
  <c r="L869" i="1"/>
  <c r="O869" i="1" s="1"/>
  <c r="K869" i="1"/>
  <c r="K345" i="1"/>
  <c r="L345" i="1"/>
  <c r="M345" i="1"/>
  <c r="N345" i="1"/>
  <c r="L568" i="1"/>
  <c r="K568" i="1"/>
  <c r="M568" i="1"/>
  <c r="N568" i="1"/>
  <c r="N679" i="1"/>
  <c r="M679" i="1"/>
  <c r="K679" i="1"/>
  <c r="L679" i="1"/>
  <c r="M926" i="1"/>
  <c r="N926" i="1"/>
  <c r="L926" i="1"/>
  <c r="O926" i="1" s="1"/>
  <c r="K926" i="1"/>
  <c r="M271" i="1"/>
  <c r="N271" i="1"/>
  <c r="K271" i="1"/>
  <c r="L271" i="1"/>
  <c r="M760" i="1"/>
  <c r="N760" i="1"/>
  <c r="L760" i="1"/>
  <c r="O760" i="1" s="1"/>
  <c r="K760" i="1"/>
  <c r="K684" i="1"/>
  <c r="L684" i="1"/>
  <c r="M684" i="1"/>
  <c r="N684" i="1"/>
  <c r="N803" i="1"/>
  <c r="M803" i="1"/>
  <c r="L803" i="1"/>
  <c r="K803" i="1"/>
  <c r="L687" i="1"/>
  <c r="K687" i="1"/>
  <c r="N687" i="1"/>
  <c r="M687" i="1"/>
  <c r="M399" i="1"/>
  <c r="N399" i="1"/>
  <c r="L399" i="1"/>
  <c r="O399" i="1" s="1"/>
  <c r="K399" i="1"/>
  <c r="K632" i="1"/>
  <c r="L632" i="1"/>
  <c r="M632" i="1"/>
  <c r="N632" i="1"/>
  <c r="N752" i="1"/>
  <c r="M752" i="1"/>
  <c r="L752" i="1"/>
  <c r="K752" i="1"/>
  <c r="M727" i="1"/>
  <c r="N727" i="1"/>
  <c r="L727" i="1"/>
  <c r="K727" i="1"/>
  <c r="M938" i="1"/>
  <c r="N938" i="1"/>
  <c r="L938" i="1"/>
  <c r="O938" i="1" s="1"/>
  <c r="K938" i="1"/>
  <c r="N894" i="1"/>
  <c r="M894" i="1"/>
  <c r="L894" i="1"/>
  <c r="K894" i="1"/>
  <c r="L948" i="1"/>
  <c r="K948" i="1"/>
  <c r="M948" i="1"/>
  <c r="N948" i="1"/>
  <c r="N883" i="1"/>
  <c r="M883" i="1"/>
  <c r="L883" i="1"/>
  <c r="K883" i="1"/>
  <c r="K1102" i="1"/>
  <c r="L1102" i="1"/>
  <c r="M1102" i="1"/>
  <c r="N1102" i="1"/>
  <c r="L832" i="1"/>
  <c r="K832" i="1"/>
  <c r="M832" i="1"/>
  <c r="N832" i="1"/>
  <c r="L1134" i="1"/>
  <c r="K1134" i="1"/>
  <c r="N1134" i="1"/>
  <c r="M1134" i="1"/>
  <c r="N744" i="1"/>
  <c r="M744" i="1"/>
  <c r="L744" i="1"/>
  <c r="K744" i="1"/>
  <c r="M972" i="1"/>
  <c r="N972" i="1"/>
  <c r="K972" i="1"/>
  <c r="L972" i="1"/>
  <c r="O972" i="1" s="1"/>
  <c r="M703" i="1"/>
  <c r="N703" i="1"/>
  <c r="L703" i="1"/>
  <c r="K703" i="1"/>
  <c r="K1105" i="1"/>
  <c r="L1105" i="1"/>
  <c r="M1105" i="1"/>
  <c r="N1105" i="1"/>
  <c r="M913" i="1"/>
  <c r="N913" i="1"/>
  <c r="L913" i="1"/>
  <c r="K913" i="1"/>
  <c r="M677" i="1"/>
  <c r="N677" i="1"/>
  <c r="K677" i="1"/>
  <c r="L677" i="1"/>
  <c r="O677" i="1" s="1"/>
  <c r="L695" i="1"/>
  <c r="K695" i="1"/>
  <c r="M695" i="1"/>
  <c r="N695" i="1"/>
  <c r="N837" i="1"/>
  <c r="M837" i="1"/>
  <c r="L837" i="1"/>
  <c r="K837" i="1"/>
  <c r="M634" i="1"/>
  <c r="N634" i="1"/>
  <c r="L634" i="1"/>
  <c r="K634" i="1"/>
  <c r="L674" i="1"/>
  <c r="K674" i="1"/>
  <c r="M674" i="1"/>
  <c r="N674" i="1"/>
  <c r="N612" i="1"/>
  <c r="M612" i="1"/>
  <c r="L612" i="1"/>
  <c r="K612" i="1"/>
  <c r="L729" i="1"/>
  <c r="K729" i="1"/>
  <c r="N729" i="1"/>
  <c r="M729" i="1"/>
  <c r="L761" i="1"/>
  <c r="K761" i="1"/>
  <c r="N761" i="1"/>
  <c r="M761" i="1"/>
  <c r="M825" i="1"/>
  <c r="N825" i="1"/>
  <c r="L825" i="1"/>
  <c r="O825" i="1" s="1"/>
  <c r="K825" i="1"/>
  <c r="K331" i="1"/>
  <c r="L331" i="1"/>
  <c r="N331" i="1"/>
  <c r="M331" i="1"/>
  <c r="M670" i="1"/>
  <c r="N670" i="1"/>
  <c r="K670" i="1"/>
  <c r="L670" i="1"/>
  <c r="O670" i="1" s="1"/>
  <c r="K273" i="1"/>
  <c r="L273" i="1"/>
  <c r="N273" i="1"/>
  <c r="M273" i="1"/>
  <c r="M389" i="1"/>
  <c r="N389" i="1"/>
  <c r="L389" i="1"/>
  <c r="O389" i="1" s="1"/>
  <c r="K389" i="1"/>
  <c r="L387" i="1"/>
  <c r="K387" i="1"/>
  <c r="M387" i="1"/>
  <c r="N387" i="1"/>
  <c r="L354" i="1"/>
  <c r="K354" i="1"/>
  <c r="N354" i="1"/>
  <c r="M354" i="1"/>
  <c r="I10" i="1"/>
  <c r="H10" i="1"/>
  <c r="M12" i="1"/>
  <c r="N12" i="1"/>
  <c r="M11" i="1"/>
  <c r="N11" i="1"/>
  <c r="N14" i="1"/>
  <c r="M14" i="1"/>
  <c r="N13" i="1"/>
  <c r="M13" i="1"/>
  <c r="N15" i="1"/>
  <c r="M15" i="1"/>
  <c r="L12" i="1"/>
  <c r="K12" i="1"/>
  <c r="L15" i="1"/>
  <c r="K15" i="1"/>
  <c r="L11" i="1"/>
  <c r="O11" i="1" s="1"/>
  <c r="K11" i="1"/>
  <c r="L14" i="1"/>
  <c r="K14" i="1"/>
  <c r="L13" i="1"/>
  <c r="K13" i="1"/>
  <c r="M10" i="1" a="1"/>
  <c r="K10" i="1" a="1"/>
  <c r="O549" i="1" l="1"/>
  <c r="O837" i="1"/>
  <c r="O752" i="1"/>
  <c r="O803" i="1"/>
  <c r="O665" i="1"/>
  <c r="O514" i="1"/>
  <c r="O959" i="1"/>
  <c r="O512" i="1"/>
  <c r="O472" i="1"/>
  <c r="O326" i="1"/>
  <c r="O271" i="1"/>
  <c r="O679" i="1"/>
  <c r="O637" i="1"/>
  <c r="O1067" i="1"/>
  <c r="O1075" i="1"/>
  <c r="O1031" i="1"/>
  <c r="O353" i="1"/>
  <c r="O1119" i="1"/>
  <c r="O427" i="1"/>
  <c r="O1101" i="1"/>
  <c r="O499" i="1"/>
  <c r="O1051" i="1"/>
  <c r="O1059" i="1"/>
  <c r="O1003" i="1"/>
  <c r="O1111" i="1"/>
  <c r="O669" i="1"/>
  <c r="O582" i="1"/>
  <c r="O1009" i="1"/>
  <c r="O615" i="1"/>
  <c r="O1125" i="1"/>
  <c r="O762" i="1"/>
  <c r="O975" i="1"/>
  <c r="O1121" i="1"/>
  <c r="O456" i="1"/>
  <c r="O510" i="1"/>
  <c r="O1079" i="1"/>
  <c r="O966" i="1"/>
  <c r="O1083" i="1"/>
  <c r="O581" i="1"/>
  <c r="O447" i="1"/>
  <c r="O650" i="1"/>
  <c r="O431" i="1"/>
  <c r="O365" i="1"/>
  <c r="O274" i="1"/>
  <c r="O341" i="1"/>
  <c r="O717" i="1"/>
  <c r="O337" i="1"/>
  <c r="O855" i="1"/>
  <c r="O976" i="1"/>
  <c r="O995" i="1"/>
  <c r="O267" i="1"/>
  <c r="O639" i="1"/>
  <c r="O598" i="1"/>
  <c r="O1047" i="1"/>
  <c r="O1055" i="1"/>
  <c r="O1087" i="1"/>
  <c r="O1135" i="1"/>
  <c r="O537" i="1"/>
  <c r="O1110" i="1"/>
  <c r="O1099" i="1"/>
  <c r="O1027" i="1"/>
  <c r="O323" i="1"/>
  <c r="O457" i="1"/>
  <c r="O333" i="1"/>
  <c r="O991" i="1"/>
  <c r="O1103" i="1"/>
  <c r="O1039" i="1"/>
  <c r="O589" i="1"/>
  <c r="O1143" i="1"/>
  <c r="O1123" i="1"/>
  <c r="O443" i="1"/>
  <c r="O347" i="1"/>
  <c r="O1015" i="1"/>
  <c r="O540" i="1"/>
  <c r="O545" i="1"/>
  <c r="O1058" i="1"/>
  <c r="O621" i="1"/>
  <c r="O857" i="1"/>
  <c r="O526" i="1"/>
  <c r="O620" i="1"/>
  <c r="O440" i="1"/>
  <c r="O550" i="1"/>
  <c r="O469" i="1"/>
  <c r="O522" i="1"/>
  <c r="O523" i="1"/>
  <c r="O676" i="1"/>
  <c r="O495" i="1"/>
  <c r="O963" i="1"/>
  <c r="O501" i="1"/>
  <c r="O999" i="1"/>
  <c r="O1091" i="1"/>
  <c r="O657" i="1"/>
  <c r="O605" i="1"/>
  <c r="O464" i="1"/>
  <c r="O538" i="1"/>
  <c r="O528" i="1"/>
  <c r="O644" i="1"/>
  <c r="O463" i="1"/>
  <c r="O507" i="1"/>
  <c r="O980" i="1"/>
  <c r="O517" i="1"/>
  <c r="O265" i="1"/>
  <c r="O631" i="1"/>
  <c r="O1133" i="1"/>
  <c r="O480" i="1"/>
  <c r="O612" i="1"/>
  <c r="O634" i="1"/>
  <c r="O913" i="1"/>
  <c r="O703" i="1"/>
  <c r="O744" i="1"/>
  <c r="O883" i="1"/>
  <c r="O894" i="1"/>
  <c r="O727" i="1"/>
  <c r="O508" i="1"/>
  <c r="O663" i="1"/>
  <c r="O707" i="1"/>
  <c r="O422" i="1"/>
  <c r="O754" i="1"/>
  <c r="O1004" i="1"/>
  <c r="O362" i="1"/>
  <c r="O492" i="1"/>
  <c r="O1084" i="1"/>
  <c r="O308" i="1"/>
  <c r="O1050" i="1"/>
  <c r="O781" i="1"/>
  <c r="O1040" i="1"/>
  <c r="O324" i="1"/>
  <c r="O1076" i="1"/>
  <c r="O628" i="1"/>
  <c r="O851" i="1"/>
  <c r="O841" i="1"/>
  <c r="O862" i="1"/>
  <c r="O871" i="1"/>
  <c r="O901" i="1"/>
  <c r="O792" i="1"/>
  <c r="O720" i="1"/>
  <c r="O934" i="1"/>
  <c r="O686" i="1"/>
  <c r="O675" i="1"/>
  <c r="O696" i="1"/>
  <c r="O477" i="1"/>
  <c r="O776" i="1"/>
  <c r="O547" i="1"/>
  <c r="O847" i="1"/>
  <c r="O891" i="1"/>
  <c r="O1088" i="1"/>
  <c r="O1140" i="1"/>
  <c r="O725" i="1"/>
  <c r="O830" i="1"/>
  <c r="O748" i="1"/>
  <c r="O969" i="1"/>
  <c r="O1046" i="1"/>
  <c r="O306" i="1"/>
  <c r="O783" i="1"/>
  <c r="O816" i="1"/>
  <c r="O736" i="1"/>
  <c r="O1074" i="1"/>
  <c r="O879" i="1"/>
  <c r="O1128" i="1"/>
  <c r="O429" i="1"/>
  <c r="O1020" i="1"/>
  <c r="O1069" i="1"/>
  <c r="O909" i="1"/>
  <c r="O266" i="1"/>
  <c r="O541" i="1"/>
  <c r="O915" i="1"/>
  <c r="O386" i="1"/>
  <c r="O886" i="1"/>
  <c r="O698" i="1"/>
  <c r="O850" i="1"/>
  <c r="O794" i="1"/>
  <c r="O685" i="1"/>
  <c r="O779" i="1"/>
  <c r="O414" i="1"/>
  <c r="O368" i="1"/>
  <c r="O1082" i="1"/>
  <c r="O1024" i="1"/>
  <c r="O370" i="1"/>
  <c r="O699" i="1"/>
  <c r="O436" i="1"/>
  <c r="O838" i="1"/>
  <c r="O319" i="1"/>
  <c r="O591" i="1"/>
  <c r="O768" i="1"/>
  <c r="O887" i="1"/>
  <c r="O327" i="1"/>
  <c r="O823" i="1"/>
  <c r="O731" i="1"/>
  <c r="O391" i="1"/>
  <c r="O802" i="1"/>
  <c r="O1025" i="1"/>
  <c r="O1064" i="1"/>
  <c r="O543" i="1"/>
  <c r="O351" i="1"/>
  <c r="O575" i="1"/>
  <c r="O917" i="1"/>
  <c r="O919" i="1"/>
  <c r="O808" i="1"/>
  <c r="O812" i="1"/>
  <c r="O755" i="1"/>
  <c r="O903" i="1"/>
  <c r="O378" i="1"/>
  <c r="O746" i="1"/>
  <c r="O706" i="1"/>
  <c r="O931" i="1"/>
  <c r="O877" i="1"/>
  <c r="O1100" i="1"/>
  <c r="O406" i="1"/>
  <c r="O789" i="1"/>
  <c r="O694" i="1"/>
  <c r="O1048" i="1"/>
  <c r="O356" i="1"/>
  <c r="O1118" i="1"/>
  <c r="O1012" i="1"/>
  <c r="O1136" i="1"/>
  <c r="O950" i="1"/>
  <c r="O1096" i="1"/>
  <c r="O289" i="1"/>
  <c r="O835" i="1"/>
  <c r="O824" i="1"/>
  <c r="O927" i="1"/>
  <c r="O654" i="1"/>
  <c r="O681" i="1"/>
  <c r="O704" i="1"/>
  <c r="O405" i="1"/>
  <c r="O643" i="1"/>
  <c r="O799" i="1"/>
  <c r="O728" i="1"/>
  <c r="O845" i="1"/>
  <c r="O986" i="1"/>
  <c r="O1068" i="1"/>
  <c r="O453" i="1"/>
  <c r="O493" i="1"/>
  <c r="O584" i="1"/>
  <c r="O1016" i="1"/>
  <c r="O988" i="1"/>
  <c r="O1104" i="1"/>
  <c r="O895" i="1"/>
  <c r="O381" i="1"/>
  <c r="O875" i="1"/>
  <c r="O562" i="1"/>
  <c r="O1063" i="1"/>
  <c r="O1131" i="1"/>
  <c r="O349" i="1"/>
  <c r="O578" i="1"/>
  <c r="O641" i="1"/>
  <c r="O288" i="1"/>
  <c r="O530" i="1"/>
  <c r="O651" i="1"/>
  <c r="O660" i="1"/>
  <c r="O439" i="1"/>
  <c r="O595" i="1"/>
  <c r="O496" i="1"/>
  <c r="O269" i="1"/>
  <c r="O815" i="1"/>
  <c r="O1115" i="1"/>
  <c r="O476" i="1"/>
  <c r="O572" i="1"/>
  <c r="O932" i="1"/>
  <c r="O907" i="1"/>
  <c r="O977" i="1"/>
  <c r="O800" i="1"/>
  <c r="O388" i="1"/>
  <c r="O659" i="1"/>
  <c r="O383" i="1"/>
  <c r="O1018" i="1"/>
  <c r="O818" i="1"/>
  <c r="O363" i="1"/>
  <c r="O984" i="1"/>
  <c r="O690" i="1"/>
  <c r="O1072" i="1"/>
  <c r="O574" i="1"/>
  <c r="O570" i="1"/>
  <c r="O473" i="1"/>
  <c r="O511" i="1"/>
  <c r="O335" i="1"/>
  <c r="O478" i="1"/>
  <c r="O448" i="1"/>
  <c r="O350" i="1"/>
  <c r="O542" i="1"/>
  <c r="O428" i="1"/>
  <c r="O261" i="1"/>
  <c r="O1139" i="1"/>
  <c r="O955" i="1"/>
  <c r="O1093" i="1"/>
  <c r="O286" i="1"/>
  <c r="O400" i="1"/>
  <c r="O565" i="1"/>
  <c r="O394" i="1"/>
  <c r="O519" i="1"/>
  <c r="O806" i="1"/>
  <c r="O309" i="1"/>
  <c r="O322" i="1"/>
  <c r="O535" i="1"/>
  <c r="O738" i="1"/>
  <c r="O627" i="1"/>
  <c r="O15" i="1"/>
  <c r="O1102" i="1"/>
  <c r="O924" i="1"/>
  <c r="O758" i="1"/>
  <c r="O361" i="1"/>
  <c r="O616" i="1"/>
  <c r="O558" i="1"/>
  <c r="O1129" i="1"/>
  <c r="O1030" i="1"/>
  <c r="O656" i="1"/>
  <c r="O1081" i="1"/>
  <c r="O796" i="1"/>
  <c r="O299" i="1"/>
  <c r="O435" i="1"/>
  <c r="O842" i="1"/>
  <c r="O908" i="1"/>
  <c r="O426" i="1"/>
  <c r="O1117" i="1"/>
  <c r="O1105" i="1"/>
  <c r="O272" i="1"/>
  <c r="O505" i="1"/>
  <c r="O449" i="1"/>
  <c r="O856" i="1"/>
  <c r="O392" i="1"/>
  <c r="O954" i="1"/>
  <c r="O1090" i="1"/>
  <c r="O1026" i="1"/>
  <c r="O874" i="1"/>
  <c r="O852" i="1"/>
  <c r="O592" i="1"/>
  <c r="O710" i="1"/>
  <c r="O425" i="1"/>
  <c r="O718" i="1"/>
  <c r="O678" i="1"/>
  <c r="O276" i="1"/>
  <c r="O949" i="1"/>
  <c r="O843" i="1"/>
  <c r="O952" i="1"/>
  <c r="O415" i="1"/>
  <c r="O664" i="1"/>
  <c r="O419" i="1"/>
  <c r="O711" i="1"/>
  <c r="O1057" i="1"/>
  <c r="O1036" i="1"/>
  <c r="O813" i="1"/>
  <c r="O525" i="1"/>
  <c r="O273" i="1"/>
  <c r="O331" i="1"/>
  <c r="O632" i="1"/>
  <c r="O684" i="1"/>
  <c r="O345" i="1"/>
  <c r="O1065" i="1"/>
  <c r="O910" i="1"/>
  <c r="O1126" i="1"/>
  <c r="O814" i="1"/>
  <c r="O936" i="1"/>
  <c r="O559" i="1"/>
  <c r="O486" i="1"/>
  <c r="O329" i="1"/>
  <c r="O515" i="1"/>
  <c r="O822" i="1"/>
  <c r="O454" i="1"/>
  <c r="O303" i="1"/>
  <c r="O774" i="1"/>
  <c r="O1033" i="1"/>
  <c r="O701" i="1"/>
  <c r="O782" i="1"/>
  <c r="O757" i="1"/>
  <c r="O412" i="1"/>
  <c r="O398" i="1"/>
  <c r="O471" i="1"/>
  <c r="O554" i="1"/>
  <c r="O466" i="1"/>
  <c r="O921" i="1"/>
  <c r="O772" i="1"/>
  <c r="O488" i="1"/>
  <c r="O498" i="1"/>
  <c r="O968" i="1"/>
  <c r="O773" i="1"/>
  <c r="O379" i="1"/>
  <c r="O973" i="1"/>
  <c r="O417" i="1"/>
  <c r="O409" i="1"/>
  <c r="O937" i="1"/>
  <c r="O667" i="1"/>
  <c r="O666" i="1"/>
  <c r="O965" i="1"/>
  <c r="O1045" i="1"/>
  <c r="O295" i="1"/>
  <c r="O1034" i="1"/>
  <c r="O503" i="1"/>
  <c r="O613" i="1"/>
  <c r="O336" i="1"/>
  <c r="O957" i="1"/>
  <c r="O1097" i="1"/>
  <c r="O393" i="1"/>
  <c r="O534" i="1"/>
  <c r="O990" i="1"/>
  <c r="O922" i="1"/>
  <c r="O709" i="1"/>
  <c r="O315" i="1"/>
  <c r="O960" i="1"/>
  <c r="O416" i="1"/>
  <c r="O455" i="1"/>
  <c r="O603" i="1"/>
  <c r="O661" i="1"/>
  <c r="O557" i="1"/>
  <c r="O277" i="1"/>
  <c r="O459" i="1"/>
  <c r="O1038" i="1"/>
  <c r="O1141" i="1"/>
  <c r="O602" i="1"/>
  <c r="O334" i="1"/>
  <c r="O588" i="1"/>
  <c r="O552" i="1"/>
  <c r="O906" i="1"/>
  <c r="O900" i="1"/>
  <c r="O645" i="1"/>
  <c r="O940" i="1"/>
  <c r="O546" i="1"/>
  <c r="O566" i="1"/>
  <c r="O451" i="1"/>
  <c r="O898" i="1"/>
  <c r="O890" i="1"/>
  <c r="O433" i="1"/>
  <c r="O594" i="1"/>
  <c r="O442" i="1"/>
  <c r="O997" i="1"/>
  <c r="O732" i="1"/>
  <c r="O372" i="1"/>
  <c r="O14" i="1"/>
  <c r="O387" i="1"/>
  <c r="O761" i="1"/>
  <c r="O695" i="1"/>
  <c r="O832" i="1"/>
  <c r="O687" i="1"/>
  <c r="O904" i="1"/>
  <c r="O348" i="1"/>
  <c r="O314" i="1"/>
  <c r="O278" i="1"/>
  <c r="O301" i="1"/>
  <c r="O1094" i="1"/>
  <c r="O497" i="1"/>
  <c r="O275" i="1"/>
  <c r="O801" i="1"/>
  <c r="O740" i="1"/>
  <c r="O1086" i="1"/>
  <c r="O544" i="1"/>
  <c r="O468" i="1"/>
  <c r="O332" i="1"/>
  <c r="O597" i="1"/>
  <c r="O555" i="1"/>
  <c r="O974" i="1"/>
  <c r="O982" i="1"/>
  <c r="O444" i="1"/>
  <c r="O556" i="1"/>
  <c r="O713" i="1"/>
  <c r="O648" i="1"/>
  <c r="O745" i="1"/>
  <c r="O408" i="1"/>
  <c r="O470" i="1"/>
  <c r="O817" i="1"/>
  <c r="O424" i="1"/>
  <c r="O880" i="1"/>
  <c r="O1049" i="1"/>
  <c r="O1042" i="1"/>
  <c r="O647" i="1"/>
  <c r="O421" i="1"/>
  <c r="O407" i="1"/>
  <c r="O956" i="1"/>
  <c r="O790" i="1"/>
  <c r="O430" i="1"/>
  <c r="O902" i="1"/>
  <c r="O460" i="1"/>
  <c r="O688" i="1"/>
  <c r="O777" i="1"/>
  <c r="O320" i="1"/>
  <c r="O897" i="1"/>
  <c r="O827" i="1"/>
  <c r="O826" i="1"/>
  <c r="O563" i="1"/>
  <c r="O571" i="1"/>
  <c r="O316" i="1"/>
  <c r="O374" i="1"/>
  <c r="O946" i="1"/>
  <c r="O912" i="1"/>
  <c r="O304" i="1"/>
  <c r="O375" i="1"/>
  <c r="O658" i="1"/>
  <c r="O697" i="1"/>
  <c r="O753" i="1"/>
  <c r="O769" i="1"/>
  <c r="O587" i="1"/>
  <c r="O302" i="1"/>
  <c r="O325" i="1"/>
  <c r="O342" i="1"/>
  <c r="O600" i="1"/>
  <c r="O564" i="1"/>
  <c r="O978" i="1"/>
  <c r="O1014" i="1"/>
  <c r="O733" i="1"/>
  <c r="O411" i="1"/>
  <c r="O294" i="1"/>
  <c r="O524" i="1"/>
  <c r="O1013" i="1"/>
  <c r="O833" i="1"/>
  <c r="O691" i="1"/>
  <c r="O539" i="1"/>
  <c r="O756" i="1"/>
  <c r="O548" i="1"/>
  <c r="O500" i="1"/>
  <c r="O310" i="1"/>
  <c r="O764" i="1"/>
  <c r="O836" i="1"/>
  <c r="O474" i="1"/>
  <c r="O840" i="1"/>
  <c r="O287" i="1"/>
  <c r="O614" i="1"/>
  <c r="O878" i="1"/>
  <c r="O809" i="1"/>
  <c r="O705" i="1"/>
  <c r="O290" i="1"/>
  <c r="O834" i="1"/>
  <c r="O458" i="1"/>
  <c r="O491" i="1"/>
  <c r="O1002" i="1"/>
  <c r="O916" i="1"/>
  <c r="O376" i="1"/>
  <c r="O339" i="1"/>
  <c r="O590" i="1"/>
  <c r="O920" i="1"/>
  <c r="O864" i="1"/>
  <c r="O1113" i="1"/>
  <c r="O364" i="1"/>
  <c r="O646" i="1"/>
  <c r="O357" i="1"/>
  <c r="O928" i="1"/>
  <c r="O858" i="1"/>
  <c r="O734" i="1"/>
  <c r="O313" i="1"/>
  <c r="O536" i="1"/>
  <c r="O1021" i="1"/>
  <c r="O481" i="1"/>
  <c r="O680" i="1"/>
  <c r="O673" i="1"/>
  <c r="O520" i="1"/>
  <c r="O848" i="1"/>
  <c r="O866" i="1"/>
  <c r="O307" i="1"/>
  <c r="O292" i="1"/>
  <c r="O655" i="1"/>
  <c r="O798" i="1"/>
  <c r="O929" i="1"/>
  <c r="O828" i="1"/>
  <c r="O601" i="1"/>
  <c r="O338" i="1"/>
  <c r="O346" i="1"/>
  <c r="O423" i="1"/>
  <c r="O521" i="1"/>
  <c r="O998" i="1"/>
  <c r="O765" i="1"/>
  <c r="O489" i="1"/>
  <c r="O441" i="1"/>
  <c r="O560" i="1"/>
  <c r="O981" i="1"/>
  <c r="O1006" i="1"/>
  <c r="O483" i="1"/>
  <c r="O708" i="1"/>
  <c r="O355" i="1"/>
  <c r="O1138" i="1"/>
  <c r="O985" i="1"/>
  <c r="O623" i="1"/>
  <c r="O573" i="1"/>
  <c r="O583" i="1"/>
  <c r="O872" i="1"/>
  <c r="O465" i="1"/>
  <c r="O283" i="1"/>
  <c r="O860" i="1"/>
  <c r="O649" i="1"/>
  <c r="O13" i="1"/>
  <c r="O12" i="1"/>
  <c r="O354" i="1"/>
  <c r="O729" i="1"/>
  <c r="O674" i="1"/>
  <c r="O1134" i="1"/>
  <c r="O948" i="1"/>
  <c r="O568" i="1"/>
  <c r="O298" i="1"/>
  <c r="O1109" i="1"/>
  <c r="O291" i="1"/>
  <c r="O896" i="1"/>
  <c r="O284" i="1"/>
  <c r="O1029" i="1"/>
  <c r="O1041" i="1"/>
  <c r="O892" i="1"/>
  <c r="O609" i="1"/>
  <c r="O970" i="1"/>
  <c r="O300" i="1"/>
  <c r="O829" i="1"/>
  <c r="O625" i="1"/>
  <c r="O742" i="1"/>
  <c r="O683" i="1"/>
  <c r="O885" i="1"/>
  <c r="O888" i="1"/>
  <c r="O599" i="1"/>
  <c r="O531" i="1"/>
  <c r="O367" i="1"/>
  <c r="O413" i="1"/>
  <c r="O516" i="1"/>
  <c r="O846" i="1"/>
  <c r="O1005" i="1"/>
  <c r="O805" i="1"/>
  <c r="O750" i="1"/>
  <c r="O490" i="1"/>
  <c r="O853" i="1"/>
  <c r="O865" i="1"/>
  <c r="O467" i="1"/>
  <c r="O1085" i="1"/>
  <c r="O281" i="1"/>
  <c r="O1066" i="1"/>
  <c r="O994" i="1"/>
  <c r="O1137" i="1"/>
  <c r="O1037" i="1"/>
  <c r="O622" i="1"/>
  <c r="O726" i="1"/>
  <c r="O513" i="1"/>
  <c r="O804" i="1"/>
  <c r="O925" i="1"/>
  <c r="O672" i="1"/>
  <c r="O1077" i="1"/>
  <c r="O518" i="1"/>
  <c r="O607" i="1"/>
  <c r="O884" i="1"/>
  <c r="O461" i="1"/>
  <c r="O445" i="1"/>
  <c r="O1017" i="1"/>
  <c r="O1010" i="1"/>
  <c r="O947" i="1"/>
  <c r="O785" i="1"/>
  <c r="O737" i="1"/>
  <c r="O700" i="1"/>
  <c r="O279" i="1"/>
  <c r="O462" i="1"/>
  <c r="O344" i="1"/>
  <c r="O876" i="1"/>
  <c r="O401" i="1"/>
  <c r="O402" i="1"/>
  <c r="O629" i="1"/>
  <c r="O551" i="1"/>
  <c r="O487" i="1"/>
  <c r="O318" i="1"/>
  <c r="O1106" i="1"/>
  <c r="O1053" i="1"/>
  <c r="O380" i="1"/>
  <c r="O793" i="1"/>
  <c r="O340" i="1"/>
  <c r="O971" i="1"/>
  <c r="O945" i="1"/>
  <c r="O506" i="1"/>
  <c r="O870" i="1"/>
  <c r="O533" i="1"/>
  <c r="O766" i="1"/>
  <c r="O989" i="1"/>
  <c r="O619" i="1"/>
  <c r="O844" i="1"/>
  <c r="O820" i="1"/>
  <c r="O532" i="1"/>
  <c r="O1070" i="1"/>
  <c r="O502" i="1"/>
  <c r="O285" i="1"/>
  <c r="O1142" i="1"/>
  <c r="O618" i="1"/>
  <c r="O610" i="1"/>
  <c r="O702" i="1"/>
  <c r="O297" i="1"/>
  <c r="O633" i="1"/>
  <c r="O868" i="1"/>
  <c r="O579" i="1"/>
  <c r="O305" i="1"/>
  <c r="O1001" i="1"/>
  <c r="O321" i="1"/>
  <c r="O282" i="1"/>
  <c r="O721" i="1"/>
  <c r="O935" i="1"/>
  <c r="O861" i="1"/>
  <c r="O923" i="1"/>
  <c r="O893" i="1"/>
  <c r="O312" i="1"/>
  <c r="O403" i="1"/>
  <c r="O1078" i="1"/>
  <c r="O1130" i="1"/>
  <c r="O617" i="1"/>
  <c r="O626" i="1"/>
  <c r="O797" i="1"/>
  <c r="L10" i="1"/>
  <c r="K10" i="1"/>
  <c r="N10" i="1"/>
  <c r="M10" i="1"/>
  <c r="J20" i="1"/>
  <c r="J17" i="1"/>
  <c r="J21" i="1"/>
  <c r="J18" i="1"/>
  <c r="J16" i="1"/>
  <c r="J19" i="1"/>
  <c r="K17" i="1" a="1"/>
  <c r="M18" i="1" a="1"/>
  <c r="K18" i="1" a="1"/>
  <c r="M21" i="1" a="1"/>
  <c r="M16" i="1" a="1"/>
  <c r="K21" i="1" a="1"/>
  <c r="K16" i="1" a="1"/>
  <c r="M20" i="1" a="1"/>
  <c r="M19" i="1" a="1"/>
  <c r="K20" i="1" a="1"/>
  <c r="K19" i="1" a="1"/>
  <c r="M17" i="1" a="1"/>
  <c r="O10" i="1" l="1"/>
  <c r="L19" i="1"/>
  <c r="K19" i="1"/>
  <c r="M19" i="1"/>
  <c r="N19" i="1"/>
  <c r="L16" i="1"/>
  <c r="K16" i="1"/>
  <c r="M16" i="1"/>
  <c r="N16" i="1"/>
  <c r="L18" i="1"/>
  <c r="K18" i="1"/>
  <c r="M18" i="1"/>
  <c r="N18" i="1"/>
  <c r="K17" i="1"/>
  <c r="L17" i="1"/>
  <c r="M17" i="1"/>
  <c r="N17" i="1"/>
  <c r="L20" i="1"/>
  <c r="K20" i="1"/>
  <c r="M20" i="1"/>
  <c r="N20" i="1"/>
  <c r="K21" i="1"/>
  <c r="L21" i="1"/>
  <c r="M21" i="1"/>
  <c r="N21" i="1"/>
  <c r="O20" i="1" l="1"/>
  <c r="O18" i="1"/>
  <c r="O19" i="1"/>
  <c r="O21" i="1"/>
  <c r="O17" i="1"/>
  <c r="O16" i="1"/>
  <c r="J27" i="1"/>
  <c r="J23" i="1"/>
  <c r="J22" i="1"/>
  <c r="J26" i="1"/>
  <c r="J24" i="1"/>
  <c r="J25" i="1"/>
  <c r="K22" i="1" a="1"/>
  <c r="K27" i="1" a="1"/>
  <c r="M25" i="1" a="1"/>
  <c r="M26" i="1" a="1"/>
  <c r="K25" i="1" a="1"/>
  <c r="K26" i="1" a="1"/>
  <c r="M23" i="1" a="1"/>
  <c r="K23" i="1" a="1"/>
  <c r="M22" i="1" a="1"/>
  <c r="M27" i="1" a="1"/>
  <c r="M24" i="1" a="1"/>
  <c r="K24" i="1" a="1"/>
  <c r="L24" i="1" l="1"/>
  <c r="K24" i="1"/>
  <c r="M24" i="1"/>
  <c r="N24" i="1"/>
  <c r="K26" i="1"/>
  <c r="L26" i="1"/>
  <c r="M26" i="1"/>
  <c r="N26" i="1"/>
  <c r="L27" i="1"/>
  <c r="K27" i="1"/>
  <c r="M27" i="1"/>
  <c r="N27" i="1"/>
  <c r="K22" i="1"/>
  <c r="L22" i="1"/>
  <c r="N22" i="1"/>
  <c r="M22" i="1"/>
  <c r="L23" i="1"/>
  <c r="K23" i="1"/>
  <c r="N23" i="1"/>
  <c r="M23" i="1"/>
  <c r="L25" i="1"/>
  <c r="K25" i="1"/>
  <c r="M25" i="1"/>
  <c r="N25" i="1"/>
  <c r="O23" i="1" l="1"/>
  <c r="O27" i="1"/>
  <c r="O24" i="1"/>
  <c r="O22" i="1"/>
  <c r="O26" i="1"/>
  <c r="O25" i="1"/>
  <c r="J31" i="1"/>
  <c r="J32" i="1"/>
  <c r="J28" i="1"/>
  <c r="J33" i="1"/>
  <c r="J30" i="1"/>
  <c r="J29" i="1"/>
  <c r="M28" i="1" a="1"/>
  <c r="K28" i="1" a="1"/>
  <c r="M31" i="1" a="1"/>
  <c r="K31" i="1" a="1"/>
  <c r="M32" i="1" a="1"/>
  <c r="M33" i="1" a="1"/>
  <c r="K32" i="1" a="1"/>
  <c r="K33" i="1" a="1"/>
  <c r="M29" i="1" a="1"/>
  <c r="M30" i="1" a="1"/>
  <c r="K29" i="1" a="1"/>
  <c r="K30" i="1" a="1"/>
  <c r="L30" i="1" l="1"/>
  <c r="K30" i="1"/>
  <c r="N30" i="1"/>
  <c r="M30" i="1"/>
  <c r="K33" i="1"/>
  <c r="L33" i="1"/>
  <c r="M33" i="1"/>
  <c r="N33" i="1"/>
  <c r="L31" i="1"/>
  <c r="K31" i="1"/>
  <c r="M31" i="1"/>
  <c r="N31" i="1"/>
  <c r="L28" i="1"/>
  <c r="K28" i="1"/>
  <c r="N28" i="1"/>
  <c r="M28" i="1"/>
  <c r="K29" i="1"/>
  <c r="L29" i="1"/>
  <c r="N29" i="1"/>
  <c r="M29" i="1"/>
  <c r="K32" i="1"/>
  <c r="L32" i="1"/>
  <c r="M32" i="1"/>
  <c r="N32" i="1"/>
  <c r="O28" i="1" l="1"/>
  <c r="O33" i="1"/>
  <c r="O32" i="1"/>
  <c r="O29" i="1"/>
  <c r="O31" i="1"/>
  <c r="O30" i="1"/>
  <c r="J36" i="1"/>
  <c r="J35" i="1"/>
  <c r="J38" i="1"/>
  <c r="J39" i="1"/>
  <c r="J34" i="1"/>
  <c r="J37" i="1"/>
  <c r="M36" i="1" a="1"/>
  <c r="K36" i="1" a="1"/>
  <c r="K38" i="1" a="1"/>
  <c r="M39" i="1" a="1"/>
  <c r="K39" i="1" a="1"/>
  <c r="M37" i="1" a="1"/>
  <c r="K34" i="1" a="1"/>
  <c r="M38" i="1" a="1"/>
  <c r="M35" i="1" a="1"/>
  <c r="K35" i="1" a="1"/>
  <c r="M34" i="1" a="1"/>
  <c r="K37" i="1" a="1"/>
  <c r="K34" i="1" l="1"/>
  <c r="L34" i="1"/>
  <c r="M34" i="1"/>
  <c r="N34" i="1"/>
  <c r="K39" i="1"/>
  <c r="L39" i="1"/>
  <c r="M39" i="1"/>
  <c r="N39" i="1"/>
  <c r="L38" i="1"/>
  <c r="K38" i="1"/>
  <c r="M38" i="1"/>
  <c r="N38" i="1"/>
  <c r="K36" i="1"/>
  <c r="L36" i="1"/>
  <c r="M36" i="1"/>
  <c r="N36" i="1"/>
  <c r="L37" i="1"/>
  <c r="K37" i="1"/>
  <c r="N37" i="1"/>
  <c r="M37" i="1"/>
  <c r="K35" i="1"/>
  <c r="L35" i="1"/>
  <c r="M35" i="1"/>
  <c r="N35" i="1"/>
  <c r="O35" i="1" l="1"/>
  <c r="O39" i="1"/>
  <c r="O34" i="1"/>
  <c r="O36" i="1"/>
  <c r="O37" i="1"/>
  <c r="O38" i="1"/>
  <c r="J41" i="1"/>
  <c r="J45" i="1"/>
  <c r="J42" i="1"/>
  <c r="J44" i="1"/>
  <c r="J40" i="1"/>
  <c r="J43" i="1"/>
  <c r="M41" i="1" a="1"/>
  <c r="K41" i="1" a="1"/>
  <c r="M42" i="1" a="1"/>
  <c r="K42" i="1" a="1"/>
  <c r="M45" i="1" a="1"/>
  <c r="M44" i="1" a="1"/>
  <c r="K45" i="1" a="1"/>
  <c r="K44" i="1" a="1"/>
  <c r="M43" i="1" a="1"/>
  <c r="M40" i="1" a="1"/>
  <c r="K43" i="1" a="1"/>
  <c r="K40" i="1" a="1"/>
  <c r="L40" i="1" l="1"/>
  <c r="K40" i="1"/>
  <c r="M40" i="1"/>
  <c r="N40" i="1"/>
  <c r="K44" i="1"/>
  <c r="L44" i="1"/>
  <c r="M44" i="1"/>
  <c r="N44" i="1"/>
  <c r="K42" i="1"/>
  <c r="L42" i="1"/>
  <c r="N42" i="1"/>
  <c r="M42" i="1"/>
  <c r="L41" i="1"/>
  <c r="K41" i="1"/>
  <c r="M41" i="1"/>
  <c r="N41" i="1"/>
  <c r="L43" i="1"/>
  <c r="K43" i="1"/>
  <c r="M43" i="1"/>
  <c r="N43" i="1"/>
  <c r="K45" i="1"/>
  <c r="L45" i="1"/>
  <c r="N45" i="1"/>
  <c r="M45" i="1"/>
  <c r="O45" i="1" l="1"/>
  <c r="O44" i="1"/>
  <c r="O42" i="1"/>
  <c r="O41" i="1"/>
  <c r="O43" i="1"/>
  <c r="O40" i="1"/>
  <c r="J47" i="1"/>
  <c r="J49" i="1"/>
  <c r="J46" i="1"/>
  <c r="J50" i="1"/>
  <c r="J51" i="1"/>
  <c r="J48" i="1"/>
  <c r="M48" i="1" a="1"/>
  <c r="M51" i="1" a="1"/>
  <c r="K46" i="1" a="1"/>
  <c r="K50" i="1" a="1"/>
  <c r="K48" i="1" a="1"/>
  <c r="K51" i="1" a="1"/>
  <c r="K47" i="1" a="1"/>
  <c r="M46" i="1" a="1"/>
  <c r="M49" i="1" a="1"/>
  <c r="K49" i="1" a="1"/>
  <c r="M47" i="1" a="1"/>
  <c r="M50" i="1" a="1"/>
  <c r="L51" i="1" l="1"/>
  <c r="K51" i="1"/>
  <c r="M51" i="1"/>
  <c r="N51" i="1"/>
  <c r="K50" i="1"/>
  <c r="L50" i="1"/>
  <c r="M50" i="1"/>
  <c r="N50" i="1"/>
  <c r="L46" i="1"/>
  <c r="K46" i="1"/>
  <c r="M46" i="1"/>
  <c r="N46" i="1"/>
  <c r="K47" i="1"/>
  <c r="L47" i="1"/>
  <c r="N47" i="1"/>
  <c r="M47" i="1"/>
  <c r="K48" i="1"/>
  <c r="L48" i="1"/>
  <c r="M48" i="1"/>
  <c r="N48" i="1"/>
  <c r="K49" i="1"/>
  <c r="L49" i="1"/>
  <c r="M49" i="1"/>
  <c r="N49" i="1"/>
  <c r="O48" i="1" l="1"/>
  <c r="O46" i="1"/>
  <c r="O50" i="1"/>
  <c r="O49" i="1"/>
  <c r="O47" i="1"/>
  <c r="O51" i="1"/>
  <c r="J56" i="1"/>
  <c r="J53" i="1"/>
  <c r="J55" i="1"/>
  <c r="J54" i="1"/>
  <c r="J52" i="1"/>
  <c r="J57" i="1"/>
  <c r="M55" i="1" a="1"/>
  <c r="K55" i="1" a="1"/>
  <c r="M54" i="1" a="1"/>
  <c r="M56" i="1" a="1"/>
  <c r="M52" i="1" a="1"/>
  <c r="K53" i="1" a="1"/>
  <c r="K57" i="1" a="1"/>
  <c r="K56" i="1" a="1"/>
  <c r="K52" i="1" a="1"/>
  <c r="M53" i="1" a="1"/>
  <c r="M57" i="1" a="1"/>
  <c r="K54" i="1" a="1"/>
  <c r="K57" i="1" l="1"/>
  <c r="L57" i="1"/>
  <c r="N57" i="1"/>
  <c r="M57" i="1"/>
  <c r="K52" i="1"/>
  <c r="L52" i="1"/>
  <c r="N52" i="1"/>
  <c r="M52" i="1"/>
  <c r="K54" i="1"/>
  <c r="L54" i="1"/>
  <c r="N54" i="1"/>
  <c r="M54" i="1"/>
  <c r="L55" i="1"/>
  <c r="K55" i="1"/>
  <c r="N55" i="1"/>
  <c r="M55" i="1"/>
  <c r="K53" i="1"/>
  <c r="L53" i="1"/>
  <c r="N53" i="1"/>
  <c r="M53" i="1"/>
  <c r="K56" i="1"/>
  <c r="L56" i="1"/>
  <c r="M56" i="1"/>
  <c r="N56" i="1"/>
  <c r="O53" i="1" l="1"/>
  <c r="O54" i="1"/>
  <c r="O57" i="1"/>
  <c r="O52" i="1"/>
  <c r="O55" i="1"/>
  <c r="O56" i="1"/>
  <c r="J62" i="1"/>
  <c r="J61" i="1"/>
  <c r="J58" i="1"/>
  <c r="J59" i="1"/>
  <c r="J60" i="1"/>
  <c r="J63" i="1"/>
  <c r="M62" i="1" a="1"/>
  <c r="M60" i="1" a="1"/>
  <c r="K62" i="1" a="1"/>
  <c r="K60" i="1" a="1"/>
  <c r="M58" i="1" a="1"/>
  <c r="K58" i="1" a="1"/>
  <c r="M59" i="1" a="1"/>
  <c r="K61" i="1" a="1"/>
  <c r="M63" i="1" a="1"/>
  <c r="K63" i="1" a="1"/>
  <c r="M61" i="1" a="1"/>
  <c r="K59" i="1" a="1"/>
  <c r="L60" i="1" l="1"/>
  <c r="K60" i="1"/>
  <c r="M60" i="1"/>
  <c r="N60" i="1"/>
  <c r="L59" i="1"/>
  <c r="K59" i="1"/>
  <c r="M59" i="1"/>
  <c r="N59" i="1"/>
  <c r="L58" i="1"/>
  <c r="K58" i="1"/>
  <c r="M58" i="1"/>
  <c r="N58" i="1"/>
  <c r="L63" i="1"/>
  <c r="K63" i="1"/>
  <c r="M63" i="1"/>
  <c r="N63" i="1"/>
  <c r="K62" i="1"/>
  <c r="L62" i="1"/>
  <c r="N62" i="1"/>
  <c r="M62" i="1"/>
  <c r="K61" i="1"/>
  <c r="L61" i="1"/>
  <c r="N61" i="1"/>
  <c r="M61" i="1"/>
  <c r="O61" i="1" l="1"/>
  <c r="O59" i="1"/>
  <c r="O62" i="1"/>
  <c r="O63" i="1"/>
  <c r="O58" i="1"/>
  <c r="O60" i="1"/>
  <c r="J65" i="1"/>
  <c r="J67" i="1"/>
  <c r="J69" i="1"/>
  <c r="J64" i="1"/>
  <c r="J66" i="1"/>
  <c r="J68" i="1"/>
  <c r="M68" i="1" a="1"/>
  <c r="M69" i="1" a="1"/>
  <c r="K68" i="1" a="1"/>
  <c r="K69" i="1" a="1"/>
  <c r="M65" i="1" a="1"/>
  <c r="K65" i="1" a="1"/>
  <c r="M64" i="1" a="1"/>
  <c r="K64" i="1" a="1"/>
  <c r="M67" i="1" a="1"/>
  <c r="M66" i="1" a="1"/>
  <c r="K66" i="1" a="1"/>
  <c r="K67" i="1" a="1"/>
  <c r="L69" i="1" l="1"/>
  <c r="K69" i="1"/>
  <c r="N69" i="1"/>
  <c r="M69" i="1"/>
  <c r="L66" i="1"/>
  <c r="K66" i="1"/>
  <c r="M66" i="1"/>
  <c r="N66" i="1"/>
  <c r="L64" i="1"/>
  <c r="K64" i="1"/>
  <c r="M64" i="1"/>
  <c r="N64" i="1"/>
  <c r="K65" i="1"/>
  <c r="L65" i="1"/>
  <c r="M65" i="1"/>
  <c r="N65" i="1"/>
  <c r="L68" i="1"/>
  <c r="K68" i="1"/>
  <c r="M68" i="1"/>
  <c r="N68" i="1"/>
  <c r="K67" i="1"/>
  <c r="L67" i="1"/>
  <c r="M67" i="1"/>
  <c r="N67" i="1"/>
  <c r="O68" i="1" l="1"/>
  <c r="O64" i="1"/>
  <c r="O66" i="1"/>
  <c r="O67" i="1"/>
  <c r="O65" i="1"/>
  <c r="O69" i="1"/>
  <c r="J73" i="1"/>
  <c r="J75" i="1"/>
  <c r="J71" i="1"/>
  <c r="J72" i="1"/>
  <c r="J74" i="1"/>
  <c r="J70" i="1"/>
  <c r="M72" i="1" a="1"/>
  <c r="K72" i="1" a="1"/>
  <c r="M74" i="1" a="1"/>
  <c r="K74" i="1" a="1"/>
  <c r="M75" i="1" a="1"/>
  <c r="M70" i="1" a="1"/>
  <c r="K75" i="1" a="1"/>
  <c r="K70" i="1" a="1"/>
  <c r="M71" i="1" a="1"/>
  <c r="M73" i="1" a="1"/>
  <c r="K71" i="1" a="1"/>
  <c r="K73" i="1" a="1"/>
  <c r="K73" i="1" l="1"/>
  <c r="L73" i="1"/>
  <c r="M73" i="1"/>
  <c r="N73" i="1"/>
  <c r="L70" i="1"/>
  <c r="K70" i="1"/>
  <c r="N70" i="1"/>
  <c r="M70" i="1"/>
  <c r="L74" i="1"/>
  <c r="K74" i="1"/>
  <c r="M74" i="1"/>
  <c r="N74" i="1"/>
  <c r="L72" i="1"/>
  <c r="K72" i="1"/>
  <c r="N72" i="1"/>
  <c r="M72" i="1"/>
  <c r="L71" i="1"/>
  <c r="K71" i="1"/>
  <c r="M71" i="1"/>
  <c r="N71" i="1"/>
  <c r="L75" i="1"/>
  <c r="K75" i="1"/>
  <c r="M75" i="1"/>
  <c r="N75" i="1"/>
  <c r="O75" i="1" l="1"/>
  <c r="O72" i="1"/>
  <c r="O70" i="1"/>
  <c r="O73" i="1"/>
  <c r="O71" i="1"/>
  <c r="O74" i="1"/>
  <c r="J78" i="1"/>
  <c r="J81" i="1"/>
  <c r="J76" i="1"/>
  <c r="J77" i="1"/>
  <c r="J80" i="1"/>
  <c r="J79" i="1"/>
  <c r="M79" i="1" a="1"/>
  <c r="M77" i="1" a="1"/>
  <c r="K79" i="1" a="1"/>
  <c r="K77" i="1" a="1"/>
  <c r="M76" i="1" a="1"/>
  <c r="K80" i="1" a="1"/>
  <c r="K76" i="1" a="1"/>
  <c r="M80" i="1" a="1"/>
  <c r="K78" i="1" a="1"/>
  <c r="M81" i="1" a="1"/>
  <c r="M78" i="1" a="1"/>
  <c r="K81" i="1" a="1"/>
  <c r="L77" i="1" l="1"/>
  <c r="K77" i="1"/>
  <c r="N77" i="1"/>
  <c r="M77" i="1"/>
  <c r="L78" i="1"/>
  <c r="K78" i="1"/>
  <c r="N78" i="1"/>
  <c r="M78" i="1"/>
  <c r="K80" i="1"/>
  <c r="L80" i="1"/>
  <c r="M80" i="1"/>
  <c r="N80" i="1"/>
  <c r="K76" i="1"/>
  <c r="L76" i="1"/>
  <c r="M76" i="1"/>
  <c r="N76" i="1"/>
  <c r="K79" i="1"/>
  <c r="L79" i="1"/>
  <c r="M79" i="1"/>
  <c r="N79" i="1"/>
  <c r="L81" i="1"/>
  <c r="K81" i="1"/>
  <c r="N81" i="1"/>
  <c r="M81" i="1"/>
  <c r="O80" i="1" l="1"/>
  <c r="O79" i="1"/>
  <c r="O78" i="1"/>
  <c r="O76" i="1"/>
  <c r="O81" i="1"/>
  <c r="O77" i="1"/>
  <c r="J87" i="1"/>
  <c r="J84" i="1"/>
  <c r="J85" i="1"/>
  <c r="J82" i="1"/>
  <c r="J86" i="1"/>
  <c r="J83" i="1"/>
  <c r="M84" i="1" a="1"/>
  <c r="M85" i="1" a="1"/>
  <c r="K84" i="1" a="1"/>
  <c r="K85" i="1" a="1"/>
  <c r="M87" i="1" a="1"/>
  <c r="K87" i="1" a="1"/>
  <c r="M82" i="1" a="1"/>
  <c r="K82" i="1" a="1"/>
  <c r="M83" i="1" a="1"/>
  <c r="M86" i="1" a="1"/>
  <c r="K83" i="1" a="1"/>
  <c r="K86" i="1" a="1"/>
  <c r="L85" i="1" l="1"/>
  <c r="K85" i="1"/>
  <c r="N85" i="1"/>
  <c r="M85" i="1"/>
  <c r="L86" i="1"/>
  <c r="K86" i="1"/>
  <c r="N86" i="1"/>
  <c r="M86" i="1"/>
  <c r="L82" i="1"/>
  <c r="K82" i="1"/>
  <c r="M82" i="1"/>
  <c r="N82" i="1"/>
  <c r="K87" i="1"/>
  <c r="L87" i="1"/>
  <c r="M87" i="1"/>
  <c r="N87" i="1"/>
  <c r="L84" i="1"/>
  <c r="K84" i="1"/>
  <c r="M84" i="1"/>
  <c r="N84" i="1"/>
  <c r="K83" i="1"/>
  <c r="L83" i="1"/>
  <c r="N83" i="1"/>
  <c r="M83" i="1"/>
  <c r="O84" i="1" l="1"/>
  <c r="O83" i="1"/>
  <c r="O86" i="1"/>
  <c r="O87" i="1"/>
  <c r="O82" i="1"/>
  <c r="O85" i="1"/>
  <c r="J92" i="1"/>
  <c r="J93" i="1"/>
  <c r="J89" i="1"/>
  <c r="J90" i="1"/>
  <c r="J88" i="1"/>
  <c r="J91" i="1"/>
  <c r="M89" i="1" a="1"/>
  <c r="M88" i="1" a="1"/>
  <c r="K88" i="1" a="1"/>
  <c r="M92" i="1" a="1"/>
  <c r="K92" i="1" a="1"/>
  <c r="K89" i="1" a="1"/>
  <c r="M90" i="1" a="1"/>
  <c r="K90" i="1" a="1"/>
  <c r="M93" i="1" a="1"/>
  <c r="K93" i="1" a="1"/>
  <c r="M91" i="1" a="1"/>
  <c r="K91" i="1" a="1"/>
  <c r="K92" i="1" l="1"/>
  <c r="L92" i="1"/>
  <c r="N92" i="1"/>
  <c r="M92" i="1"/>
  <c r="L88" i="1"/>
  <c r="K88" i="1"/>
  <c r="M88" i="1"/>
  <c r="N88" i="1"/>
  <c r="K90" i="1"/>
  <c r="L90" i="1"/>
  <c r="N90" i="1"/>
  <c r="M90" i="1"/>
  <c r="K89" i="1"/>
  <c r="L89" i="1"/>
  <c r="M89" i="1"/>
  <c r="N89" i="1"/>
  <c r="K91" i="1"/>
  <c r="L91" i="1"/>
  <c r="M91" i="1"/>
  <c r="N91" i="1"/>
  <c r="L93" i="1"/>
  <c r="K93" i="1"/>
  <c r="N93" i="1"/>
  <c r="M93" i="1"/>
  <c r="O90" i="1" l="1"/>
  <c r="O92" i="1"/>
  <c r="O91" i="1"/>
  <c r="O89" i="1"/>
  <c r="O88" i="1"/>
  <c r="O93" i="1"/>
  <c r="J95" i="1"/>
  <c r="J94" i="1"/>
  <c r="J99" i="1"/>
  <c r="J97" i="1"/>
  <c r="J96" i="1"/>
  <c r="J98" i="1"/>
  <c r="M99" i="1" a="1"/>
  <c r="M96" i="1" a="1"/>
  <c r="K99" i="1" a="1"/>
  <c r="K96" i="1" a="1"/>
  <c r="M95" i="1" a="1"/>
  <c r="K95" i="1" a="1"/>
  <c r="M98" i="1" a="1"/>
  <c r="K98" i="1" a="1"/>
  <c r="M94" i="1" a="1"/>
  <c r="K97" i="1" a="1"/>
  <c r="K94" i="1" a="1"/>
  <c r="M97" i="1" a="1"/>
  <c r="K96" i="1" l="1"/>
  <c r="L96" i="1"/>
  <c r="M96" i="1"/>
  <c r="N96" i="1"/>
  <c r="L97" i="1"/>
  <c r="K97" i="1"/>
  <c r="N97" i="1"/>
  <c r="M97" i="1"/>
  <c r="L95" i="1"/>
  <c r="K95" i="1"/>
  <c r="M95" i="1"/>
  <c r="N95" i="1"/>
  <c r="K94" i="1"/>
  <c r="L94" i="1"/>
  <c r="M94" i="1"/>
  <c r="N94" i="1"/>
  <c r="L99" i="1"/>
  <c r="K99" i="1"/>
  <c r="M99" i="1"/>
  <c r="N99" i="1"/>
  <c r="K98" i="1"/>
  <c r="L98" i="1"/>
  <c r="N98" i="1"/>
  <c r="M98" i="1"/>
  <c r="O94" i="1" l="1"/>
  <c r="O98" i="1"/>
  <c r="O97" i="1"/>
  <c r="O96" i="1"/>
  <c r="O99" i="1"/>
  <c r="O95" i="1"/>
  <c r="J100" i="1"/>
  <c r="J104" i="1"/>
  <c r="J103" i="1"/>
  <c r="J101" i="1"/>
  <c r="J105" i="1"/>
  <c r="J102" i="1"/>
  <c r="M100" i="1" a="1"/>
  <c r="M105" i="1" a="1"/>
  <c r="K100" i="1" a="1"/>
  <c r="K105" i="1" a="1"/>
  <c r="M104" i="1" a="1"/>
  <c r="K104" i="1" a="1"/>
  <c r="M103" i="1" a="1"/>
  <c r="K103" i="1" a="1"/>
  <c r="M101" i="1" a="1"/>
  <c r="M102" i="1" a="1"/>
  <c r="K101" i="1" a="1"/>
  <c r="K102" i="1" a="1"/>
  <c r="L105" i="1" l="1"/>
  <c r="K105" i="1"/>
  <c r="M105" i="1"/>
  <c r="N105" i="1"/>
  <c r="K102" i="1"/>
  <c r="L102" i="1"/>
  <c r="N102" i="1"/>
  <c r="M102" i="1"/>
  <c r="K103" i="1"/>
  <c r="L103" i="1"/>
  <c r="N103" i="1"/>
  <c r="M103" i="1"/>
  <c r="K104" i="1"/>
  <c r="L104" i="1"/>
  <c r="M104" i="1"/>
  <c r="N104" i="1"/>
  <c r="K100" i="1"/>
  <c r="L100" i="1"/>
  <c r="M100" i="1"/>
  <c r="N100" i="1"/>
  <c r="K101" i="1"/>
  <c r="L101" i="1"/>
  <c r="N101" i="1"/>
  <c r="M101" i="1"/>
  <c r="O104" i="1" l="1"/>
  <c r="O103" i="1"/>
  <c r="O101" i="1"/>
  <c r="O102" i="1"/>
  <c r="O100" i="1"/>
  <c r="O105" i="1"/>
  <c r="J110" i="1"/>
  <c r="J107" i="1"/>
  <c r="J108" i="1"/>
  <c r="J106" i="1"/>
  <c r="J109" i="1"/>
  <c r="J111" i="1"/>
  <c r="M107" i="1" a="1"/>
  <c r="K107" i="1" a="1"/>
  <c r="M106" i="1" a="1"/>
  <c r="M108" i="1" a="1"/>
  <c r="K106" i="1" a="1"/>
  <c r="K108" i="1" a="1"/>
  <c r="M110" i="1" a="1"/>
  <c r="M111" i="1" a="1"/>
  <c r="K110" i="1" a="1"/>
  <c r="K111" i="1" a="1"/>
  <c r="M109" i="1" a="1"/>
  <c r="K109" i="1" a="1"/>
  <c r="L111" i="1" l="1"/>
  <c r="K111" i="1"/>
  <c r="M111" i="1"/>
  <c r="N111" i="1"/>
  <c r="K108" i="1"/>
  <c r="L108" i="1"/>
  <c r="M108" i="1"/>
  <c r="N108" i="1"/>
  <c r="K107" i="1"/>
  <c r="L107" i="1"/>
  <c r="M107" i="1"/>
  <c r="N107" i="1"/>
  <c r="K109" i="1"/>
  <c r="L109" i="1"/>
  <c r="N109" i="1"/>
  <c r="M109" i="1"/>
  <c r="L110" i="1"/>
  <c r="K110" i="1"/>
  <c r="N110" i="1"/>
  <c r="M110" i="1"/>
  <c r="L106" i="1"/>
  <c r="K106" i="1"/>
  <c r="N106" i="1"/>
  <c r="M106" i="1"/>
  <c r="O106" i="1" l="1"/>
  <c r="O109" i="1"/>
  <c r="O108" i="1"/>
  <c r="O107" i="1"/>
  <c r="O110" i="1"/>
  <c r="O111" i="1"/>
  <c r="J116" i="1"/>
  <c r="J114" i="1"/>
  <c r="J112" i="1"/>
  <c r="J115" i="1"/>
  <c r="J113" i="1"/>
  <c r="J117" i="1"/>
  <c r="M115" i="1" a="1"/>
  <c r="M113" i="1" a="1"/>
  <c r="M114" i="1" a="1"/>
  <c r="K115" i="1" a="1"/>
  <c r="K113" i="1" a="1"/>
  <c r="K114" i="1" a="1"/>
  <c r="M117" i="1" a="1"/>
  <c r="K117" i="1" a="1"/>
  <c r="M112" i="1" a="1"/>
  <c r="M116" i="1" a="1"/>
  <c r="K112" i="1" a="1"/>
  <c r="K116" i="1" a="1"/>
  <c r="K113" i="1" l="1"/>
  <c r="L113" i="1"/>
  <c r="M113" i="1"/>
  <c r="N113" i="1"/>
  <c r="K116" i="1"/>
  <c r="L116" i="1"/>
  <c r="M116" i="1"/>
  <c r="N116" i="1"/>
  <c r="K117" i="1"/>
  <c r="L117" i="1"/>
  <c r="N117" i="1"/>
  <c r="M117" i="1"/>
  <c r="L114" i="1"/>
  <c r="K114" i="1"/>
  <c r="M114" i="1"/>
  <c r="N114" i="1"/>
  <c r="L115" i="1"/>
  <c r="K115" i="1"/>
  <c r="M115" i="1"/>
  <c r="N115" i="1"/>
  <c r="L112" i="1"/>
  <c r="K112" i="1"/>
  <c r="M112" i="1"/>
  <c r="N112" i="1"/>
  <c r="O116" i="1" l="1"/>
  <c r="O112" i="1"/>
  <c r="O117" i="1"/>
  <c r="O113" i="1"/>
  <c r="O114" i="1"/>
  <c r="O115" i="1"/>
  <c r="J118" i="1"/>
  <c r="J120" i="1"/>
  <c r="J122" i="1"/>
  <c r="J121" i="1"/>
  <c r="J119" i="1"/>
  <c r="J123" i="1"/>
  <c r="M121" i="1" a="1"/>
  <c r="K121" i="1" a="1"/>
  <c r="M118" i="1" a="1"/>
  <c r="M119" i="1" a="1"/>
  <c r="K118" i="1" a="1"/>
  <c r="K119" i="1" a="1"/>
  <c r="M122" i="1" a="1"/>
  <c r="M123" i="1" a="1"/>
  <c r="K122" i="1" a="1"/>
  <c r="K123" i="1" a="1"/>
  <c r="M120" i="1" a="1"/>
  <c r="K120" i="1" a="1"/>
  <c r="K123" i="1" l="1"/>
  <c r="L123" i="1"/>
  <c r="M123" i="1"/>
  <c r="N123" i="1"/>
  <c r="K119" i="1"/>
  <c r="L119" i="1"/>
  <c r="N119" i="1"/>
  <c r="M119" i="1"/>
  <c r="K120" i="1"/>
  <c r="L120" i="1"/>
  <c r="M120" i="1"/>
  <c r="N120" i="1"/>
  <c r="K121" i="1"/>
  <c r="L121" i="1"/>
  <c r="M121" i="1"/>
  <c r="N121" i="1"/>
  <c r="L122" i="1"/>
  <c r="K122" i="1"/>
  <c r="M122" i="1"/>
  <c r="N122" i="1"/>
  <c r="L118" i="1"/>
  <c r="K118" i="1"/>
  <c r="N118" i="1"/>
  <c r="M118" i="1"/>
  <c r="O121" i="1" l="1"/>
  <c r="O119" i="1"/>
  <c r="O118" i="1"/>
  <c r="O120" i="1"/>
  <c r="O123" i="1"/>
  <c r="O122" i="1"/>
  <c r="J127" i="1"/>
  <c r="J124" i="1"/>
  <c r="J125" i="1"/>
  <c r="J128" i="1"/>
  <c r="J126" i="1"/>
  <c r="J129" i="1"/>
  <c r="M124" i="1" a="1"/>
  <c r="M129" i="1" a="1"/>
  <c r="K124" i="1" a="1"/>
  <c r="M128" i="1" a="1"/>
  <c r="K128" i="1" a="1"/>
  <c r="M125" i="1" a="1"/>
  <c r="M127" i="1" a="1"/>
  <c r="M126" i="1" a="1"/>
  <c r="K127" i="1" a="1"/>
  <c r="K126" i="1" a="1"/>
  <c r="K129" i="1" a="1"/>
  <c r="K125" i="1" a="1"/>
  <c r="K129" i="1" l="1"/>
  <c r="L129" i="1"/>
  <c r="M129" i="1"/>
  <c r="N129" i="1"/>
  <c r="L126" i="1"/>
  <c r="K126" i="1"/>
  <c r="N126" i="1"/>
  <c r="M126" i="1"/>
  <c r="L128" i="1"/>
  <c r="K128" i="1"/>
  <c r="M128" i="1"/>
  <c r="N128" i="1"/>
  <c r="L125" i="1"/>
  <c r="K125" i="1"/>
  <c r="N125" i="1"/>
  <c r="M125" i="1"/>
  <c r="L124" i="1"/>
  <c r="K124" i="1"/>
  <c r="M124" i="1"/>
  <c r="N124" i="1"/>
  <c r="K127" i="1"/>
  <c r="L127" i="1"/>
  <c r="M127" i="1"/>
  <c r="N127" i="1"/>
  <c r="O127" i="1" l="1"/>
  <c r="O126" i="1"/>
  <c r="O129" i="1"/>
  <c r="O125" i="1"/>
  <c r="O124" i="1"/>
  <c r="O128" i="1"/>
  <c r="J133" i="1"/>
  <c r="J131" i="1"/>
  <c r="J132" i="1"/>
  <c r="J130" i="1"/>
  <c r="J134" i="1"/>
  <c r="J135" i="1"/>
  <c r="M135" i="1" a="1"/>
  <c r="M130" i="1" a="1"/>
  <c r="K135" i="1" a="1"/>
  <c r="K130" i="1" a="1"/>
  <c r="M133" i="1" a="1"/>
  <c r="M132" i="1" a="1"/>
  <c r="K131" i="1" a="1"/>
  <c r="K133" i="1" a="1"/>
  <c r="M134" i="1" a="1"/>
  <c r="K134" i="1" a="1"/>
  <c r="M131" i="1" a="1"/>
  <c r="K132" i="1" a="1"/>
  <c r="K130" i="1" l="1"/>
  <c r="L130" i="1"/>
  <c r="N130" i="1"/>
  <c r="M130" i="1"/>
  <c r="K132" i="1"/>
  <c r="L132" i="1"/>
  <c r="M132" i="1"/>
  <c r="N132" i="1"/>
  <c r="L134" i="1"/>
  <c r="K134" i="1"/>
  <c r="N134" i="1"/>
  <c r="M134" i="1"/>
  <c r="L133" i="1"/>
  <c r="K133" i="1"/>
  <c r="N133" i="1"/>
  <c r="M133" i="1"/>
  <c r="L135" i="1"/>
  <c r="K135" i="1"/>
  <c r="N135" i="1"/>
  <c r="M135" i="1"/>
  <c r="L131" i="1"/>
  <c r="K131" i="1"/>
  <c r="M131" i="1"/>
  <c r="N131" i="1"/>
  <c r="O132" i="1" l="1"/>
  <c r="O133" i="1"/>
  <c r="O130" i="1"/>
  <c r="O131" i="1"/>
  <c r="O135" i="1"/>
  <c r="O134" i="1"/>
  <c r="J137" i="1"/>
  <c r="J138" i="1"/>
  <c r="J139" i="1"/>
  <c r="J141" i="1"/>
  <c r="J136" i="1"/>
  <c r="J140" i="1"/>
  <c r="M137" i="1" a="1"/>
  <c r="M140" i="1" a="1"/>
  <c r="K137" i="1" a="1"/>
  <c r="K140" i="1" a="1"/>
  <c r="K138" i="1" a="1"/>
  <c r="M136" i="1" a="1"/>
  <c r="K139" i="1" a="1"/>
  <c r="M138" i="1" a="1"/>
  <c r="K141" i="1" a="1"/>
  <c r="M141" i="1" a="1"/>
  <c r="M139" i="1" a="1"/>
  <c r="K136" i="1" a="1"/>
  <c r="K140" i="1" l="1"/>
  <c r="L140" i="1"/>
  <c r="N140" i="1"/>
  <c r="M140" i="1"/>
  <c r="L136" i="1"/>
  <c r="K136" i="1"/>
  <c r="M136" i="1"/>
  <c r="N136" i="1"/>
  <c r="L141" i="1"/>
  <c r="K141" i="1"/>
  <c r="M141" i="1"/>
  <c r="N141" i="1"/>
  <c r="L138" i="1"/>
  <c r="K138" i="1"/>
  <c r="N138" i="1"/>
  <c r="M138" i="1"/>
  <c r="L137" i="1"/>
  <c r="K137" i="1"/>
  <c r="M137" i="1"/>
  <c r="N137" i="1"/>
  <c r="L139" i="1"/>
  <c r="K139" i="1"/>
  <c r="N139" i="1"/>
  <c r="M139" i="1"/>
  <c r="O136" i="1" l="1"/>
  <c r="O138" i="1"/>
  <c r="O140" i="1"/>
  <c r="O139" i="1"/>
  <c r="O137" i="1"/>
  <c r="O141" i="1"/>
  <c r="J142" i="1"/>
  <c r="J145" i="1"/>
  <c r="J144" i="1"/>
  <c r="J143" i="1"/>
  <c r="J147" i="1"/>
  <c r="J146" i="1"/>
  <c r="M146" i="1" a="1"/>
  <c r="M147" i="1" a="1"/>
  <c r="K146" i="1" a="1"/>
  <c r="K147" i="1" a="1"/>
  <c r="M142" i="1" a="1"/>
  <c r="K143" i="1" a="1"/>
  <c r="K142" i="1" a="1"/>
  <c r="M144" i="1" a="1"/>
  <c r="K144" i="1" a="1"/>
  <c r="M145" i="1" a="1"/>
  <c r="M143" i="1" a="1"/>
  <c r="K145" i="1" a="1"/>
  <c r="K147" i="1" l="1"/>
  <c r="L147" i="1"/>
  <c r="M147" i="1"/>
  <c r="N147" i="1"/>
  <c r="L143" i="1"/>
  <c r="K143" i="1"/>
  <c r="N143" i="1"/>
  <c r="M143" i="1"/>
  <c r="K144" i="1"/>
  <c r="L144" i="1"/>
  <c r="M144" i="1"/>
  <c r="N144" i="1"/>
  <c r="K142" i="1"/>
  <c r="L142" i="1"/>
  <c r="N142" i="1"/>
  <c r="M142" i="1"/>
  <c r="L146" i="1"/>
  <c r="K146" i="1"/>
  <c r="M146" i="1"/>
  <c r="N146" i="1"/>
  <c r="L145" i="1"/>
  <c r="K145" i="1"/>
  <c r="M145" i="1"/>
  <c r="N145" i="1"/>
  <c r="O143" i="1" l="1"/>
  <c r="O142" i="1"/>
  <c r="O145" i="1"/>
  <c r="O144" i="1"/>
  <c r="O147" i="1"/>
  <c r="O146" i="1"/>
  <c r="J148" i="1"/>
  <c r="J149" i="1"/>
  <c r="J152" i="1"/>
  <c r="J150" i="1"/>
  <c r="J153" i="1"/>
  <c r="J151" i="1"/>
  <c r="M150" i="1" a="1"/>
  <c r="K150" i="1" a="1"/>
  <c r="M149" i="1" a="1"/>
  <c r="K149" i="1" a="1"/>
  <c r="M152" i="1" a="1"/>
  <c r="M153" i="1" a="1"/>
  <c r="K152" i="1" a="1"/>
  <c r="M148" i="1" a="1"/>
  <c r="M151" i="1" a="1"/>
  <c r="K148" i="1" a="1"/>
  <c r="K151" i="1" a="1"/>
  <c r="K153" i="1" a="1"/>
  <c r="K153" i="1" l="1"/>
  <c r="L153" i="1"/>
  <c r="M153" i="1"/>
  <c r="N153" i="1"/>
  <c r="K151" i="1"/>
  <c r="L151" i="1"/>
  <c r="M151" i="1"/>
  <c r="N151" i="1"/>
  <c r="K149" i="1"/>
  <c r="L149" i="1"/>
  <c r="N149" i="1"/>
  <c r="M149" i="1"/>
  <c r="K150" i="1"/>
  <c r="L150" i="1"/>
  <c r="N150" i="1"/>
  <c r="M150" i="1"/>
  <c r="L152" i="1"/>
  <c r="K152" i="1"/>
  <c r="M152" i="1"/>
  <c r="N152" i="1"/>
  <c r="L148" i="1"/>
  <c r="K148" i="1"/>
  <c r="N148" i="1"/>
  <c r="M148" i="1"/>
  <c r="O150" i="1" l="1"/>
  <c r="O151" i="1"/>
  <c r="O148" i="1"/>
  <c r="O149" i="1"/>
  <c r="O153" i="1"/>
  <c r="O152" i="1"/>
  <c r="J157" i="1"/>
  <c r="J154" i="1"/>
  <c r="J156" i="1"/>
  <c r="J158" i="1"/>
  <c r="J159" i="1"/>
  <c r="J155" i="1"/>
  <c r="M155" i="1" a="1"/>
  <c r="M158" i="1" a="1"/>
  <c r="K155" i="1" a="1"/>
  <c r="M154" i="1" a="1"/>
  <c r="K154" i="1" a="1"/>
  <c r="K157" i="1" a="1"/>
  <c r="M159" i="1" a="1"/>
  <c r="M156" i="1" a="1"/>
  <c r="K159" i="1" a="1"/>
  <c r="K156" i="1" a="1"/>
  <c r="K158" i="1" a="1"/>
  <c r="M157" i="1" a="1"/>
  <c r="K158" i="1" l="1"/>
  <c r="L158" i="1"/>
  <c r="N158" i="1"/>
  <c r="M158" i="1"/>
  <c r="L156" i="1"/>
  <c r="K156" i="1"/>
  <c r="M156" i="1"/>
  <c r="N156" i="1"/>
  <c r="K154" i="1"/>
  <c r="L154" i="1"/>
  <c r="M154" i="1"/>
  <c r="N154" i="1"/>
  <c r="L157" i="1"/>
  <c r="K157" i="1"/>
  <c r="N157" i="1"/>
  <c r="M157" i="1"/>
  <c r="L155" i="1"/>
  <c r="K155" i="1"/>
  <c r="N155" i="1"/>
  <c r="M155" i="1"/>
  <c r="L159" i="1"/>
  <c r="K159" i="1"/>
  <c r="M159" i="1"/>
  <c r="N159" i="1"/>
  <c r="O154" i="1" l="1"/>
  <c r="O158" i="1"/>
  <c r="O155" i="1"/>
  <c r="O159" i="1"/>
  <c r="O157" i="1"/>
  <c r="O156" i="1"/>
  <c r="J165" i="1"/>
  <c r="J162" i="1"/>
  <c r="J163" i="1"/>
  <c r="J160" i="1"/>
  <c r="J161" i="1"/>
  <c r="J164" i="1"/>
  <c r="M164" i="1" a="1"/>
  <c r="M163" i="1" a="1"/>
  <c r="K164" i="1" a="1"/>
  <c r="K163" i="1" a="1"/>
  <c r="M165" i="1" a="1"/>
  <c r="M161" i="1" a="1"/>
  <c r="K161" i="1" a="1"/>
  <c r="K165" i="1" a="1"/>
  <c r="M162" i="1" a="1"/>
  <c r="M160" i="1" a="1"/>
  <c r="K162" i="1" a="1"/>
  <c r="K160" i="1" a="1"/>
  <c r="L163" i="1" l="1"/>
  <c r="K163" i="1"/>
  <c r="N163" i="1"/>
  <c r="M163" i="1"/>
  <c r="K160" i="1"/>
  <c r="L160" i="1"/>
  <c r="N160" i="1"/>
  <c r="M160" i="1"/>
  <c r="K161" i="1"/>
  <c r="L161" i="1"/>
  <c r="M161" i="1"/>
  <c r="N161" i="1"/>
  <c r="L165" i="1"/>
  <c r="K165" i="1"/>
  <c r="N165" i="1"/>
  <c r="M165" i="1"/>
  <c r="L164" i="1"/>
  <c r="K164" i="1"/>
  <c r="N164" i="1"/>
  <c r="M164" i="1"/>
  <c r="K162" i="1"/>
  <c r="L162" i="1"/>
  <c r="N162" i="1"/>
  <c r="M162" i="1"/>
  <c r="O165" i="1" l="1"/>
  <c r="O160" i="1"/>
  <c r="O162" i="1"/>
  <c r="O161" i="1"/>
  <c r="O164" i="1"/>
  <c r="O163" i="1"/>
  <c r="J170" i="1"/>
  <c r="J169" i="1"/>
  <c r="J168" i="1"/>
  <c r="J171" i="1"/>
  <c r="J166" i="1"/>
  <c r="J167" i="1"/>
  <c r="M167" i="1" a="1"/>
  <c r="M170" i="1" a="1"/>
  <c r="K167" i="1" a="1"/>
  <c r="K170" i="1" a="1"/>
  <c r="M168" i="1" a="1"/>
  <c r="K166" i="1" a="1"/>
  <c r="K168" i="1" a="1"/>
  <c r="M171" i="1" a="1"/>
  <c r="K171" i="1" a="1"/>
  <c r="M169" i="1" a="1"/>
  <c r="M166" i="1" a="1"/>
  <c r="K169" i="1" a="1"/>
  <c r="L170" i="1" l="1"/>
  <c r="K170" i="1"/>
  <c r="M170" i="1"/>
  <c r="N170" i="1"/>
  <c r="L166" i="1"/>
  <c r="K166" i="1"/>
  <c r="N166" i="1"/>
  <c r="M166" i="1"/>
  <c r="K171" i="1"/>
  <c r="L171" i="1"/>
  <c r="N171" i="1"/>
  <c r="M171" i="1"/>
  <c r="L168" i="1"/>
  <c r="K168" i="1"/>
  <c r="M168" i="1"/>
  <c r="N168" i="1"/>
  <c r="K167" i="1"/>
  <c r="L167" i="1"/>
  <c r="N167" i="1"/>
  <c r="M167" i="1"/>
  <c r="K169" i="1"/>
  <c r="L169" i="1"/>
  <c r="N169" i="1"/>
  <c r="M169" i="1"/>
  <c r="O167" i="1" l="1"/>
  <c r="O169" i="1"/>
  <c r="O166" i="1"/>
  <c r="O171" i="1"/>
  <c r="O168" i="1"/>
  <c r="O170" i="1"/>
  <c r="J173" i="1"/>
  <c r="J177" i="1"/>
  <c r="J174" i="1"/>
  <c r="J172" i="1"/>
  <c r="J175" i="1"/>
  <c r="J176" i="1"/>
  <c r="M176" i="1" a="1"/>
  <c r="M173" i="1" a="1"/>
  <c r="M177" i="1" a="1"/>
  <c r="K177" i="1" a="1"/>
  <c r="K176" i="1" a="1"/>
  <c r="K173" i="1" a="1"/>
  <c r="M174" i="1" a="1"/>
  <c r="K174" i="1" a="1"/>
  <c r="M172" i="1" a="1"/>
  <c r="K172" i="1" a="1"/>
  <c r="M175" i="1" a="1"/>
  <c r="K175" i="1" a="1"/>
  <c r="K173" i="1" l="1"/>
  <c r="L173" i="1"/>
  <c r="N173" i="1"/>
  <c r="M173" i="1"/>
  <c r="L175" i="1"/>
  <c r="K175" i="1"/>
  <c r="M175" i="1"/>
  <c r="N175" i="1"/>
  <c r="K172" i="1"/>
  <c r="L172" i="1"/>
  <c r="M172" i="1"/>
  <c r="N172" i="1"/>
  <c r="K174" i="1"/>
  <c r="L174" i="1"/>
  <c r="N174" i="1"/>
  <c r="M174" i="1"/>
  <c r="K176" i="1"/>
  <c r="L176" i="1"/>
  <c r="M176" i="1"/>
  <c r="N176" i="1"/>
  <c r="K177" i="1"/>
  <c r="L177" i="1"/>
  <c r="M177" i="1"/>
  <c r="N177" i="1"/>
  <c r="O177" i="1" l="1"/>
  <c r="O174" i="1"/>
  <c r="O175" i="1"/>
  <c r="O176" i="1"/>
  <c r="O173" i="1"/>
  <c r="O172" i="1"/>
  <c r="J179" i="1"/>
  <c r="J183" i="1"/>
  <c r="J181" i="1"/>
  <c r="J180" i="1"/>
  <c r="J182" i="1"/>
  <c r="J178" i="1"/>
  <c r="M179" i="1" a="1"/>
  <c r="K179" i="1" a="1"/>
  <c r="M181" i="1" a="1"/>
  <c r="K181" i="1" a="1"/>
  <c r="M183" i="1" a="1"/>
  <c r="M180" i="1" a="1"/>
  <c r="K183" i="1" a="1"/>
  <c r="K180" i="1" a="1"/>
  <c r="M178" i="1" a="1"/>
  <c r="M182" i="1" a="1"/>
  <c r="K178" i="1" a="1"/>
  <c r="K182" i="1" a="1"/>
  <c r="K182" i="1" l="1"/>
  <c r="L182" i="1"/>
  <c r="N182" i="1"/>
  <c r="M182" i="1"/>
  <c r="L180" i="1"/>
  <c r="K180" i="1"/>
  <c r="N180" i="1"/>
  <c r="M180" i="1"/>
  <c r="L181" i="1"/>
  <c r="K181" i="1"/>
  <c r="N181" i="1"/>
  <c r="M181" i="1"/>
  <c r="K179" i="1"/>
  <c r="L179" i="1"/>
  <c r="M179" i="1"/>
  <c r="N179" i="1"/>
  <c r="L178" i="1"/>
  <c r="K178" i="1"/>
  <c r="M178" i="1"/>
  <c r="N178" i="1"/>
  <c r="K183" i="1"/>
  <c r="L183" i="1"/>
  <c r="M183" i="1"/>
  <c r="N183" i="1"/>
  <c r="O178" i="1" l="1"/>
  <c r="O180" i="1"/>
  <c r="O179" i="1"/>
  <c r="O183" i="1"/>
  <c r="O182" i="1"/>
  <c r="O181" i="1"/>
  <c r="J184" i="1"/>
  <c r="J187" i="1"/>
  <c r="J189" i="1"/>
  <c r="J185" i="1"/>
  <c r="J186" i="1"/>
  <c r="J188" i="1"/>
  <c r="M188" i="1" a="1"/>
  <c r="M189" i="1" a="1"/>
  <c r="K188" i="1" a="1"/>
  <c r="K189" i="1" a="1"/>
  <c r="M185" i="1" a="1"/>
  <c r="K186" i="1" a="1"/>
  <c r="K185" i="1" a="1"/>
  <c r="M184" i="1" a="1"/>
  <c r="K184" i="1" a="1"/>
  <c r="M186" i="1" a="1"/>
  <c r="M187" i="1" a="1"/>
  <c r="K187" i="1" a="1"/>
  <c r="L189" i="1" l="1"/>
  <c r="K189" i="1"/>
  <c r="N189" i="1"/>
  <c r="M189" i="1"/>
  <c r="L187" i="1"/>
  <c r="K187" i="1"/>
  <c r="N187" i="1"/>
  <c r="M187" i="1"/>
  <c r="K184" i="1"/>
  <c r="L184" i="1"/>
  <c r="M184" i="1"/>
  <c r="N184" i="1"/>
  <c r="L185" i="1"/>
  <c r="K185" i="1"/>
  <c r="M185" i="1"/>
  <c r="N185" i="1"/>
  <c r="L188" i="1"/>
  <c r="K188" i="1"/>
  <c r="M188" i="1"/>
  <c r="N188" i="1"/>
  <c r="K186" i="1"/>
  <c r="L186" i="1"/>
  <c r="M186" i="1"/>
  <c r="N186" i="1"/>
  <c r="O187" i="1" l="1"/>
  <c r="O186" i="1"/>
  <c r="O185" i="1"/>
  <c r="O184" i="1"/>
  <c r="O188" i="1"/>
  <c r="O189" i="1"/>
  <c r="J192" i="1"/>
  <c r="J191" i="1"/>
  <c r="J193" i="1"/>
  <c r="J194" i="1"/>
  <c r="J190" i="1"/>
  <c r="J195" i="1"/>
  <c r="M192" i="1" a="1"/>
  <c r="M195" i="1" a="1"/>
  <c r="K192" i="1" a="1"/>
  <c r="K195" i="1" a="1"/>
  <c r="M191" i="1" a="1"/>
  <c r="M194" i="1" a="1"/>
  <c r="K194" i="1" a="1"/>
  <c r="K190" i="1" a="1"/>
  <c r="K191" i="1" a="1"/>
  <c r="M193" i="1" a="1"/>
  <c r="M190" i="1" a="1"/>
  <c r="K193" i="1" a="1"/>
  <c r="K195" i="1" l="1"/>
  <c r="L195" i="1"/>
  <c r="N195" i="1"/>
  <c r="M195" i="1"/>
  <c r="L190" i="1"/>
  <c r="K190" i="1"/>
  <c r="N190" i="1"/>
  <c r="M190" i="1"/>
  <c r="K194" i="1"/>
  <c r="L194" i="1"/>
  <c r="N194" i="1"/>
  <c r="M194" i="1"/>
  <c r="L191" i="1"/>
  <c r="K191" i="1"/>
  <c r="M191" i="1"/>
  <c r="N191" i="1"/>
  <c r="L192" i="1"/>
  <c r="K192" i="1"/>
  <c r="M192" i="1"/>
  <c r="N192" i="1"/>
  <c r="K193" i="1"/>
  <c r="L193" i="1"/>
  <c r="M193" i="1"/>
  <c r="N193" i="1"/>
  <c r="O194" i="1" l="1"/>
  <c r="O190" i="1"/>
  <c r="O193" i="1"/>
  <c r="O191" i="1"/>
  <c r="O195" i="1"/>
  <c r="O192" i="1"/>
  <c r="J199" i="1"/>
  <c r="J197" i="1"/>
  <c r="J196" i="1"/>
  <c r="J198" i="1"/>
  <c r="J200" i="1"/>
  <c r="J201" i="1"/>
  <c r="M197" i="1" a="1"/>
  <c r="M196" i="1" a="1"/>
  <c r="K197" i="1" a="1"/>
  <c r="K196" i="1" a="1"/>
  <c r="M198" i="1" a="1"/>
  <c r="K201" i="1" a="1"/>
  <c r="K198" i="1" a="1"/>
  <c r="M200" i="1" a="1"/>
  <c r="K200" i="1" a="1"/>
  <c r="M199" i="1" a="1"/>
  <c r="M201" i="1" a="1"/>
  <c r="K199" i="1" a="1"/>
  <c r="K196" i="1" l="1"/>
  <c r="L196" i="1"/>
  <c r="M196" i="1"/>
  <c r="N196" i="1"/>
  <c r="K201" i="1"/>
  <c r="L201" i="1"/>
  <c r="M201" i="1"/>
  <c r="N201" i="1"/>
  <c r="L200" i="1"/>
  <c r="K200" i="1"/>
  <c r="M200" i="1"/>
  <c r="N200" i="1"/>
  <c r="K198" i="1"/>
  <c r="L198" i="1"/>
  <c r="N198" i="1"/>
  <c r="M198" i="1"/>
  <c r="K197" i="1"/>
  <c r="L197" i="1"/>
  <c r="N197" i="1"/>
  <c r="M197" i="1"/>
  <c r="K199" i="1"/>
  <c r="L199" i="1"/>
  <c r="N199" i="1"/>
  <c r="M199" i="1"/>
  <c r="O196" i="1" l="1"/>
  <c r="O197" i="1"/>
  <c r="O201" i="1"/>
  <c r="O198" i="1"/>
  <c r="O199" i="1"/>
  <c r="O200" i="1"/>
  <c r="J207" i="1"/>
  <c r="J205" i="1"/>
  <c r="J204" i="1"/>
  <c r="J206" i="1"/>
  <c r="J202" i="1"/>
  <c r="J203" i="1"/>
  <c r="M203" i="1" a="1"/>
  <c r="M202" i="1" a="1"/>
  <c r="M207" i="1" a="1"/>
  <c r="M205" i="1" a="1"/>
  <c r="K205" i="1" a="1"/>
  <c r="K203" i="1" a="1"/>
  <c r="K202" i="1" a="1"/>
  <c r="K207" i="1" a="1"/>
  <c r="M204" i="1" a="1"/>
  <c r="K204" i="1" a="1"/>
  <c r="M206" i="1" a="1"/>
  <c r="K206" i="1" a="1"/>
  <c r="K202" i="1" l="1"/>
  <c r="L202" i="1"/>
  <c r="M202" i="1"/>
  <c r="N202" i="1"/>
  <c r="L206" i="1"/>
  <c r="K206" i="1"/>
  <c r="N206" i="1"/>
  <c r="M206" i="1"/>
  <c r="K204" i="1"/>
  <c r="L204" i="1"/>
  <c r="M204" i="1"/>
  <c r="N204" i="1"/>
  <c r="L207" i="1"/>
  <c r="K207" i="1"/>
  <c r="M207" i="1"/>
  <c r="N207" i="1"/>
  <c r="K203" i="1"/>
  <c r="L203" i="1"/>
  <c r="M203" i="1"/>
  <c r="N203" i="1"/>
  <c r="L205" i="1"/>
  <c r="K205" i="1"/>
  <c r="N205" i="1"/>
  <c r="M205" i="1"/>
  <c r="O203" i="1" l="1"/>
  <c r="O204" i="1"/>
  <c r="O202" i="1"/>
  <c r="O206" i="1"/>
  <c r="O205" i="1"/>
  <c r="O207" i="1"/>
  <c r="J213" i="1"/>
  <c r="J211" i="1"/>
  <c r="J212" i="1"/>
  <c r="J209" i="1"/>
  <c r="J210" i="1"/>
  <c r="J208" i="1"/>
  <c r="M208" i="1" a="1"/>
  <c r="M209" i="1" a="1"/>
  <c r="K208" i="1" a="1"/>
  <c r="K209" i="1" a="1"/>
  <c r="M210" i="1" a="1"/>
  <c r="K210" i="1" a="1"/>
  <c r="M213" i="1" a="1"/>
  <c r="K213" i="1" a="1"/>
  <c r="M211" i="1" a="1"/>
  <c r="M212" i="1" a="1"/>
  <c r="K211" i="1" a="1"/>
  <c r="K212" i="1" a="1"/>
  <c r="L209" i="1" l="1"/>
  <c r="K209" i="1"/>
  <c r="M209" i="1"/>
  <c r="N209" i="1"/>
  <c r="K212" i="1"/>
  <c r="L212" i="1"/>
  <c r="N212" i="1"/>
  <c r="M212" i="1"/>
  <c r="L213" i="1"/>
  <c r="K213" i="1"/>
  <c r="N213" i="1"/>
  <c r="M213" i="1"/>
  <c r="L210" i="1"/>
  <c r="K210" i="1"/>
  <c r="M210" i="1"/>
  <c r="N210" i="1"/>
  <c r="K208" i="1"/>
  <c r="L208" i="1"/>
  <c r="M208" i="1"/>
  <c r="N208" i="1"/>
  <c r="L211" i="1"/>
  <c r="K211" i="1"/>
  <c r="N211" i="1"/>
  <c r="M211" i="1"/>
  <c r="O208" i="1" l="1"/>
  <c r="O211" i="1"/>
  <c r="O212" i="1"/>
  <c r="O210" i="1"/>
  <c r="O213" i="1"/>
  <c r="O209" i="1"/>
  <c r="J216" i="1"/>
  <c r="J217" i="1"/>
  <c r="J218" i="1"/>
  <c r="J214" i="1"/>
  <c r="J215" i="1"/>
  <c r="J219" i="1"/>
  <c r="M217" i="1" a="1"/>
  <c r="M215" i="1" a="1"/>
  <c r="K217" i="1" a="1"/>
  <c r="K215" i="1" a="1"/>
  <c r="M216" i="1" a="1"/>
  <c r="K216" i="1" a="1"/>
  <c r="K214" i="1" a="1"/>
  <c r="M218" i="1" a="1"/>
  <c r="K218" i="1" a="1"/>
  <c r="M219" i="1" a="1"/>
  <c r="M214" i="1" a="1"/>
  <c r="K219" i="1" a="1"/>
  <c r="L215" i="1" l="1"/>
  <c r="K215" i="1"/>
  <c r="N215" i="1"/>
  <c r="M215" i="1"/>
  <c r="K214" i="1"/>
  <c r="L214" i="1"/>
  <c r="N214" i="1"/>
  <c r="M214" i="1"/>
  <c r="L218" i="1"/>
  <c r="K218" i="1"/>
  <c r="M218" i="1"/>
  <c r="N218" i="1"/>
  <c r="K216" i="1"/>
  <c r="L216" i="1"/>
  <c r="M216" i="1"/>
  <c r="N216" i="1"/>
  <c r="L217" i="1"/>
  <c r="K217" i="1"/>
  <c r="M217" i="1"/>
  <c r="N217" i="1"/>
  <c r="K219" i="1"/>
  <c r="L219" i="1"/>
  <c r="N219" i="1"/>
  <c r="M219" i="1"/>
  <c r="O217" i="1" l="1"/>
  <c r="O214" i="1"/>
  <c r="O216" i="1"/>
  <c r="O219" i="1"/>
  <c r="O218" i="1"/>
  <c r="O215" i="1"/>
  <c r="J222" i="1"/>
  <c r="J223" i="1"/>
  <c r="J221" i="1"/>
  <c r="J225" i="1"/>
  <c r="J220" i="1"/>
  <c r="J224" i="1"/>
  <c r="M225" i="1" a="1"/>
  <c r="M220" i="1" a="1"/>
  <c r="K225" i="1" a="1"/>
  <c r="K220" i="1" a="1"/>
  <c r="M224" i="1" a="1"/>
  <c r="K223" i="1" a="1"/>
  <c r="K224" i="1" a="1"/>
  <c r="M223" i="1" a="1"/>
  <c r="K221" i="1" a="1"/>
  <c r="M222" i="1" a="1"/>
  <c r="M221" i="1" a="1"/>
  <c r="K222" i="1" a="1"/>
  <c r="L220" i="1" l="1"/>
  <c r="K220" i="1"/>
  <c r="M220" i="1"/>
  <c r="N220" i="1"/>
  <c r="L221" i="1"/>
  <c r="K221" i="1"/>
  <c r="N221" i="1"/>
  <c r="M221" i="1"/>
  <c r="L223" i="1"/>
  <c r="K223" i="1"/>
  <c r="M223" i="1"/>
  <c r="N223" i="1"/>
  <c r="L224" i="1"/>
  <c r="K224" i="1"/>
  <c r="M224" i="1"/>
  <c r="N224" i="1"/>
  <c r="K225" i="1"/>
  <c r="L225" i="1"/>
  <c r="M225" i="1"/>
  <c r="N225" i="1"/>
  <c r="L222" i="1"/>
  <c r="K222" i="1"/>
  <c r="N222" i="1"/>
  <c r="M222" i="1"/>
  <c r="O225" i="1" l="1"/>
  <c r="O221" i="1"/>
  <c r="O222" i="1"/>
  <c r="O224" i="1"/>
  <c r="O223" i="1"/>
  <c r="O220" i="1"/>
  <c r="J230" i="1"/>
  <c r="J228" i="1"/>
  <c r="J227" i="1"/>
  <c r="J231" i="1"/>
  <c r="J229" i="1"/>
  <c r="J226" i="1"/>
  <c r="M228" i="1" a="1"/>
  <c r="M229" i="1" a="1"/>
  <c r="K230" i="1" a="1"/>
  <c r="M227" i="1" a="1"/>
  <c r="M226" i="1" a="1"/>
  <c r="K231" i="1" a="1"/>
  <c r="K228" i="1" a="1"/>
  <c r="K229" i="1" a="1"/>
  <c r="M230" i="1" a="1"/>
  <c r="K227" i="1" a="1"/>
  <c r="M231" i="1" a="1"/>
  <c r="K226" i="1" a="1"/>
  <c r="L229" i="1" l="1"/>
  <c r="K229" i="1"/>
  <c r="N229" i="1"/>
  <c r="M229" i="1"/>
  <c r="K231" i="1"/>
  <c r="L231" i="1"/>
  <c r="N231" i="1"/>
  <c r="M231" i="1"/>
  <c r="L227" i="1"/>
  <c r="K227" i="1"/>
  <c r="M227" i="1"/>
  <c r="N227" i="1"/>
  <c r="L230" i="1"/>
  <c r="K230" i="1"/>
  <c r="N230" i="1"/>
  <c r="M230" i="1"/>
  <c r="L228" i="1"/>
  <c r="K228" i="1"/>
  <c r="M228" i="1"/>
  <c r="N228" i="1"/>
  <c r="L226" i="1"/>
  <c r="K226" i="1"/>
  <c r="N226" i="1"/>
  <c r="M226" i="1"/>
  <c r="O231" i="1" l="1"/>
  <c r="O226" i="1"/>
  <c r="O230" i="1"/>
  <c r="O228" i="1"/>
  <c r="O227" i="1"/>
  <c r="O229" i="1"/>
  <c r="J232" i="1"/>
  <c r="J236" i="1"/>
  <c r="J237" i="1"/>
  <c r="J234" i="1"/>
  <c r="J233" i="1"/>
  <c r="J235" i="1"/>
  <c r="M236" i="1" a="1"/>
  <c r="M235" i="1" a="1"/>
  <c r="M237" i="1" a="1"/>
  <c r="M233" i="1" a="1"/>
  <c r="K233" i="1" a="1"/>
  <c r="K236" i="1" a="1"/>
  <c r="K235" i="1" a="1"/>
  <c r="K237" i="1" a="1"/>
  <c r="M232" i="1" a="1"/>
  <c r="M234" i="1" a="1"/>
  <c r="K232" i="1" a="1"/>
  <c r="K234" i="1" a="1"/>
  <c r="L235" i="1" l="1"/>
  <c r="K235" i="1"/>
  <c r="N235" i="1"/>
  <c r="M235" i="1"/>
  <c r="K234" i="1"/>
  <c r="L234" i="1"/>
  <c r="N234" i="1"/>
  <c r="M234" i="1"/>
  <c r="L233" i="1"/>
  <c r="K233" i="1"/>
  <c r="M233" i="1"/>
  <c r="N233" i="1"/>
  <c r="L237" i="1"/>
  <c r="K237" i="1"/>
  <c r="M237" i="1"/>
  <c r="N237" i="1"/>
  <c r="L236" i="1"/>
  <c r="K236" i="1"/>
  <c r="M236" i="1"/>
  <c r="N236" i="1"/>
  <c r="L232" i="1"/>
  <c r="K232" i="1"/>
  <c r="M232" i="1"/>
  <c r="N232" i="1"/>
  <c r="O236" i="1" l="1"/>
  <c r="O233" i="1"/>
  <c r="O235" i="1"/>
  <c r="O232" i="1"/>
  <c r="O234" i="1"/>
  <c r="O237" i="1"/>
  <c r="J238" i="1"/>
  <c r="J243" i="1"/>
  <c r="J240" i="1"/>
  <c r="J242" i="1"/>
  <c r="J239" i="1"/>
  <c r="J241" i="1"/>
  <c r="M238" i="1" a="1"/>
  <c r="M241" i="1" a="1"/>
  <c r="K238" i="1" a="1"/>
  <c r="K241" i="1" a="1"/>
  <c r="K239" i="1" a="1"/>
  <c r="M243" i="1" a="1"/>
  <c r="K242" i="1" a="1"/>
  <c r="M239" i="1" a="1"/>
  <c r="K243" i="1" a="1"/>
  <c r="M242" i="1" a="1"/>
  <c r="M240" i="1" a="1"/>
  <c r="K240" i="1" a="1"/>
  <c r="K241" i="1" l="1"/>
  <c r="L241" i="1"/>
  <c r="N241" i="1"/>
  <c r="M241" i="1"/>
  <c r="K239" i="1"/>
  <c r="L239" i="1"/>
  <c r="M239" i="1"/>
  <c r="N239" i="1"/>
  <c r="K242" i="1"/>
  <c r="L242" i="1"/>
  <c r="N242" i="1"/>
  <c r="M242" i="1"/>
  <c r="K243" i="1"/>
  <c r="L243" i="1"/>
  <c r="M243" i="1"/>
  <c r="N243" i="1"/>
  <c r="K238" i="1"/>
  <c r="L238" i="1"/>
  <c r="N238" i="1"/>
  <c r="M238" i="1"/>
  <c r="L240" i="1"/>
  <c r="K240" i="1"/>
  <c r="M240" i="1"/>
  <c r="N240" i="1"/>
  <c r="O239" i="1" l="1"/>
  <c r="O242" i="1"/>
  <c r="O243" i="1"/>
  <c r="O240" i="1"/>
  <c r="O238" i="1"/>
  <c r="O241" i="1"/>
  <c r="J248" i="1"/>
  <c r="J245" i="1"/>
  <c r="J244" i="1"/>
  <c r="J247" i="1"/>
  <c r="J246" i="1"/>
  <c r="J249" i="1"/>
  <c r="M249" i="1" a="1"/>
  <c r="M246" i="1" a="1"/>
  <c r="K249" i="1" a="1"/>
  <c r="K246" i="1" a="1"/>
  <c r="M248" i="1" a="1"/>
  <c r="K248" i="1" a="1"/>
  <c r="M244" i="1" a="1"/>
  <c r="K244" i="1" a="1"/>
  <c r="K247" i="1" a="1"/>
  <c r="M245" i="1" a="1"/>
  <c r="M247" i="1" a="1"/>
  <c r="K245" i="1" a="1"/>
  <c r="K246" i="1" l="1"/>
  <c r="L246" i="1"/>
  <c r="N246" i="1"/>
  <c r="M246" i="1"/>
  <c r="L247" i="1"/>
  <c r="K247" i="1"/>
  <c r="M247" i="1"/>
  <c r="N247" i="1"/>
  <c r="L244" i="1"/>
  <c r="K244" i="1"/>
  <c r="N244" i="1"/>
  <c r="M244" i="1"/>
  <c r="K248" i="1"/>
  <c r="L248" i="1"/>
  <c r="M248" i="1"/>
  <c r="N248" i="1"/>
  <c r="K249" i="1"/>
  <c r="L249" i="1"/>
  <c r="M249" i="1"/>
  <c r="N249" i="1"/>
  <c r="K245" i="1"/>
  <c r="L245" i="1"/>
  <c r="N245" i="1"/>
  <c r="M245" i="1"/>
  <c r="O246" i="1" l="1"/>
  <c r="O248" i="1"/>
  <c r="O247" i="1"/>
  <c r="O245" i="1"/>
  <c r="O249" i="1"/>
  <c r="O244" i="1"/>
  <c r="J253" i="1"/>
  <c r="J254" i="1"/>
  <c r="J251" i="1"/>
  <c r="J255" i="1"/>
  <c r="J250" i="1"/>
  <c r="J252" i="1"/>
  <c r="M253" i="1" a="1"/>
  <c r="M252" i="1" a="1"/>
  <c r="K253" i="1" a="1"/>
  <c r="K252" i="1" a="1"/>
  <c r="M254" i="1" a="1"/>
  <c r="M255" i="1" a="1"/>
  <c r="K255" i="1" a="1"/>
  <c r="M251" i="1" a="1"/>
  <c r="M250" i="1" a="1"/>
  <c r="K251" i="1" a="1"/>
  <c r="K250" i="1" a="1"/>
  <c r="K254" i="1" a="1"/>
  <c r="K252" i="1" l="1"/>
  <c r="L252" i="1"/>
  <c r="M252" i="1"/>
  <c r="N252" i="1"/>
  <c r="L250" i="1"/>
  <c r="K250" i="1"/>
  <c r="M250" i="1"/>
  <c r="N250" i="1"/>
  <c r="K255" i="1"/>
  <c r="L255" i="1"/>
  <c r="M255" i="1"/>
  <c r="N255" i="1"/>
  <c r="L254" i="1"/>
  <c r="K254" i="1"/>
  <c r="N254" i="1"/>
  <c r="M254" i="1"/>
  <c r="K253" i="1"/>
  <c r="L253" i="1"/>
  <c r="N253" i="1"/>
  <c r="M253" i="1"/>
  <c r="L251" i="1"/>
  <c r="K251" i="1"/>
  <c r="N251" i="1"/>
  <c r="M251" i="1"/>
  <c r="O251" i="1" l="1"/>
  <c r="O254" i="1"/>
  <c r="O250" i="1"/>
  <c r="O253" i="1"/>
  <c r="O255" i="1"/>
  <c r="O252" i="1"/>
  <c r="J256" i="1"/>
  <c r="J257" i="1"/>
  <c r="J258" i="1"/>
  <c r="J260" i="1"/>
  <c r="J259" i="1"/>
  <c r="K257" i="1" a="1"/>
  <c r="M256" i="1" a="1"/>
  <c r="M259" i="1" a="1"/>
  <c r="K259" i="1" a="1"/>
  <c r="M260" i="1" a="1"/>
  <c r="K256" i="1" a="1"/>
  <c r="K258" i="1" a="1"/>
  <c r="K260" i="1" a="1"/>
  <c r="M257" i="1" a="1"/>
  <c r="M258" i="1" a="1"/>
  <c r="L260" i="1" l="1"/>
  <c r="K260" i="1"/>
  <c r="M260" i="1"/>
  <c r="N260" i="1"/>
  <c r="L259" i="1"/>
  <c r="K259" i="1"/>
  <c r="N259" i="1"/>
  <c r="M259" i="1"/>
  <c r="K256" i="1"/>
  <c r="L256" i="1"/>
  <c r="M256" i="1"/>
  <c r="N256" i="1"/>
  <c r="L257" i="1"/>
  <c r="K257" i="1"/>
  <c r="M257" i="1"/>
  <c r="N257" i="1"/>
  <c r="K258" i="1"/>
  <c r="L258" i="1"/>
  <c r="N258" i="1"/>
  <c r="M258" i="1"/>
  <c r="O258" i="1" l="1"/>
  <c r="O257" i="1"/>
  <c r="O259" i="1"/>
  <c r="O256" i="1"/>
  <c r="O260" i="1"/>
  <c r="G6" i="1" l="1"/>
</calcChain>
</file>

<file path=xl/sharedStrings.xml><?xml version="1.0" encoding="utf-8"?>
<sst xmlns="http://schemas.openxmlformats.org/spreadsheetml/2006/main" count="44" uniqueCount="44">
  <si>
    <t>random seeds</t>
  </si>
  <si>
    <t>s1</t>
  </si>
  <si>
    <t>s2</t>
  </si>
  <si>
    <t>s3</t>
  </si>
  <si>
    <t>q1</t>
  </si>
  <si>
    <t>q2</t>
  </si>
  <si>
    <t>q3</t>
  </si>
  <si>
    <t>k</t>
  </si>
  <si>
    <t>T</t>
  </si>
  <si>
    <t>const</t>
  </si>
  <si>
    <t>v1</t>
  </si>
  <si>
    <t>v2</t>
  </si>
  <si>
    <t>v3</t>
  </si>
  <si>
    <t>corr12</t>
  </si>
  <si>
    <t>corr13</t>
  </si>
  <si>
    <t>corr23</t>
  </si>
  <si>
    <t>r</t>
  </si>
  <si>
    <t>confd</t>
  </si>
  <si>
    <t>g</t>
  </si>
  <si>
    <t>std1</t>
  </si>
  <si>
    <t>std2</t>
  </si>
  <si>
    <t>std3</t>
  </si>
  <si>
    <t>st1</t>
  </si>
  <si>
    <t>st2</t>
  </si>
  <si>
    <t>st3</t>
  </si>
  <si>
    <t>e1</t>
  </si>
  <si>
    <t>e2</t>
  </si>
  <si>
    <t>e3</t>
  </si>
  <si>
    <t>sim returns</t>
  </si>
  <si>
    <t>r1</t>
  </si>
  <si>
    <t>r2</t>
  </si>
  <si>
    <t>r3</t>
  </si>
  <si>
    <t>max_val</t>
    <phoneticPr fontId="1" type="noConversion"/>
  </si>
  <si>
    <t>obs_day</t>
    <phoneticPr fontId="1" type="noConversion"/>
  </si>
  <si>
    <t>c_1</t>
    <phoneticPr fontId="1" type="noConversion"/>
  </si>
  <si>
    <t>p_1</t>
    <phoneticPr fontId="1" type="noConversion"/>
  </si>
  <si>
    <t>c_2</t>
    <phoneticPr fontId="1" type="noConversion"/>
  </si>
  <si>
    <t>p_2</t>
    <phoneticPr fontId="1" type="noConversion"/>
  </si>
  <si>
    <t>sim opt values</t>
    <phoneticPr fontId="1" type="noConversion"/>
  </si>
  <si>
    <t>sim st prices</t>
    <phoneticPr fontId="1" type="noConversion"/>
  </si>
  <si>
    <t>strd</t>
    <phoneticPr fontId="1" type="noConversion"/>
  </si>
  <si>
    <t>val c</t>
    <phoneticPr fontId="1" type="noConversion"/>
  </si>
  <si>
    <t>intermediate parameters</t>
    <phoneticPr fontId="1" type="noConversion"/>
  </si>
  <si>
    <t>val_p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</si>
</sst>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0"/>
      <color theme="1"/>
      <name val="宋体"/>
      <family val="2"/>
      <scheme val="minor"/>
    </font>
    <font>
      <b/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1" xfId="0" applyFont="1" applyBorder="1" applyAlignment="1">
      <alignment horizontal="center" vertical="top"/>
    </xf>
    <xf numFmtId="0" fontId="4" fillId="0" borderId="0" xfId="0" applyFont="1"/>
    <xf numFmtId="0" fontId="3" fillId="0" borderId="0" xfId="0" applyFont="1" applyFill="1" applyBorder="1" applyAlignment="1">
      <alignment horizontal="center" vertical="top"/>
    </xf>
    <xf numFmtId="0" fontId="3" fillId="0" borderId="1" xfId="0" applyFont="1" applyFill="1" applyBorder="1" applyAlignment="1">
      <alignment horizontal="center" vertical="top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4" fillId="4" borderId="0" xfId="0" applyFont="1" applyFill="1" applyAlignment="1">
      <alignment horizontal="center"/>
    </xf>
    <xf numFmtId="0" fontId="4" fillId="4" borderId="0" xfId="0" applyFont="1" applyFill="1"/>
    <xf numFmtId="0" fontId="4" fillId="5" borderId="0" xfId="0" applyFont="1" applyFill="1" applyAlignment="1">
      <alignment horizontal="center"/>
    </xf>
    <xf numFmtId="0" fontId="4" fillId="5" borderId="0" xfId="0" applyFont="1" applyFill="1"/>
    <xf numFmtId="0" fontId="4" fillId="6" borderId="0" xfId="0" applyFont="1" applyFill="1" applyAlignment="1">
      <alignment horizontal="center"/>
    </xf>
    <xf numFmtId="0" fontId="4" fillId="6" borderId="0" xfId="0" applyFont="1" applyFill="1"/>
    <xf numFmtId="0" fontId="4" fillId="2" borderId="1" xfId="0" applyFont="1" applyFill="1" applyBorder="1"/>
    <xf numFmtId="0" fontId="3" fillId="0" borderId="1" xfId="0" applyFont="1" applyBorder="1" applyAlignment="1">
      <alignment horizontal="center" vertical="top"/>
    </xf>
    <xf numFmtId="0" fontId="3" fillId="7" borderId="1" xfId="0" applyFont="1" applyFill="1" applyBorder="1" applyAlignment="1">
      <alignment horizontal="center" vertical="top"/>
    </xf>
    <xf numFmtId="0" fontId="4" fillId="7" borderId="1" xfId="0" applyFont="1" applyFill="1" applyBorder="1"/>
    <xf numFmtId="0" fontId="4" fillId="7" borderId="2" xfId="0" applyFont="1" applyFill="1" applyBorder="1" applyAlignment="1">
      <alignment horizontal="center"/>
    </xf>
    <xf numFmtId="0" fontId="4" fillId="8" borderId="1" xfId="0" applyFont="1" applyFill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W1143"/>
  <sheetViews>
    <sheetView tabSelected="1" workbookViewId="0">
      <selection activeCell="D16" sqref="D16"/>
    </sheetView>
  </sheetViews>
  <sheetFormatPr defaultRowHeight="12" x14ac:dyDescent="0.15"/>
  <cols>
    <col min="1" max="1" width="10.375" style="2" customWidth="1"/>
    <col min="2" max="2" width="9.125" style="2" customWidth="1"/>
    <col min="3" max="16384" width="9" style="2"/>
  </cols>
  <sheetData>
    <row r="1" spans="2:23" x14ac:dyDescent="0.15">
      <c r="T1" s="17" t="s">
        <v>42</v>
      </c>
      <c r="U1" s="17"/>
      <c r="V1" s="17"/>
      <c r="W1" s="17"/>
    </row>
    <row r="2" spans="2:23" x14ac:dyDescent="0.15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4" t="s">
        <v>41</v>
      </c>
      <c r="S2" s="14" t="s">
        <v>43</v>
      </c>
      <c r="T2" s="15" t="s">
        <v>18</v>
      </c>
      <c r="U2" s="15" t="s">
        <v>19</v>
      </c>
      <c r="V2" s="15" t="s">
        <v>20</v>
      </c>
      <c r="W2" s="15" t="s">
        <v>21</v>
      </c>
    </row>
    <row r="3" spans="2:23" x14ac:dyDescent="0.15">
      <c r="B3" s="13">
        <v>4016</v>
      </c>
      <c r="C3" s="13">
        <v>544</v>
      </c>
      <c r="D3" s="13">
        <v>2236</v>
      </c>
      <c r="E3" s="13">
        <v>1</v>
      </c>
      <c r="F3" s="13">
        <v>1.6</v>
      </c>
      <c r="G3" s="13">
        <v>0.5</v>
      </c>
      <c r="H3" s="13">
        <v>775</v>
      </c>
      <c r="I3" s="13">
        <f>30/365</f>
        <v>8.2191780821917804E-2</v>
      </c>
      <c r="J3" s="13">
        <v>1050</v>
      </c>
      <c r="K3" s="13">
        <v>0.12</v>
      </c>
      <c r="L3" s="13">
        <v>0.23</v>
      </c>
      <c r="M3" s="13">
        <v>0.12</v>
      </c>
      <c r="N3" s="13">
        <v>0.85</v>
      </c>
      <c r="O3" s="13">
        <v>0.85</v>
      </c>
      <c r="P3" s="13">
        <v>0.85</v>
      </c>
      <c r="Q3" s="13">
        <v>0</v>
      </c>
      <c r="R3" s="18">
        <f t="array" ref="R3:S3">Opt3Spd(B3:D3,E3:G3,K3:M3,N3:P3,H3,I3,Q3,J3)</f>
        <v>202.6288961277362</v>
      </c>
      <c r="S3" s="18">
        <v>2.889612773628869E-2</v>
      </c>
      <c r="T3" s="16">
        <f>SQRT((1-O3^2)/(1-N3^2-O3^2-P3^2+2*N3*O3*P3))</f>
        <v>2.1372648957412594</v>
      </c>
      <c r="U3" s="16">
        <f>K3/SQRT(250)</f>
        <v>7.5894663844041105E-3</v>
      </c>
      <c r="V3" s="16">
        <f t="shared" ref="V3:W3" si="0">L3/SQRT(250)</f>
        <v>1.4546477236774547E-2</v>
      </c>
      <c r="W3" s="16">
        <f t="shared" si="0"/>
        <v>7.5894663844041105E-3</v>
      </c>
    </row>
    <row r="4" spans="2:23" x14ac:dyDescent="0.15">
      <c r="B4" s="13">
        <v>4016</v>
      </c>
      <c r="C4" s="13">
        <v>544</v>
      </c>
      <c r="D4" s="13">
        <v>2236</v>
      </c>
      <c r="E4" s="13">
        <v>1</v>
      </c>
      <c r="F4" s="13">
        <v>1.6</v>
      </c>
      <c r="G4" s="13">
        <v>0.5</v>
      </c>
      <c r="H4" s="13">
        <v>1175</v>
      </c>
      <c r="I4" s="13">
        <f>30/365</f>
        <v>8.2191780821917804E-2</v>
      </c>
      <c r="J4" s="13">
        <v>1050</v>
      </c>
      <c r="K4" s="13">
        <v>0.12</v>
      </c>
      <c r="L4" s="13">
        <v>0.23</v>
      </c>
      <c r="M4" s="13">
        <v>0.12</v>
      </c>
      <c r="N4" s="13">
        <v>0.85</v>
      </c>
      <c r="O4" s="13">
        <v>0.85</v>
      </c>
      <c r="P4" s="13">
        <v>0.85</v>
      </c>
      <c r="Q4" s="13">
        <v>0</v>
      </c>
      <c r="R4" s="18">
        <f t="array" ref="R4:S4">Opt3Spd(B4:D4,E4:G4,K4:M4,N4:P4,H4,I4,Q4,J4)</f>
        <v>9.1295788572422154E-2</v>
      </c>
      <c r="S4" s="18">
        <v>197.4912957885725</v>
      </c>
      <c r="T4" s="16">
        <f>SQRT((1-O4^2)/(1-N4^2-O4^2-P4^2+2*N4*O4*P4))</f>
        <v>2.1372648957412594</v>
      </c>
      <c r="U4" s="16">
        <f>K4/SQRT(250)</f>
        <v>7.5894663844041105E-3</v>
      </c>
      <c r="V4" s="16">
        <f t="shared" ref="V4" si="1">L4/SQRT(250)</f>
        <v>1.4546477236774547E-2</v>
      </c>
      <c r="W4" s="16">
        <f t="shared" ref="W4" si="2">M4/SQRT(250)</f>
        <v>7.5894663844041105E-3</v>
      </c>
    </row>
    <row r="5" spans="2:23" x14ac:dyDescent="0.15">
      <c r="B5" s="3"/>
    </row>
    <row r="6" spans="2:23" x14ac:dyDescent="0.15">
      <c r="B6" s="4" t="s">
        <v>33</v>
      </c>
      <c r="C6" s="13">
        <v>3</v>
      </c>
      <c r="D6" s="4" t="s">
        <v>17</v>
      </c>
      <c r="E6" s="13">
        <v>0.98</v>
      </c>
      <c r="F6" s="4" t="s">
        <v>32</v>
      </c>
      <c r="G6" s="18">
        <f ca="1">_xlfn.PERCENTILE.EXC(O10:O1143,E6)</f>
        <v>1.1529724367961798</v>
      </c>
    </row>
    <row r="7" spans="2:23" x14ac:dyDescent="0.15">
      <c r="B7" s="3"/>
    </row>
    <row r="8" spans="2:23" x14ac:dyDescent="0.15">
      <c r="B8" s="5" t="s">
        <v>0</v>
      </c>
      <c r="C8" s="5"/>
      <c r="D8" s="5"/>
      <c r="E8" s="7" t="s">
        <v>28</v>
      </c>
      <c r="F8" s="7"/>
      <c r="G8" s="7"/>
      <c r="H8" s="9" t="s">
        <v>39</v>
      </c>
      <c r="I8" s="9"/>
      <c r="J8" s="9"/>
      <c r="K8" s="11" t="s">
        <v>38</v>
      </c>
      <c r="L8" s="11"/>
      <c r="M8" s="11"/>
      <c r="N8" s="11"/>
      <c r="O8" s="11"/>
    </row>
    <row r="9" spans="2:23" x14ac:dyDescent="0.15">
      <c r="B9" s="6" t="s">
        <v>25</v>
      </c>
      <c r="C9" s="6" t="s">
        <v>26</v>
      </c>
      <c r="D9" s="6" t="s">
        <v>27</v>
      </c>
      <c r="E9" s="8" t="s">
        <v>29</v>
      </c>
      <c r="F9" s="8" t="s">
        <v>30</v>
      </c>
      <c r="G9" s="8" t="s">
        <v>31</v>
      </c>
      <c r="H9" s="10" t="s">
        <v>22</v>
      </c>
      <c r="I9" s="10" t="s">
        <v>23</v>
      </c>
      <c r="J9" s="10" t="s">
        <v>24</v>
      </c>
      <c r="K9" s="12" t="s">
        <v>34</v>
      </c>
      <c r="L9" s="12" t="s">
        <v>35</v>
      </c>
      <c r="M9" s="12" t="s">
        <v>36</v>
      </c>
      <c r="N9" s="12" t="s">
        <v>37</v>
      </c>
      <c r="O9" s="12" t="s">
        <v>40</v>
      </c>
    </row>
    <row r="10" spans="2:23" x14ac:dyDescent="0.15">
      <c r="B10" s="6">
        <f ca="1">NORMINV(RAND(),0,1)</f>
        <v>-0.87716813968232399</v>
      </c>
      <c r="C10" s="6">
        <f t="shared" ref="C10:D25" ca="1" si="3">NORMINV(RAND(),0,1)</f>
        <v>-0.35086647060493537</v>
      </c>
      <c r="D10" s="6">
        <f t="shared" ca="1" si="3"/>
        <v>0.6270302707784412</v>
      </c>
      <c r="E10" s="8">
        <f ca="1">B10*$U$3*$C$6</f>
        <v>-1.9971714328767862E-2</v>
      </c>
      <c r="F10" s="8">
        <f ca="1">($N$3*B10+C10*SQRT(1-$N$3^2))*$V$3*$C$6</f>
        <v>-4.0603144110873415E-2</v>
      </c>
      <c r="G10" s="8">
        <f ca="1">(D10/$T$3+($P$3-$N$3*$O$3)*C10+$O$3*B10*SQRT(1/(1-$N$3^2)))*$W$3*$C$6</f>
        <v>-2.6564498565145606E-2</v>
      </c>
      <c r="H10" s="10">
        <f ca="1">B$3*(1+E10)</f>
        <v>3935.7935952556682</v>
      </c>
      <c r="I10" s="10">
        <f t="shared" ref="I10:J10" ca="1" si="4">C$3*(1+F10)</f>
        <v>521.91188960368481</v>
      </c>
      <c r="J10" s="10">
        <f t="shared" ca="1" si="4"/>
        <v>2176.6017812083342</v>
      </c>
      <c r="K10" s="12">
        <f t="array" aca="1" ref="K10:L10" ca="1">Opt3Spd(H10:J10,$E$3:$G$3,$K$3:$M$3,$N$3:$P$3,$H$3,$I$3,$Q$3,$J$3)</f>
        <v>187.48978297047302</v>
      </c>
      <c r="L10" s="12">
        <f ca="1"/>
        <v>5.6101684867826407E-2</v>
      </c>
      <c r="M10" s="12">
        <f t="array" aca="1" ref="M10:N10" ca="1">Opt3Spd(H10:J10,$E$3:$G$3,$K$3:$M$3,$N$3:$P$3,$H$4,$I$3,$Q$3,$J$3)</f>
        <v>4.2287648040479908E-2</v>
      </c>
      <c r="N10" s="12">
        <f ca="1"/>
        <v>212.6086063624353</v>
      </c>
      <c r="O10" s="12">
        <f ca="1">L10+M10</f>
        <v>9.8389332908306315E-2</v>
      </c>
    </row>
    <row r="11" spans="2:23" x14ac:dyDescent="0.15">
      <c r="B11" s="6">
        <f t="shared" ref="B11:D74" ca="1" si="5">NORMINV(RAND(),0,1)</f>
        <v>0.1588773063491441</v>
      </c>
      <c r="C11" s="6">
        <f t="shared" ca="1" si="3"/>
        <v>0.515880241080233</v>
      </c>
      <c r="D11" s="6">
        <f t="shared" ca="1" si="3"/>
        <v>-0.22001314753673795</v>
      </c>
      <c r="E11" s="8">
        <f t="shared" ref="E11:E74" ca="1" si="6">B11*$U$3*$C$6</f>
        <v>3.6173819273445087E-3</v>
      </c>
      <c r="F11" s="8">
        <f t="shared" ref="F11:F74" ca="1" si="7">($N$3*B11+C11*SQRT(1-$N$3^2))*$V$3*$C$6</f>
        <v>1.7752629494807298E-2</v>
      </c>
      <c r="G11" s="8">
        <f t="shared" ref="G11:G74" ca="1" si="8">(D11/$T$3+($P$3-$N$3*$O$3)*C11+$O$3*B11*SQRT(1/(1-$N$3^2)))*$W$3*$C$6</f>
        <v>4.9906671652330857E-3</v>
      </c>
      <c r="H11" s="10">
        <f t="shared" ref="H11:H74" ca="1" si="9">B$3*(1+E11)</f>
        <v>4030.5274058202149</v>
      </c>
      <c r="I11" s="10">
        <f t="shared" ref="I11:I74" ca="1" si="10">C$3*(1+F11)</f>
        <v>553.65743044517524</v>
      </c>
      <c r="J11" s="10">
        <f t="shared" ref="J11:J74" ca="1" si="11">D$3*(1+G11)</f>
        <v>2247.1591317814614</v>
      </c>
      <c r="K11" s="12">
        <f t="array" aca="1" ref="K11:L11" ca="1">Opt3Spd(H11:J11,$E$3:$G$3,$K$3:$M$3,$N$3:$P$3,$H$3,$I$3,$Q$3,$J$3)</f>
        <v>196.13650519151133</v>
      </c>
      <c r="L11" s="12">
        <f ca="1"/>
        <v>4.0553974307613316E-2</v>
      </c>
      <c r="M11" s="12">
        <f t="array" aca="1" ref="M11:N11" ca="1">Opt3Spd(H11:J11,$E$3:$G$3,$K$3:$M$3,$N$3:$P$3,$H$4,$I$3,$Q$3,$J$3)</f>
        <v>6.8701724589027791E-2</v>
      </c>
      <c r="N11" s="12">
        <f ca="1"/>
        <v>203.97275050738531</v>
      </c>
      <c r="O11" s="12">
        <f t="shared" ref="O11:O74" ca="1" si="12">L11+M11</f>
        <v>0.10925569889664111</v>
      </c>
    </row>
    <row r="12" spans="2:23" x14ac:dyDescent="0.15">
      <c r="B12" s="6">
        <f t="shared" ca="1" si="5"/>
        <v>2.0860939808481533</v>
      </c>
      <c r="C12" s="6">
        <f t="shared" ca="1" si="3"/>
        <v>-0.71324292209028661</v>
      </c>
      <c r="D12" s="6">
        <f t="shared" ca="1" si="3"/>
        <v>0.39343757316573241</v>
      </c>
      <c r="E12" s="8">
        <f t="shared" ca="1" si="6"/>
        <v>4.749702042706444E-2</v>
      </c>
      <c r="F12" s="8">
        <f t="shared" ca="1" si="7"/>
        <v>6.098417958288592E-2</v>
      </c>
      <c r="G12" s="8">
        <f t="shared" ca="1" si="8"/>
        <v>7.8760488830969561E-2</v>
      </c>
      <c r="H12" s="10">
        <f t="shared" ca="1" si="9"/>
        <v>4206.7480340350903</v>
      </c>
      <c r="I12" s="10">
        <f t="shared" ca="1" si="10"/>
        <v>577.17539369308986</v>
      </c>
      <c r="J12" s="10">
        <f t="shared" ca="1" si="11"/>
        <v>2412.1084530260482</v>
      </c>
      <c r="K12" s="12">
        <f t="array" aca="1" ref="K12:L12" ca="1">Opt3Spd(H12:J12,$E$3:$G$3,$K$3:$M$3,$N$3:$P$3,$H$3,$I$3,$Q$3,$J$3)</f>
        <v>252.21590993626342</v>
      </c>
      <c r="L12" s="12">
        <f ca="1"/>
        <v>2.7323231406626292E-3</v>
      </c>
      <c r="M12" s="12">
        <f t="array" aca="1" ref="M12:N12" ca="1">Opt3Spd(H12:J12,$E$3:$G$3,$K$3:$M$3,$N$3:$P$3,$H$4,$I$3,$Q$3,$J$3)</f>
        <v>0.76221829284406084</v>
      </c>
      <c r="N12" s="12">
        <f ca="1"/>
        <v>148.54904067972132</v>
      </c>
      <c r="O12" s="12">
        <f t="shared" ca="1" si="12"/>
        <v>0.76495061598472347</v>
      </c>
    </row>
    <row r="13" spans="2:23" x14ac:dyDescent="0.15">
      <c r="B13" s="6">
        <f t="shared" ca="1" si="5"/>
        <v>-0.11226620040230868</v>
      </c>
      <c r="C13" s="6">
        <f t="shared" ca="1" si="3"/>
        <v>1.2101432316110334</v>
      </c>
      <c r="D13" s="6">
        <f t="shared" ca="1" si="3"/>
        <v>0.17086283070260064</v>
      </c>
      <c r="E13" s="8">
        <f t="shared" ca="1" si="6"/>
        <v>-2.5561216621742908E-3</v>
      </c>
      <c r="F13" s="8">
        <f t="shared" ca="1" si="7"/>
        <v>2.3655025991028839E-2</v>
      </c>
      <c r="G13" s="8">
        <f t="shared" ca="1" si="8"/>
        <v>1.2087439697014606E-3</v>
      </c>
      <c r="H13" s="10">
        <f t="shared" ca="1" si="9"/>
        <v>4005.7346154047077</v>
      </c>
      <c r="I13" s="10">
        <f t="shared" ca="1" si="10"/>
        <v>556.86833413911972</v>
      </c>
      <c r="J13" s="10">
        <f t="shared" ca="1" si="11"/>
        <v>2238.7027515162526</v>
      </c>
      <c r="K13" s="12">
        <f t="array" aca="1" ref="K13:L13" ca="1">Opt3Spd(H13:J13,$E$3:$G$3,$K$3:$M$3,$N$3:$P$3,$H$3,$I$3,$Q$3,$J$3)</f>
        <v>170.52687460143716</v>
      </c>
      <c r="L13" s="12">
        <f ca="1"/>
        <v>0.13296957744751126</v>
      </c>
      <c r="M13" s="12">
        <f t="array" aca="1" ref="M13:N13" ca="1">Opt3Spd(H13:J13,$E$3:$G$3,$K$3:$M$3,$N$3:$P$3,$H$4,$I$3,$Q$3,$J$3)</f>
        <v>1.9501889736963207E-2</v>
      </c>
      <c r="N13" s="12">
        <f ca="1"/>
        <v>229.62559686574733</v>
      </c>
      <c r="O13" s="12">
        <f t="shared" ca="1" si="12"/>
        <v>0.15247146718447446</v>
      </c>
    </row>
    <row r="14" spans="2:23" x14ac:dyDescent="0.15">
      <c r="B14" s="6">
        <f t="shared" ca="1" si="5"/>
        <v>0.52500468636657149</v>
      </c>
      <c r="C14" s="6">
        <f t="shared" ca="1" si="3"/>
        <v>-1.8848944334930469</v>
      </c>
      <c r="D14" s="6">
        <f t="shared" ca="1" si="3"/>
        <v>-1.4587091766557552</v>
      </c>
      <c r="E14" s="8">
        <f t="shared" ca="1" si="6"/>
        <v>1.1953516256501151E-2</v>
      </c>
      <c r="F14" s="8">
        <f t="shared" ca="1" si="7"/>
        <v>-2.3856620028022399E-2</v>
      </c>
      <c r="G14" s="8">
        <f t="shared" ca="1" si="8"/>
        <v>-1.7236834499292928E-3</v>
      </c>
      <c r="H14" s="10">
        <f t="shared" ca="1" si="9"/>
        <v>4064.0053212861089</v>
      </c>
      <c r="I14" s="10">
        <f t="shared" ca="1" si="10"/>
        <v>531.02199870475579</v>
      </c>
      <c r="J14" s="10">
        <f t="shared" ca="1" si="11"/>
        <v>2232.1458438059581</v>
      </c>
      <c r="K14" s="12">
        <f t="array" aca="1" ref="K14:L14" ca="1">Opt3Spd(H14:J14,$E$3:$G$3,$K$3:$M$3,$N$3:$P$3,$H$3,$I$3,$Q$3,$J$3)</f>
        <v>273.29776579692157</v>
      </c>
      <c r="L14" s="12">
        <f ca="1"/>
        <v>5.6434140083183593E-4</v>
      </c>
      <c r="M14" s="12">
        <f t="array" aca="1" ref="M14:N14" ca="1">Opt3Spd(H14:J14,$E$3:$G$3,$K$3:$M$3,$N$3:$P$3,$H$4,$I$3,$Q$3,$J$3)</f>
        <v>1.4315301573140147</v>
      </c>
      <c r="N14" s="12">
        <f ca="1"/>
        <v>128.13432870179327</v>
      </c>
      <c r="O14" s="12">
        <f t="shared" ca="1" si="12"/>
        <v>1.4320944987148465</v>
      </c>
    </row>
    <row r="15" spans="2:23" x14ac:dyDescent="0.15">
      <c r="B15" s="6">
        <f t="shared" ca="1" si="5"/>
        <v>1.1001274146008009</v>
      </c>
      <c r="C15" s="6">
        <f t="shared" ca="1" si="3"/>
        <v>-8.9318975718735538E-2</v>
      </c>
      <c r="D15" s="6">
        <f ca="1">NORMINV(RAND(),0,1)</f>
        <v>1.5818109076628286</v>
      </c>
      <c r="E15" s="8">
        <f t="shared" ca="1" si="6"/>
        <v>2.5048140095022549E-2</v>
      </c>
      <c r="F15" s="8">
        <f t="shared" ca="1" si="7"/>
        <v>3.875428588841795E-2</v>
      </c>
      <c r="G15" s="8">
        <f t="shared" ca="1" si="8"/>
        <v>5.7008719392321411E-2</v>
      </c>
      <c r="H15" s="10">
        <f t="shared" ca="1" si="9"/>
        <v>4116.5933306216111</v>
      </c>
      <c r="I15" s="10">
        <f t="shared" ca="1" si="10"/>
        <v>565.08233152329944</v>
      </c>
      <c r="J15" s="10">
        <f t="shared" ca="1" si="11"/>
        <v>2363.4714965612307</v>
      </c>
      <c r="K15" s="12">
        <f t="array" aca="1" ref="K15:L15" ca="1">Opt3Spd(H15:J15,$E$3:$G$3,$K$3:$M$3,$N$3:$P$3,$H$3,$I$3,$Q$3,$J$3)</f>
        <v>205.75484571133802</v>
      </c>
      <c r="L15" s="12">
        <f ca="1"/>
        <v>2.8993807621418455E-2</v>
      </c>
      <c r="M15" s="12">
        <f t="array" aca="1" ref="M15:N15" ca="1">Opt3Spd(H15:J15,$E$3:$G$3,$K$3:$M$3,$N$3:$P$3,$H$4,$I$3,$Q$3,$J$3)</f>
        <v>0.11728200876198258</v>
      </c>
      <c r="N15" s="12">
        <f ca="1"/>
        <v>194.39143010504537</v>
      </c>
      <c r="O15" s="12">
        <f t="shared" ca="1" si="12"/>
        <v>0.14627581638340104</v>
      </c>
    </row>
    <row r="16" spans="2:23" x14ac:dyDescent="0.15">
      <c r="B16" s="6">
        <f t="shared" ca="1" si="5"/>
        <v>0.68173008910356825</v>
      </c>
      <c r="C16" s="6">
        <f t="shared" ca="1" si="3"/>
        <v>-0.7907195643306788</v>
      </c>
      <c r="D16" s="6">
        <f t="shared" ca="1" si="3"/>
        <v>0.21584645643306066</v>
      </c>
      <c r="E16" s="8">
        <f t="shared" ca="1" si="6"/>
        <v>1.552190278346505E-2</v>
      </c>
      <c r="F16" s="8">
        <f t="shared" ca="1" si="7"/>
        <v>7.1103121879021146E-3</v>
      </c>
      <c r="G16" s="8">
        <f t="shared" ca="1" si="8"/>
        <v>2.5049642990105498E-2</v>
      </c>
      <c r="H16" s="10">
        <f t="shared" ca="1" si="9"/>
        <v>4078.3359615783952</v>
      </c>
      <c r="I16" s="10">
        <f t="shared" ca="1" si="10"/>
        <v>547.86800983021874</v>
      </c>
      <c r="J16" s="10">
        <f t="shared" ca="1" si="11"/>
        <v>2292.0110017258758</v>
      </c>
      <c r="K16" s="12">
        <f t="array" aca="1" ref="K16:L16" ca="1">Opt3Spd(H16:J16,$E$3:$G$3,$K$3:$M$3,$N$3:$P$3,$H$3,$I$3,$Q$3,$J$3)</f>
        <v>230.74887938960683</v>
      </c>
      <c r="L16" s="12">
        <f ca="1"/>
        <v>7.2344024997619272E-3</v>
      </c>
      <c r="M16" s="12">
        <f t="array" aca="1" ref="M16:N16" ca="1">Opt3Spd(H16:J16,$E$3:$G$3,$K$3:$M$3,$N$3:$P$3,$H$4,$I$3,$Q$3,$J$3)</f>
        <v>0.31450808519955231</v>
      </c>
      <c r="N16" s="12">
        <f ca="1"/>
        <v>169.57286309809248</v>
      </c>
      <c r="O16" s="12">
        <f t="shared" ca="1" si="12"/>
        <v>0.32174248769931424</v>
      </c>
    </row>
    <row r="17" spans="2:15" x14ac:dyDescent="0.15">
      <c r="B17" s="6">
        <f t="shared" ca="1" si="5"/>
        <v>-0.57806896394697949</v>
      </c>
      <c r="C17" s="6">
        <f t="shared" ca="1" si="3"/>
        <v>-1.1301757213991468</v>
      </c>
      <c r="D17" s="6">
        <f t="shared" ca="1" si="3"/>
        <v>-3.5000911143968243</v>
      </c>
      <c r="E17" s="8">
        <f t="shared" ca="1" si="6"/>
        <v>-1.3161704909228737E-2</v>
      </c>
      <c r="F17" s="8">
        <f t="shared" ca="1" si="7"/>
        <v>-4.7423652235121933E-2</v>
      </c>
      <c r="G17" s="8">
        <f t="shared" ca="1" si="8"/>
        <v>-6.1804841858544818E-2</v>
      </c>
      <c r="H17" s="10">
        <f t="shared" ca="1" si="9"/>
        <v>3963.1425930845376</v>
      </c>
      <c r="I17" s="10">
        <f t="shared" ca="1" si="10"/>
        <v>518.20153318409371</v>
      </c>
      <c r="J17" s="10">
        <f t="shared" ca="1" si="11"/>
        <v>2097.8043736042937</v>
      </c>
      <c r="K17" s="12">
        <f t="array" aca="1" ref="K17:L17" ca="1">Opt3Spd(H17:J17,$E$3:$G$3,$K$3:$M$3,$N$3:$P$3,$H$3,$I$3,$Q$3,$J$3)</f>
        <v>260.11895074577774</v>
      </c>
      <c r="L17" s="12">
        <f ca="1"/>
        <v>9.9755793712574814E-4</v>
      </c>
      <c r="M17" s="12">
        <f t="array" aca="1" ref="M17:N17" ca="1">Opt3Spd(H17:J17,$E$3:$G$3,$K$3:$M$3,$N$3:$P$3,$H$4,$I$3,$Q$3,$J$3)</f>
        <v>0.85425111787147046</v>
      </c>
      <c r="N17" s="12">
        <f ca="1"/>
        <v>140.73629793003084</v>
      </c>
      <c r="O17" s="12">
        <f t="shared" ca="1" si="12"/>
        <v>0.8552486758085962</v>
      </c>
    </row>
    <row r="18" spans="2:15" x14ac:dyDescent="0.15">
      <c r="B18" s="6">
        <f t="shared" ca="1" si="5"/>
        <v>-0.37973826142150741</v>
      </c>
      <c r="C18" s="6">
        <f t="shared" ca="1" si="3"/>
        <v>1.5858096255612371</v>
      </c>
      <c r="D18" s="6">
        <f t="shared" ca="1" si="3"/>
        <v>-1.4368577999182466</v>
      </c>
      <c r="E18" s="8">
        <f t="shared" ca="1" si="6"/>
        <v>-8.6460323097917718E-3</v>
      </c>
      <c r="F18" s="8">
        <f t="shared" ca="1" si="7"/>
        <v>2.2369552377695043E-2</v>
      </c>
      <c r="G18" s="8">
        <f t="shared" ca="1" si="8"/>
        <v>-2.4654331279024066E-2</v>
      </c>
      <c r="H18" s="10">
        <f t="shared" ca="1" si="9"/>
        <v>3981.2775342438763</v>
      </c>
      <c r="I18" s="10">
        <f t="shared" ca="1" si="10"/>
        <v>556.16903649346614</v>
      </c>
      <c r="J18" s="10">
        <f t="shared" ca="1" si="11"/>
        <v>2180.8729152601022</v>
      </c>
      <c r="K18" s="12">
        <f t="array" aca="1" ref="K18:L18" ca="1">Opt3Spd(H18:J18,$E$3:$G$3,$K$3:$M$3,$N$3:$P$3,$H$3,$I$3,$Q$3,$J$3)</f>
        <v>176.06898339181771</v>
      </c>
      <c r="L18" s="12">
        <f ca="1"/>
        <v>9.836516753853175E-2</v>
      </c>
      <c r="M18" s="12">
        <f t="array" aca="1" ref="M18:N18" ca="1">Opt3Spd(H18:J18,$E$3:$G$3,$K$3:$M$3,$N$3:$P$3,$H$4,$I$3,$Q$3,$J$3)</f>
        <v>2.4365235310503941E-2</v>
      </c>
      <c r="N18" s="12">
        <f ca="1"/>
        <v>224.05374701103133</v>
      </c>
      <c r="O18" s="12">
        <f t="shared" ca="1" si="12"/>
        <v>0.12273040284903569</v>
      </c>
    </row>
    <row r="19" spans="2:15" x14ac:dyDescent="0.15">
      <c r="B19" s="6">
        <f t="shared" ca="1" si="5"/>
        <v>-0.68633200660551585</v>
      </c>
      <c r="C19" s="6">
        <f t="shared" ca="1" si="3"/>
        <v>-1.0502901512697342</v>
      </c>
      <c r="D19" s="6">
        <f t="shared" ca="1" si="3"/>
        <v>0.89470227469866448</v>
      </c>
      <c r="E19" s="8">
        <f t="shared" ca="1" si="6"/>
        <v>-1.5626681078019549E-2</v>
      </c>
      <c r="F19" s="8">
        <f t="shared" ca="1" si="7"/>
        <v>-4.9603060044309547E-2</v>
      </c>
      <c r="G19" s="8">
        <f t="shared" ca="1" si="8"/>
        <v>-1.8732371550259877E-2</v>
      </c>
      <c r="H19" s="10">
        <f t="shared" ca="1" si="9"/>
        <v>3953.2432487906735</v>
      </c>
      <c r="I19" s="10">
        <f t="shared" ca="1" si="10"/>
        <v>517.01593533589562</v>
      </c>
      <c r="J19" s="10">
        <f ca="1">D$3*(1+G19)</f>
        <v>2194.1144172136192</v>
      </c>
      <c r="K19" s="12">
        <f t="array" aca="1" ref="K19:L19" ca="1">Opt3Spd(H19:J19,$E$3:$G$3,$K$3:$M$3,$N$3:$P$3,$H$3,$I$3,$Q$3,$J$3)</f>
        <v>203.98589621233373</v>
      </c>
      <c r="L19" s="12">
        <f ca="1"/>
        <v>2.5352565902949209E-2</v>
      </c>
      <c r="M19" s="12">
        <f t="array" aca="1" ref="M19:N19" ca="1">Opt3Spd(H19:J19,$E$3:$G$3,$K$3:$M$3,$N$3:$P$3,$H$4,$I$3,$Q$3,$J$3)</f>
        <v>9.3247935241612012E-2</v>
      </c>
      <c r="N19" s="12">
        <f ca="1"/>
        <v>196.13270428881083</v>
      </c>
      <c r="O19" s="12">
        <f t="shared" ca="1" si="12"/>
        <v>0.11860050114456122</v>
      </c>
    </row>
    <row r="20" spans="2:15" x14ac:dyDescent="0.15">
      <c r="B20" s="6">
        <f t="shared" ca="1" si="5"/>
        <v>0.26495539683438052</v>
      </c>
      <c r="C20" s="6">
        <f t="shared" ca="1" si="3"/>
        <v>-0.82489093587864026</v>
      </c>
      <c r="D20" s="6">
        <f t="shared" ca="1" si="3"/>
        <v>-1.729623726569917</v>
      </c>
      <c r="E20" s="8">
        <f t="shared" ca="1" si="6"/>
        <v>6.0326102329229473E-3</v>
      </c>
      <c r="F20" s="8">
        <f t="shared" ca="1" si="7"/>
        <v>-9.1348754022278628E-3</v>
      </c>
      <c r="G20" s="8">
        <f t="shared" ca="1" si="8"/>
        <v>-1.1086379583204024E-2</v>
      </c>
      <c r="H20" s="10">
        <f t="shared" ca="1" si="9"/>
        <v>4040.2269626954185</v>
      </c>
      <c r="I20" s="10">
        <f t="shared" ca="1" si="10"/>
        <v>539.03062778118806</v>
      </c>
      <c r="J20" s="10">
        <f t="shared" ca="1" si="11"/>
        <v>2211.2108552519558</v>
      </c>
      <c r="K20" s="12">
        <f t="array" aca="1" ref="K20:L20" ca="1">Opt3Spd(H20:J20,$E$3:$G$3,$K$3:$M$3,$N$3:$P$3,$H$3,$I$3,$Q$3,$J$3)</f>
        <v>247.17511074004847</v>
      </c>
      <c r="L20" s="12">
        <f ca="1"/>
        <v>2.580120508582695E-3</v>
      </c>
      <c r="M20" s="12">
        <f t="array" aca="1" ref="M20:N20" ca="1">Opt3Spd(H20:J20,$E$3:$G$3,$K$3:$M$3,$N$3:$P$3,$H$4,$I$3,$Q$3,$J$3)</f>
        <v>0.5644544359573942</v>
      </c>
      <c r="N20" s="12">
        <f ca="1"/>
        <v>153.39192381641752</v>
      </c>
      <c r="O20" s="12">
        <f t="shared" ca="1" si="12"/>
        <v>0.56703455646597689</v>
      </c>
    </row>
    <row r="21" spans="2:15" x14ac:dyDescent="0.15">
      <c r="B21" s="6">
        <f t="shared" ca="1" si="5"/>
        <v>0.59139757985162211</v>
      </c>
      <c r="C21" s="6">
        <f t="shared" ca="1" si="3"/>
        <v>-0.51751579388984903</v>
      </c>
      <c r="D21" s="6">
        <f t="shared" ca="1" si="3"/>
        <v>1.6553542798950125</v>
      </c>
      <c r="E21" s="8">
        <f t="shared" ca="1" si="6"/>
        <v>1.3465176156305495E-2</v>
      </c>
      <c r="F21" s="8">
        <f t="shared" ca="1" si="7"/>
        <v>1.0040105815413206E-2</v>
      </c>
      <c r="G21" s="8">
        <f t="shared" ca="1" si="8"/>
        <v>3.7859231213786274E-2</v>
      </c>
      <c r="H21" s="10">
        <f t="shared" ca="1" si="9"/>
        <v>4070.0761474437231</v>
      </c>
      <c r="I21" s="10">
        <f t="shared" ca="1" si="10"/>
        <v>549.46181756358476</v>
      </c>
      <c r="J21" s="10">
        <f t="shared" ca="1" si="11"/>
        <v>2320.653240994026</v>
      </c>
      <c r="K21" s="12">
        <f t="array" aca="1" ref="K21:L21" ca="1">Opt3Spd(H21:J21,$E$3:$G$3,$K$3:$M$3,$N$3:$P$3,$H$3,$I$3,$Q$3,$J$3)</f>
        <v>205.63803134572504</v>
      </c>
      <c r="L21" s="12">
        <f ca="1"/>
        <v>2.7412500750415347E-2</v>
      </c>
      <c r="M21" s="12">
        <f t="array" aca="1" ref="M21:N21" ca="1">Opt3Spd(H21:J21,$E$3:$G$3,$K$3:$M$3,$N$3:$P$3,$H$4,$I$3,$Q$3,$J$3)</f>
        <v>0.11205824220661142</v>
      </c>
      <c r="N21" s="12">
        <f ca="1"/>
        <v>194.50143939723199</v>
      </c>
      <c r="O21" s="12">
        <f t="shared" ca="1" si="12"/>
        <v>0.13947074295702677</v>
      </c>
    </row>
    <row r="22" spans="2:15" x14ac:dyDescent="0.15">
      <c r="B22" s="6">
        <f t="shared" ca="1" si="5"/>
        <v>1.577663854847869</v>
      </c>
      <c r="C22" s="6">
        <f t="shared" ca="1" si="3"/>
        <v>-1.7476735355500657</v>
      </c>
      <c r="D22" s="6">
        <f t="shared" ca="1" si="3"/>
        <v>2.3467525742693987</v>
      </c>
      <c r="E22" s="8">
        <f t="shared" ca="1" si="6"/>
        <v>3.5920880376771921E-2</v>
      </c>
      <c r="F22" s="8">
        <f t="shared" ca="1" si="7"/>
        <v>1.834471290224016E-2</v>
      </c>
      <c r="G22" s="8">
        <f t="shared" ca="1" si="8"/>
        <v>7.788744178242378E-2</v>
      </c>
      <c r="H22" s="10">
        <f t="shared" ca="1" si="9"/>
        <v>4160.2582555931158</v>
      </c>
      <c r="I22" s="10">
        <f t="shared" ca="1" si="10"/>
        <v>553.97952381881873</v>
      </c>
      <c r="J22" s="10">
        <f t="shared" ca="1" si="11"/>
        <v>2410.1563198254994</v>
      </c>
      <c r="K22" s="12">
        <f t="array" aca="1" ref="K22:L22" ca="1">Opt3Spd(H22:J22,$E$3:$G$3,$K$3:$M$3,$N$3:$P$3,$H$3,$I$3,$Q$3,$J$3)</f>
        <v>243.81706183948131</v>
      </c>
      <c r="L22" s="12">
        <f ca="1"/>
        <v>4.2042692255108705E-3</v>
      </c>
      <c r="M22" s="12">
        <f t="array" aca="1" ref="M22:N22" ca="1">Opt3Spd(H22:J22,$E$3:$G$3,$K$3:$M$3,$N$3:$P$3,$H$4,$I$3,$Q$3,$J$3)</f>
        <v>0.55815619970233854</v>
      </c>
      <c r="N22" s="12">
        <f ca="1"/>
        <v>156.74529862944655</v>
      </c>
      <c r="O22" s="12">
        <f t="shared" ca="1" si="12"/>
        <v>0.56236046892784941</v>
      </c>
    </row>
    <row r="23" spans="2:15" x14ac:dyDescent="0.15">
      <c r="B23" s="6">
        <f t="shared" ca="1" si="5"/>
        <v>0.60436542889682632</v>
      </c>
      <c r="C23" s="6">
        <f t="shared" ca="1" si="3"/>
        <v>-1.0927155552721914</v>
      </c>
      <c r="D23" s="6">
        <f t="shared" ca="1" si="3"/>
        <v>-1.009955436248589</v>
      </c>
      <c r="E23" s="8">
        <f t="shared" ca="1" si="6"/>
        <v>1.3760433319525308E-2</v>
      </c>
      <c r="F23" s="8">
        <f t="shared" ca="1" si="7"/>
        <v>-2.7018491161858128E-3</v>
      </c>
      <c r="G23" s="8">
        <f t="shared" ca="1" si="8"/>
        <v>8.272171396096574E-3</v>
      </c>
      <c r="H23" s="10">
        <f t="shared" ca="1" si="9"/>
        <v>4071.2619002112137</v>
      </c>
      <c r="I23" s="10">
        <f t="shared" ca="1" si="10"/>
        <v>542.5301940807949</v>
      </c>
      <c r="J23" s="10">
        <f t="shared" ca="1" si="11"/>
        <v>2254.496575241672</v>
      </c>
      <c r="K23" s="12">
        <f t="array" aca="1" ref="K23:L23" ca="1">Opt3Spd(H23:J23,$E$3:$G$3,$K$3:$M$3,$N$3:$P$3,$H$3,$I$3,$Q$3,$J$3)</f>
        <v>250.96752329435412</v>
      </c>
      <c r="L23" s="12">
        <f ca="1"/>
        <v>2.2212332482922648E-3</v>
      </c>
      <c r="M23" s="12">
        <f t="array" aca="1" ref="M23:N23" ca="1">Opt3Spd(H23:J23,$E$3:$G$3,$K$3:$M$3,$N$3:$P$3,$H$4,$I$3,$Q$3,$J$3)</f>
        <v>0.66534835846508145</v>
      </c>
      <c r="N23" s="12">
        <f ca="1"/>
        <v>149.70004629735925</v>
      </c>
      <c r="O23" s="12">
        <f t="shared" ca="1" si="12"/>
        <v>0.66756959171337371</v>
      </c>
    </row>
    <row r="24" spans="2:15" x14ac:dyDescent="0.15">
      <c r="B24" s="6">
        <f t="shared" ca="1" si="5"/>
        <v>0.61339049367365528</v>
      </c>
      <c r="C24" s="6">
        <f t="shared" ca="1" si="3"/>
        <v>-0.95628388465691128</v>
      </c>
      <c r="D24" s="6">
        <f t="shared" ca="1" si="3"/>
        <v>0.80096695962441533</v>
      </c>
      <c r="E24" s="8">
        <f t="shared" ca="1" si="6"/>
        <v>1.3965919596747745E-2</v>
      </c>
      <c r="F24" s="8">
        <f t="shared" ca="1" si="7"/>
        <v>7.6928134462447839E-4</v>
      </c>
      <c r="G24" s="8">
        <f t="shared" ca="1" si="8"/>
        <v>2.8291649524280989E-2</v>
      </c>
      <c r="H24" s="10">
        <f t="shared" ca="1" si="9"/>
        <v>4072.0871331005387</v>
      </c>
      <c r="I24" s="10">
        <f t="shared" ca="1" si="10"/>
        <v>544.41848905147572</v>
      </c>
      <c r="J24" s="10">
        <f t="shared" ca="1" si="11"/>
        <v>2299.2601283362924</v>
      </c>
      <c r="K24" s="12">
        <f t="array" aca="1" ref="K24:L24" ca="1">Opt3Spd(H24:J24,$E$3:$G$3,$K$3:$M$3,$N$3:$P$3,$H$3,$I$3,$Q$3,$J$3)</f>
        <v>226.39666826102439</v>
      </c>
      <c r="L24" s="12">
        <f ca="1"/>
        <v>9.1818109931409708E-3</v>
      </c>
      <c r="M24" s="12">
        <f t="array" aca="1" ref="M24:N24" ca="1">Opt3Spd(H24:J24,$E$3:$G$3,$K$3:$M$3,$N$3:$P$3,$H$4,$I$3,$Q$3,$J$3)</f>
        <v>0.26509165753102337</v>
      </c>
      <c r="N24" s="12">
        <f ca="1"/>
        <v>173.87760520749978</v>
      </c>
      <c r="O24" s="12">
        <f t="shared" ca="1" si="12"/>
        <v>0.27427346852416434</v>
      </c>
    </row>
    <row r="25" spans="2:15" x14ac:dyDescent="0.15">
      <c r="B25" s="6">
        <f t="shared" ca="1" si="5"/>
        <v>3.163194648971703E-3</v>
      </c>
      <c r="C25" s="6">
        <f t="shared" ca="1" si="3"/>
        <v>1.0429285392070691</v>
      </c>
      <c r="D25" s="6">
        <f t="shared" ca="1" si="3"/>
        <v>0.72425858673519328</v>
      </c>
      <c r="E25" s="8">
        <f t="shared" ca="1" si="6"/>
        <v>7.2020878367093109E-5</v>
      </c>
      <c r="F25" s="8">
        <f t="shared" ca="1" si="7"/>
        <v>2.4092693737981737E-2</v>
      </c>
      <c r="G25" s="8">
        <f t="shared" ca="1" si="8"/>
        <v>1.0859367926927365E-2</v>
      </c>
      <c r="H25" s="10">
        <f t="shared" ca="1" si="9"/>
        <v>4016.2892358475224</v>
      </c>
      <c r="I25" s="10">
        <f t="shared" ca="1" si="10"/>
        <v>557.10642539346202</v>
      </c>
      <c r="J25" s="10">
        <f t="shared" ca="1" si="11"/>
        <v>2260.2815466846096</v>
      </c>
      <c r="K25" s="12">
        <f t="array" aca="1" ref="K25:L25" ca="1">Opt3Spd(H25:J25,$E$3:$G$3,$K$3:$M$3,$N$3:$P$3,$H$3,$I$3,$Q$3,$J$3)</f>
        <v>169.9173379088727</v>
      </c>
      <c r="L25" s="12">
        <f ca="1"/>
        <v>0.13915603319424008</v>
      </c>
      <c r="M25" s="12">
        <f t="array" aca="1" ref="M25:N25" ca="1">Opt3Spd(H25:J25,$E$3:$G$3,$K$3:$M$3,$N$3:$P$3,$H$4,$I$3,$Q$3,$J$3)</f>
        <v>1.9342963175917216E-2</v>
      </c>
      <c r="N25" s="12">
        <f ca="1"/>
        <v>230.24116108749746</v>
      </c>
      <c r="O25" s="12">
        <f t="shared" ca="1" si="12"/>
        <v>0.1584989963701573</v>
      </c>
    </row>
    <row r="26" spans="2:15" x14ac:dyDescent="0.15">
      <c r="B26" s="6">
        <f t="shared" ca="1" si="5"/>
        <v>0.16912156127570732</v>
      </c>
      <c r="C26" s="6">
        <f t="shared" ca="1" si="5"/>
        <v>0.10903942575935933</v>
      </c>
      <c r="D26" s="6">
        <f t="shared" ca="1" si="5"/>
        <v>1.8294223038040207</v>
      </c>
      <c r="E26" s="8">
        <f t="shared" ca="1" si="6"/>
        <v>3.8506272125397615E-3</v>
      </c>
      <c r="F26" s="8">
        <f t="shared" ca="1" si="7"/>
        <v>8.7799660258532034E-3</v>
      </c>
      <c r="G26" s="8">
        <f t="shared" ca="1" si="8"/>
        <v>2.6018724693347973E-2</v>
      </c>
      <c r="H26" s="10">
        <f t="shared" ca="1" si="9"/>
        <v>4031.4641188855599</v>
      </c>
      <c r="I26" s="10">
        <f t="shared" ca="1" si="10"/>
        <v>548.77630151806409</v>
      </c>
      <c r="J26" s="10">
        <f t="shared" ca="1" si="11"/>
        <v>2294.177868414326</v>
      </c>
      <c r="K26" s="12">
        <f t="array" aca="1" ref="K26:L26" ca="1">Opt3Spd(H26:J26,$E$3:$G$3,$K$3:$M$3,$N$3:$P$3,$H$3,$I$3,$Q$3,$J$3)</f>
        <v>181.41785053707372</v>
      </c>
      <c r="L26" s="12">
        <f ca="1"/>
        <v>8.4748287579486714E-2</v>
      </c>
      <c r="M26" s="12">
        <f t="array" aca="1" ref="M26:N26" ca="1">Opt3Spd(H26:J26,$E$3:$G$3,$K$3:$M$3,$N$3:$P$3,$H$4,$I$3,$Q$3,$J$3)</f>
        <v>3.5506476403922793E-2</v>
      </c>
      <c r="N26" s="12">
        <f ca="1"/>
        <v>218.70240422690969</v>
      </c>
      <c r="O26" s="12">
        <f t="shared" ca="1" si="12"/>
        <v>0.12025476398340951</v>
      </c>
    </row>
    <row r="27" spans="2:15" x14ac:dyDescent="0.15">
      <c r="B27" s="6">
        <f t="shared" ca="1" si="5"/>
        <v>-0.81718023760224445</v>
      </c>
      <c r="C27" s="6">
        <f t="shared" ca="1" si="5"/>
        <v>0.63918123853885334</v>
      </c>
      <c r="D27" s="6">
        <f t="shared" ca="1" si="5"/>
        <v>-0.17661068822964268</v>
      </c>
      <c r="E27" s="8">
        <f t="shared" ca="1" si="6"/>
        <v>-1.8605885829844796E-2</v>
      </c>
      <c r="F27" s="8">
        <f t="shared" ca="1" si="7"/>
        <v>-1.5618272934203835E-2</v>
      </c>
      <c r="G27" s="8">
        <f t="shared" ca="1" si="8"/>
        <v>-3.004779175099927E-2</v>
      </c>
      <c r="H27" s="10">
        <f t="shared" ca="1" si="9"/>
        <v>3941.2787625073433</v>
      </c>
      <c r="I27" s="10">
        <f t="shared" ca="1" si="10"/>
        <v>535.50365952379309</v>
      </c>
      <c r="J27" s="10">
        <f t="shared" ca="1" si="11"/>
        <v>2168.8131376447654</v>
      </c>
      <c r="K27" s="12">
        <f t="array" aca="1" ref="K27:L27" ca="1">Opt3Spd(H27:J27,$E$3:$G$3,$K$3:$M$3,$N$3:$P$3,$H$3,$I$3,$Q$3,$J$3)</f>
        <v>175.16632490366169</v>
      </c>
      <c r="L27" s="12">
        <f ca="1"/>
        <v>9.99864567700115E-2</v>
      </c>
      <c r="M27" s="12">
        <f t="array" aca="1" ref="M27:N27" ca="1">Opt3Spd(H27:J27,$E$3:$G$3,$K$3:$M$3,$N$3:$P$3,$H$4,$I$3,$Q$3,$J$3)</f>
        <v>2.2750507579472057E-2</v>
      </c>
      <c r="N27" s="12">
        <f ca="1"/>
        <v>224.9564120606878</v>
      </c>
      <c r="O27" s="12">
        <f t="shared" ca="1" si="12"/>
        <v>0.12273696434948356</v>
      </c>
    </row>
    <row r="28" spans="2:15" x14ac:dyDescent="0.15">
      <c r="B28" s="6">
        <f t="shared" ca="1" si="5"/>
        <v>-9.1433609915103648E-3</v>
      </c>
      <c r="C28" s="6">
        <f t="shared" ca="1" si="5"/>
        <v>-0.31301148935662154</v>
      </c>
      <c r="D28" s="6">
        <f t="shared" ca="1" si="5"/>
        <v>-0.56158802550079523</v>
      </c>
      <c r="E28" s="8">
        <f t="shared" ca="1" si="6"/>
        <v>-2.0817969265661925E-4</v>
      </c>
      <c r="F28" s="8">
        <f t="shared" ca="1" si="7"/>
        <v>-7.5348231386695042E-3</v>
      </c>
      <c r="G28" s="8">
        <f t="shared" ca="1" si="8"/>
        <v>-7.2272032295492769E-3</v>
      </c>
      <c r="H28" s="10">
        <f t="shared" ca="1" si="9"/>
        <v>4015.163950354291</v>
      </c>
      <c r="I28" s="10">
        <f t="shared" ca="1" si="10"/>
        <v>539.90105621256384</v>
      </c>
      <c r="J28" s="10">
        <f t="shared" ca="1" si="11"/>
        <v>2219.8399735787279</v>
      </c>
      <c r="K28" s="12">
        <f t="array" aca="1" ref="K28:L28" ca="1">Opt3Spd(H28:J28,$E$3:$G$3,$K$3:$M$3,$N$3:$P$3,$H$3,$I$3,$Q$3,$J$3)</f>
        <v>216.41628889980916</v>
      </c>
      <c r="L28" s="12">
        <f ca="1"/>
        <v>1.4015274984330972E-2</v>
      </c>
      <c r="M28" s="12">
        <f t="array" aca="1" ref="M28:N28" ca="1">Opt3Spd(H28:J28,$E$3:$G$3,$K$3:$M$3,$N$3:$P$3,$H$4,$I$3,$Q$3,$J$3)</f>
        <v>0.16526324431807105</v>
      </c>
      <c r="N28" s="12">
        <f ca="1"/>
        <v>183.76298961949325</v>
      </c>
      <c r="O28" s="12">
        <f t="shared" ca="1" si="12"/>
        <v>0.17927851930240202</v>
      </c>
    </row>
    <row r="29" spans="2:15" x14ac:dyDescent="0.15">
      <c r="B29" s="6">
        <f t="shared" ca="1" si="5"/>
        <v>0.56895157162572307</v>
      </c>
      <c r="C29" s="6">
        <f t="shared" ca="1" si="5"/>
        <v>-0.79347578593790513</v>
      </c>
      <c r="D29" s="6">
        <f t="shared" ca="1" si="5"/>
        <v>0.69384842258557766</v>
      </c>
      <c r="E29" s="8">
        <f t="shared" ca="1" si="6"/>
        <v>1.2954116481621938E-2</v>
      </c>
      <c r="F29" s="8">
        <f t="shared" ca="1" si="7"/>
        <v>2.863598945326425E-3</v>
      </c>
      <c r="G29" s="8">
        <f t="shared" ca="1" si="8"/>
        <v>2.5990523367305646E-2</v>
      </c>
      <c r="H29" s="10">
        <f t="shared" ca="1" si="9"/>
        <v>4068.0237317901942</v>
      </c>
      <c r="I29" s="10">
        <f t="shared" ca="1" si="10"/>
        <v>545.55779782625757</v>
      </c>
      <c r="J29" s="10">
        <f t="shared" ca="1" si="11"/>
        <v>2294.1148102492953</v>
      </c>
      <c r="K29" s="12">
        <f t="array" aca="1" ref="K29:L29" ca="1">Opt3Spd(H29:J29,$E$3:$G$3,$K$3:$M$3,$N$3:$P$3,$H$3,$I$3,$Q$3,$J$3)</f>
        <v>223.08472619768122</v>
      </c>
      <c r="L29" s="12">
        <f ca="1"/>
        <v>1.0876054146820024E-2</v>
      </c>
      <c r="M29" s="12">
        <f t="array" aca="1" ref="M29:N29" ca="1">Opt3Spd(H29:J29,$E$3:$G$3,$K$3:$M$3,$N$3:$P$3,$H$4,$I$3,$Q$3,$J$3)</f>
        <v>0.23081545564035011</v>
      </c>
      <c r="N29" s="12">
        <f ca="1"/>
        <v>177.15696531210594</v>
      </c>
      <c r="O29" s="12">
        <f t="shared" ca="1" si="12"/>
        <v>0.24169150978717013</v>
      </c>
    </row>
    <row r="30" spans="2:15" x14ac:dyDescent="0.15">
      <c r="B30" s="6">
        <f t="shared" ca="1" si="5"/>
        <v>-0.30955963858267033</v>
      </c>
      <c r="C30" s="6">
        <f t="shared" ca="1" si="5"/>
        <v>-0.35007460407889562</v>
      </c>
      <c r="D30" s="6">
        <f t="shared" ca="1" si="5"/>
        <v>-2.5688624146287355</v>
      </c>
      <c r="E30" s="8">
        <f t="shared" ca="1" si="6"/>
        <v>-7.0481774129743865E-3</v>
      </c>
      <c r="F30" s="8">
        <f t="shared" ca="1" si="7"/>
        <v>-1.9530344730870432E-2</v>
      </c>
      <c r="G30" s="8">
        <f t="shared" ca="1" si="8"/>
        <v>-3.9755205086659119E-2</v>
      </c>
      <c r="H30" s="10">
        <f t="shared" ca="1" si="9"/>
        <v>3987.694519509495</v>
      </c>
      <c r="I30" s="10">
        <f t="shared" ca="1" si="10"/>
        <v>533.37549246640651</v>
      </c>
      <c r="J30" s="10">
        <f t="shared" ca="1" si="11"/>
        <v>2147.1073614262305</v>
      </c>
      <c r="K30" s="12">
        <f t="array" aca="1" ref="K30:L30" ca="1">Opt3Spd(H30:J30,$E$3:$G$3,$K$3:$M$3,$N$3:$P$3,$H$3,$I$3,$Q$3,$J$3)</f>
        <v>235.74452499365634</v>
      </c>
      <c r="L30" s="12">
        <f ca="1"/>
        <v>4.4741435272044328E-3</v>
      </c>
      <c r="M30" s="12">
        <f t="array" aca="1" ref="M30:N30" ca="1">Opt3Spd(H30:J30,$E$3:$G$3,$K$3:$M$3,$N$3:$P$3,$H$4,$I$3,$Q$3,$J$3)</f>
        <v>0.34926351816537604</v>
      </c>
      <c r="N30" s="12">
        <f ca="1"/>
        <v>164.60921266803624</v>
      </c>
      <c r="O30" s="12">
        <f t="shared" ca="1" si="12"/>
        <v>0.35373766169258047</v>
      </c>
    </row>
    <row r="31" spans="2:15" x14ac:dyDescent="0.15">
      <c r="B31" s="6">
        <f t="shared" ca="1" si="5"/>
        <v>0.87530587603460497</v>
      </c>
      <c r="C31" s="6">
        <f t="shared" ca="1" si="5"/>
        <v>0.70256717510653477</v>
      </c>
      <c r="D31" s="6">
        <f t="shared" ca="1" si="5"/>
        <v>-0.4367070316561375</v>
      </c>
      <c r="E31" s="8">
        <f t="shared" ca="1" si="6"/>
        <v>1.9929313566708077E-2</v>
      </c>
      <c r="F31" s="8">
        <f t="shared" ca="1" si="7"/>
        <v>4.8619136836473953E-2</v>
      </c>
      <c r="G31" s="8">
        <f t="shared" ca="1" si="8"/>
        <v>2.9544582750702587E-2</v>
      </c>
      <c r="H31" s="10">
        <f t="shared" ca="1" si="9"/>
        <v>4096.0361232838995</v>
      </c>
      <c r="I31" s="10">
        <f t="shared" ca="1" si="10"/>
        <v>570.44881043904184</v>
      </c>
      <c r="J31" s="10">
        <f t="shared" ca="1" si="11"/>
        <v>2302.0616870305712</v>
      </c>
      <c r="K31" s="12">
        <f t="array" aca="1" ref="K31:L31" ca="1">Opt3Spd(H31:J31,$E$3:$G$3,$K$3:$M$3,$N$3:$P$3,$H$3,$I$3,$Q$3,$J$3)</f>
        <v>207.31242042305689</v>
      </c>
      <c r="L31" s="12">
        <f ca="1"/>
        <v>2.5237356909883601E-2</v>
      </c>
      <c r="M31" s="12">
        <f t="array" aca="1" ref="M31:N31" ca="1">Opt3Spd(H31:J31,$E$3:$G$3,$K$3:$M$3,$N$3:$P$3,$H$4,$I$3,$Q$3,$J$3)</f>
        <v>0.11991635664146472</v>
      </c>
      <c r="N31" s="12">
        <f ca="1"/>
        <v>192.83273329049445</v>
      </c>
      <c r="O31" s="12">
        <f t="shared" ca="1" si="12"/>
        <v>0.14515371355134832</v>
      </c>
    </row>
    <row r="32" spans="2:15" x14ac:dyDescent="0.15">
      <c r="B32" s="6">
        <f t="shared" ca="1" si="5"/>
        <v>0.51384578456284724</v>
      </c>
      <c r="C32" s="6">
        <f t="shared" ca="1" si="5"/>
        <v>0.87133485517568088</v>
      </c>
      <c r="D32" s="6">
        <f t="shared" ca="1" si="5"/>
        <v>-0.96512082234653507</v>
      </c>
      <c r="E32" s="8">
        <f t="shared" ca="1" si="6"/>
        <v>1.1699445926122458E-2</v>
      </c>
      <c r="F32" s="8">
        <f t="shared" ca="1" si="7"/>
        <v>3.9091026133172946E-2</v>
      </c>
      <c r="G32" s="8">
        <f t="shared" ca="1" si="8"/>
        <v>1.1125833619894233E-2</v>
      </c>
      <c r="H32" s="10">
        <f t="shared" ca="1" si="9"/>
        <v>4062.9849748393076</v>
      </c>
      <c r="I32" s="10">
        <f t="shared" ca="1" si="10"/>
        <v>565.26551821644603</v>
      </c>
      <c r="J32" s="10">
        <f t="shared" ca="1" si="11"/>
        <v>2260.8773639740834</v>
      </c>
      <c r="K32" s="12">
        <f t="array" aca="1" ref="K32:L32" ca="1">Opt3Spd(H32:J32,$E$3:$G$3,$K$3:$M$3,$N$3:$P$3,$H$3,$I$3,$Q$3,$J$3)</f>
        <v>203.1509584172959</v>
      </c>
      <c r="L32" s="12">
        <f ca="1"/>
        <v>2.9494711343659219E-2</v>
      </c>
      <c r="M32" s="12">
        <f t="array" aca="1" ref="M32:N32" ca="1">Opt3Spd(H32:J32,$E$3:$G$3,$K$3:$M$3,$N$3:$P$3,$H$4,$I$3,$Q$3,$J$3)</f>
        <v>9.6221688440692787E-2</v>
      </c>
      <c r="N32" s="12">
        <f ca="1"/>
        <v>196.97475798248846</v>
      </c>
      <c r="O32" s="12">
        <f t="shared" ca="1" si="12"/>
        <v>0.12571639978435201</v>
      </c>
    </row>
    <row r="33" spans="2:15" x14ac:dyDescent="0.15">
      <c r="B33" s="6">
        <f t="shared" ca="1" si="5"/>
        <v>1.3009393801261735E-2</v>
      </c>
      <c r="C33" s="6">
        <f t="shared" ca="1" si="5"/>
        <v>1.1508480451946244E-2</v>
      </c>
      <c r="D33" s="6">
        <f t="shared" ca="1" si="5"/>
        <v>-0.80857112353439231</v>
      </c>
      <c r="E33" s="8">
        <f t="shared" ca="1" si="6"/>
        <v>2.9620307080845343E-4</v>
      </c>
      <c r="F33" s="8">
        <f t="shared" ca="1" si="7"/>
        <v>7.4712683929157014E-4</v>
      </c>
      <c r="G33" s="8">
        <f t="shared" ca="1" si="8"/>
        <v>-8.1023993910920716E-3</v>
      </c>
      <c r="H33" s="10">
        <f t="shared" ca="1" si="9"/>
        <v>4017.1895515323667</v>
      </c>
      <c r="I33" s="10">
        <f t="shared" ca="1" si="10"/>
        <v>544.40643700057467</v>
      </c>
      <c r="J33" s="10">
        <f t="shared" ca="1" si="11"/>
        <v>2217.8830349615182</v>
      </c>
      <c r="K33" s="12">
        <f t="array" aca="1" ref="K33:L33" ca="1">Opt3Spd(H33:J33,$E$3:$G$3,$K$3:$M$3,$N$3:$P$3,$H$3,$I$3,$Q$3,$J$3)</f>
        <v>212.21517819483984</v>
      </c>
      <c r="L33" s="12">
        <f ca="1"/>
        <v>1.7443344151843121E-2</v>
      </c>
      <c r="M33" s="12">
        <f t="array" aca="1" ref="M33:N33" ca="1">Opt3Spd(H33:J33,$E$3:$G$3,$K$3:$M$3,$N$3:$P$3,$H$4,$I$3,$Q$3,$J$3)</f>
        <v>0.1377889136804189</v>
      </c>
      <c r="N33" s="12">
        <f ca="1"/>
        <v>187.94005406299243</v>
      </c>
      <c r="O33" s="12">
        <f t="shared" ca="1" si="12"/>
        <v>0.15523225783226202</v>
      </c>
    </row>
    <row r="34" spans="2:15" x14ac:dyDescent="0.15">
      <c r="B34" s="6">
        <f t="shared" ca="1" si="5"/>
        <v>1.3514293429195789</v>
      </c>
      <c r="C34" s="6">
        <f t="shared" ca="1" si="5"/>
        <v>7.6345068696225732E-2</v>
      </c>
      <c r="D34" s="6">
        <f t="shared" ca="1" si="5"/>
        <v>0.23267484866140969</v>
      </c>
      <c r="E34" s="8">
        <f t="shared" ca="1" si="6"/>
        <v>3.0769882706956436E-2</v>
      </c>
      <c r="F34" s="8">
        <f t="shared" ca="1" si="7"/>
        <v>5.1884325635537826E-2</v>
      </c>
      <c r="G34" s="8">
        <f t="shared" ca="1" si="8"/>
        <v>5.2349641666662061E-2</v>
      </c>
      <c r="H34" s="10">
        <f t="shared" ca="1" si="9"/>
        <v>4139.5718489511373</v>
      </c>
      <c r="I34" s="10">
        <f t="shared" ca="1" si="10"/>
        <v>572.22507314573261</v>
      </c>
      <c r="J34" s="10">
        <f t="shared" ca="1" si="11"/>
        <v>2353.0537987666562</v>
      </c>
      <c r="K34" s="12">
        <f t="array" aca="1" ref="K34:L34" ca="1">Opt3Spd(H34:J34,$E$3:$G$3,$K$3:$M$3,$N$3:$P$3,$H$3,$I$3,$Q$3,$J$3)</f>
        <v>222.49724451226234</v>
      </c>
      <c r="L34" s="12">
        <f ca="1"/>
        <v>1.2411977625106374E-2</v>
      </c>
      <c r="M34" s="12">
        <f t="array" aca="1" ref="M34:N34" ca="1">Opt3Spd(H34:J34,$E$3:$G$3,$K$3:$M$3,$N$3:$P$3,$H$4,$I$3,$Q$3,$J$3)</f>
        <v>0.23676679556081837</v>
      </c>
      <c r="N34" s="12">
        <f ca="1"/>
        <v>177.75193426092358</v>
      </c>
      <c r="O34" s="12">
        <f t="shared" ca="1" si="12"/>
        <v>0.24917877318592474</v>
      </c>
    </row>
    <row r="35" spans="2:15" x14ac:dyDescent="0.15">
      <c r="B35" s="6">
        <f t="shared" ca="1" si="5"/>
        <v>-0.64994008901380895</v>
      </c>
      <c r="C35" s="6">
        <f t="shared" ca="1" si="5"/>
        <v>-0.47595700007864761</v>
      </c>
      <c r="D35" s="6">
        <f t="shared" ca="1" si="5"/>
        <v>0.19361100360643277</v>
      </c>
      <c r="E35" s="8">
        <f t="shared" ca="1" si="6"/>
        <v>-1.4798095372340754E-2</v>
      </c>
      <c r="F35" s="8">
        <f t="shared" ca="1" si="7"/>
        <v>-3.5050099838018815E-2</v>
      </c>
      <c r="G35" s="8">
        <f t="shared" ca="1" si="8"/>
        <v>-2.3196882693369562E-2</v>
      </c>
      <c r="H35" s="10">
        <f t="shared" ca="1" si="9"/>
        <v>3956.5708489846793</v>
      </c>
      <c r="I35" s="10">
        <f t="shared" ca="1" si="10"/>
        <v>524.93274568811785</v>
      </c>
      <c r="J35" s="10">
        <f t="shared" ca="1" si="11"/>
        <v>2184.1317702976257</v>
      </c>
      <c r="K35" s="12">
        <f t="array" aca="1" ref="K35:L35" ca="1">Opt3Spd(H35:J35,$E$3:$G$3,$K$3:$M$3,$N$3:$P$3,$H$3,$I$3,$Q$3,$J$3)</f>
        <v>199.6438699816938</v>
      </c>
      <c r="L35" s="12">
        <f ca="1"/>
        <v>3.1299246815933657E-2</v>
      </c>
      <c r="M35" s="12">
        <f t="array" aca="1" ref="M35:N35" ca="1">Opt3Spd(H35:J35,$E$3:$G$3,$K$3:$M$3,$N$3:$P$3,$H$4,$I$3,$Q$3,$J$3)</f>
        <v>7.5878912825698919E-2</v>
      </c>
      <c r="N35" s="12">
        <f ca="1"/>
        <v>200.46330817794782</v>
      </c>
      <c r="O35" s="12">
        <f t="shared" ca="1" si="12"/>
        <v>0.10717815964163258</v>
      </c>
    </row>
    <row r="36" spans="2:15" x14ac:dyDescent="0.15">
      <c r="B36" s="6">
        <f t="shared" ca="1" si="5"/>
        <v>1.0345229413963366</v>
      </c>
      <c r="C36" s="6">
        <f t="shared" ca="1" si="5"/>
        <v>-1.4518484438990227</v>
      </c>
      <c r="D36" s="6">
        <f t="shared" ca="1" si="5"/>
        <v>-1.672297597621172</v>
      </c>
      <c r="E36" s="8">
        <f t="shared" ca="1" si="6"/>
        <v>2.3554431262867079E-2</v>
      </c>
      <c r="F36" s="8">
        <f t="shared" ca="1" si="7"/>
        <v>4.9982804893342067E-3</v>
      </c>
      <c r="G36" s="8">
        <f t="shared" ca="1" si="8"/>
        <v>1.5976939491623154E-2</v>
      </c>
      <c r="H36" s="10">
        <f t="shared" ca="1" si="9"/>
        <v>4110.5945959516739</v>
      </c>
      <c r="I36" s="10">
        <f t="shared" ca="1" si="10"/>
        <v>546.71906458619787</v>
      </c>
      <c r="J36" s="10">
        <f t="shared" ca="1" si="11"/>
        <v>2271.7244367032695</v>
      </c>
      <c r="K36" s="12">
        <f t="array" aca="1" ref="K36:L36" ca="1">Opt3Spd(H36:J36,$E$3:$G$3,$K$3:$M$3,$N$3:$P$3,$H$3,$I$3,$Q$3,$J$3)</f>
        <v>274.98242792774909</v>
      </c>
      <c r="L36" s="12">
        <f ca="1"/>
        <v>5.5366562628478277E-4</v>
      </c>
      <c r="M36" s="12">
        <f t="array" aca="1" ref="M36:N36" ca="1">Opt3Spd(H36:J36,$E$3:$G$3,$K$3:$M$3,$N$3:$P$3,$H$4,$I$3,$Q$3,$J$3)</f>
        <v>1.5405110632836596</v>
      </c>
      <c r="N36" s="12">
        <f ca="1"/>
        <v>126.55863680116086</v>
      </c>
      <c r="O36" s="12">
        <f t="shared" ca="1" si="12"/>
        <v>1.5410647289099444</v>
      </c>
    </row>
    <row r="37" spans="2:15" x14ac:dyDescent="0.15">
      <c r="B37" s="6">
        <f t="shared" ca="1" si="5"/>
        <v>1.4610564045158498</v>
      </c>
      <c r="C37" s="6">
        <f t="shared" ca="1" si="5"/>
        <v>0.16097220793267017</v>
      </c>
      <c r="D37" s="6">
        <f t="shared" ca="1" si="5"/>
        <v>-0.55267896968647223</v>
      </c>
      <c r="E37" s="8">
        <f t="shared" ca="1" si="6"/>
        <v>3.3265915403374133E-2</v>
      </c>
      <c r="F37" s="8">
        <f t="shared" ca="1" si="7"/>
        <v>5.7896229650363895E-2</v>
      </c>
      <c r="G37" s="8">
        <f t="shared" ca="1" si="8"/>
        <v>4.8256414821682692E-2</v>
      </c>
      <c r="H37" s="10">
        <f t="shared" ca="1" si="9"/>
        <v>4149.5959162599502</v>
      </c>
      <c r="I37" s="10">
        <f t="shared" ca="1" si="10"/>
        <v>575.49554892979802</v>
      </c>
      <c r="J37" s="10">
        <f t="shared" ca="1" si="11"/>
        <v>2343.9013435412826</v>
      </c>
      <c r="K37" s="12">
        <f t="array" aca="1" ref="K37:L37" ca="1">Opt3Spd(H37:J37,$E$3:$G$3,$K$3:$M$3,$N$3:$P$3,$H$3,$I$3,$Q$3,$J$3)</f>
        <v>231.85989961580299</v>
      </c>
      <c r="L37" s="12">
        <f ca="1"/>
        <v>7.5334141711209668E-3</v>
      </c>
      <c r="M37" s="12">
        <f t="array" aca="1" ref="M37:N37" ca="1">Opt3Spd(H37:J37,$E$3:$G$3,$K$3:$M$3,$N$3:$P$3,$H$4,$I$3,$Q$3,$J$3)</f>
        <v>0.34265998947221377</v>
      </c>
      <c r="N37" s="12">
        <f ca="1"/>
        <v>168.49029378784036</v>
      </c>
      <c r="O37" s="12">
        <f t="shared" ca="1" si="12"/>
        <v>0.35019340364333473</v>
      </c>
    </row>
    <row r="38" spans="2:15" x14ac:dyDescent="0.15">
      <c r="B38" s="6">
        <f t="shared" ca="1" si="5"/>
        <v>-3.3894201608388116E-2</v>
      </c>
      <c r="C38" s="6">
        <f t="shared" ca="1" si="5"/>
        <v>1.1946112679765704</v>
      </c>
      <c r="D38" s="6">
        <f t="shared" ca="1" si="5"/>
        <v>1.089306207036381</v>
      </c>
      <c r="E38" s="8">
        <f t="shared" ca="1" si="6"/>
        <v>-7.7171671119923198E-4</v>
      </c>
      <c r="F38" s="8">
        <f t="shared" ca="1" si="7"/>
        <v>2.6205062555658257E-2</v>
      </c>
      <c r="G38" s="8">
        <f t="shared" ca="1" si="8"/>
        <v>1.3827142147702445E-2</v>
      </c>
      <c r="H38" s="10">
        <f t="shared" ca="1" si="9"/>
        <v>4012.9007856878238</v>
      </c>
      <c r="I38" s="10">
        <f t="shared" ca="1" si="10"/>
        <v>558.25555403027806</v>
      </c>
      <c r="J38" s="10">
        <f t="shared" ca="1" si="11"/>
        <v>2266.917489842263</v>
      </c>
      <c r="K38" s="12">
        <f t="array" aca="1" ref="K38:L38" ca="1">Opt3Spd(H38:J38,$E$3:$G$3,$K$3:$M$3,$N$3:$P$3,$H$3,$I$3,$Q$3,$J$3)</f>
        <v>161.43600274067603</v>
      </c>
      <c r="L38" s="12">
        <f ca="1"/>
        <v>0.20284842242858758</v>
      </c>
      <c r="M38" s="12">
        <f t="array" aca="1" ref="M38:N38" ca="1">Opt3Spd(H38:J38,$E$3:$G$3,$K$3:$M$3,$N$3:$P$3,$H$4,$I$3,$Q$3,$J$3)</f>
        <v>1.2505303640374832E-2</v>
      </c>
      <c r="N38" s="12">
        <f ca="1"/>
        <v>238.77935098539294</v>
      </c>
      <c r="O38" s="12">
        <f t="shared" ca="1" si="12"/>
        <v>0.21535372606896241</v>
      </c>
    </row>
    <row r="39" spans="2:15" x14ac:dyDescent="0.15">
      <c r="B39" s="6">
        <f t="shared" ca="1" si="5"/>
        <v>-0.31338607394454809</v>
      </c>
      <c r="C39" s="6">
        <f t="shared" ca="1" si="5"/>
        <v>2.4443868707799483</v>
      </c>
      <c r="D39" s="6">
        <f t="shared" ca="1" si="5"/>
        <v>0.4602401238131234</v>
      </c>
      <c r="E39" s="8">
        <f t="shared" ca="1" si="6"/>
        <v>-7.1352992206275851E-3</v>
      </c>
      <c r="F39" s="8">
        <f t="shared" ca="1" si="7"/>
        <v>4.4568188900857494E-2</v>
      </c>
      <c r="G39" s="8">
        <f t="shared" ca="1" si="8"/>
        <v>4.8565227789535001E-4</v>
      </c>
      <c r="H39" s="10">
        <f t="shared" ca="1" si="9"/>
        <v>3987.3446383299597</v>
      </c>
      <c r="I39" s="10">
        <f t="shared" ca="1" si="10"/>
        <v>568.24509476206651</v>
      </c>
      <c r="J39" s="10">
        <f t="shared" ca="1" si="11"/>
        <v>2237.0859184933738</v>
      </c>
      <c r="K39" s="12">
        <f t="array" aca="1" ref="K39:L39" ca="1">Opt3Spd(H39:J39,$E$3:$G$3,$K$3:$M$3,$N$3:$P$3,$H$3,$I$3,$Q$3,$J$3)</f>
        <v>135.19919358458606</v>
      </c>
      <c r="L39" s="12">
        <f ca="1"/>
        <v>0.58966612061976775</v>
      </c>
      <c r="M39" s="12">
        <f t="array" aca="1" ref="M39:N39" ca="1">Opt3Spd(H39:J39,$E$3:$G$3,$K$3:$M$3,$N$3:$P$3,$H$4,$I$3,$Q$3,$J$3)</f>
        <v>2.7636567311872806E-3</v>
      </c>
      <c r="N39" s="12">
        <f ca="1"/>
        <v>265.3932361927649</v>
      </c>
      <c r="O39" s="12">
        <f t="shared" ca="1" si="12"/>
        <v>0.59242977735095503</v>
      </c>
    </row>
    <row r="40" spans="2:15" x14ac:dyDescent="0.15">
      <c r="B40" s="6">
        <f t="shared" ca="1" si="5"/>
        <v>-1.7988208898390416</v>
      </c>
      <c r="C40" s="6">
        <f t="shared" ca="1" si="5"/>
        <v>-1.4394161849022256</v>
      </c>
      <c r="D40" s="6">
        <f t="shared" ca="1" si="5"/>
        <v>-0.37852908879476105</v>
      </c>
      <c r="E40" s="8">
        <f t="shared" ca="1" si="6"/>
        <v>-4.0956272024991885E-2</v>
      </c>
      <c r="F40" s="8">
        <f t="shared" ca="1" si="7"/>
        <v>-9.9814608000282121E-2</v>
      </c>
      <c r="G40" s="8">
        <f t="shared" ca="1" si="8"/>
        <v>-7.4296828469498269E-2</v>
      </c>
      <c r="H40" s="10">
        <f t="shared" ca="1" si="9"/>
        <v>3851.5196115476328</v>
      </c>
      <c r="I40" s="10">
        <f t="shared" ca="1" si="10"/>
        <v>489.70085324784657</v>
      </c>
      <c r="J40" s="10">
        <f t="shared" ca="1" si="11"/>
        <v>2069.8722915422018</v>
      </c>
      <c r="K40" s="12">
        <f t="array" aca="1" ref="K40:L40" ca="1">Opt3Spd(H40:J40,$E$3:$G$3,$K$3:$M$3,$N$3:$P$3,$H$3,$I$3,$Q$3,$J$3)</f>
        <v>208.0798527832751</v>
      </c>
      <c r="L40" s="12">
        <f ca="1"/>
        <v>1.7752203297732194E-2</v>
      </c>
      <c r="M40" s="12">
        <f t="array" aca="1" ref="M40:N40" ca="1">Opt3Spd(H40:J40,$E$3:$G$3,$K$3:$M$3,$N$3:$P$3,$H$4,$I$3,$Q$3,$J$3)</f>
        <v>0.10163256670742093</v>
      </c>
      <c r="N40" s="12">
        <f ca="1"/>
        <v>192.03953198673005</v>
      </c>
      <c r="O40" s="12">
        <f t="shared" ca="1" si="12"/>
        <v>0.11938477000515313</v>
      </c>
    </row>
    <row r="41" spans="2:15" x14ac:dyDescent="0.15">
      <c r="B41" s="6">
        <f t="shared" ca="1" si="5"/>
        <v>-0.61417626499160682</v>
      </c>
      <c r="C41" s="6">
        <f t="shared" ca="1" si="5"/>
        <v>1.191238370735459</v>
      </c>
      <c r="D41" s="6">
        <f t="shared" ca="1" si="5"/>
        <v>0.19144700969280101</v>
      </c>
      <c r="E41" s="8">
        <f t="shared" ca="1" si="6"/>
        <v>-1.3983810351758014E-2</v>
      </c>
      <c r="F41" s="8">
        <f t="shared" ca="1" si="7"/>
        <v>4.6028221610558834E-3</v>
      </c>
      <c r="G41" s="8">
        <f t="shared" ca="1" si="8"/>
        <v>-1.7066211470612758E-2</v>
      </c>
      <c r="H41" s="10">
        <f t="shared" ca="1" si="9"/>
        <v>3959.8410176273401</v>
      </c>
      <c r="I41" s="10">
        <f t="shared" ca="1" si="10"/>
        <v>546.50393525561435</v>
      </c>
      <c r="J41" s="10">
        <f t="shared" ca="1" si="11"/>
        <v>2197.83995115171</v>
      </c>
      <c r="K41" s="12">
        <f t="array" aca="1" ref="K41:L41" ca="1">Opt3Spd(H41:J41,$E$3:$G$3,$K$3:$M$3,$N$3:$P$3,$H$3,$I$3,$Q$3,$J$3)</f>
        <v>161.70311880982672</v>
      </c>
      <c r="L41" s="12">
        <f ca="1"/>
        <v>0.18837316732469844</v>
      </c>
      <c r="M41" s="12">
        <f t="array" aca="1" ref="M41:N41" ca="1">Opt3Spd(H41:J41,$E$3:$G$3,$K$3:$M$3,$N$3:$P$3,$H$4,$I$3,$Q$3,$J$3)</f>
        <v>1.1632273389315495E-2</v>
      </c>
      <c r="N41" s="12">
        <f ca="1"/>
        <v>238.4968866308873</v>
      </c>
      <c r="O41" s="12">
        <f t="shared" ca="1" si="12"/>
        <v>0.20000544071401394</v>
      </c>
    </row>
    <row r="42" spans="2:15" x14ac:dyDescent="0.15">
      <c r="B42" s="6">
        <f t="shared" ca="1" si="5"/>
        <v>0.88631419385567878</v>
      </c>
      <c r="C42" s="6">
        <f t="shared" ca="1" si="5"/>
        <v>-0.39426901002103959</v>
      </c>
      <c r="D42" s="6">
        <f t="shared" ca="1" si="5"/>
        <v>1.1074527783704364</v>
      </c>
      <c r="E42" s="8">
        <f t="shared" ca="1" si="6"/>
        <v>2.0179955340863705E-2</v>
      </c>
      <c r="F42" s="8">
        <f t="shared" ca="1" si="7"/>
        <v>2.3812858573378975E-2</v>
      </c>
      <c r="G42" s="8">
        <f t="shared" ca="1" si="8"/>
        <v>4.3214945350351905E-2</v>
      </c>
      <c r="H42" s="10">
        <f t="shared" ca="1" si="9"/>
        <v>4097.042700648909</v>
      </c>
      <c r="I42" s="10">
        <f t="shared" ca="1" si="10"/>
        <v>556.95419506391818</v>
      </c>
      <c r="J42" s="10">
        <f t="shared" ca="1" si="11"/>
        <v>2332.628617803387</v>
      </c>
      <c r="K42" s="12">
        <f t="array" aca="1" ref="K42:L42" ca="1">Opt3Spd(H42:J42,$E$3:$G$3,$K$3:$M$3,$N$3:$P$3,$H$3,$I$3,$Q$3,$J$3)</f>
        <v>214.61951365739833</v>
      </c>
      <c r="L42" s="12">
        <f ca="1"/>
        <v>1.7834012452112802E-2</v>
      </c>
      <c r="M42" s="12">
        <f t="array" aca="1" ref="M42:N42" ca="1">Opt3Spd(H42:J42,$E$3:$G$3,$K$3:$M$3,$N$3:$P$3,$H$4,$I$3,$Q$3,$J$3)</f>
        <v>0.16718700955399868</v>
      </c>
      <c r="N42" s="12">
        <f ca="1"/>
        <v>185.56550736460778</v>
      </c>
      <c r="O42" s="12">
        <f t="shared" ca="1" si="12"/>
        <v>0.18502102200611148</v>
      </c>
    </row>
    <row r="43" spans="2:15" x14ac:dyDescent="0.15">
      <c r="B43" s="6">
        <f t="shared" ca="1" si="5"/>
        <v>0.7309401158467268</v>
      </c>
      <c r="C43" s="6">
        <f t="shared" ca="1" si="5"/>
        <v>0.67760952458426027</v>
      </c>
      <c r="D43" s="6">
        <f t="shared" ca="1" si="5"/>
        <v>0.48258853815074471</v>
      </c>
      <c r="E43" s="8">
        <f t="shared" ca="1" si="6"/>
        <v>1.6642336314693539E-2</v>
      </c>
      <c r="F43" s="8">
        <f t="shared" ca="1" si="7"/>
        <v>4.2690364186158111E-2</v>
      </c>
      <c r="G43" s="8">
        <f t="shared" ca="1" si="8"/>
        <v>3.3961673852716187E-2</v>
      </c>
      <c r="H43" s="10">
        <f t="shared" ca="1" si="9"/>
        <v>4082.8356226398091</v>
      </c>
      <c r="I43" s="10">
        <f t="shared" ca="1" si="10"/>
        <v>567.22355811726993</v>
      </c>
      <c r="J43" s="10">
        <f t="shared" ca="1" si="11"/>
        <v>2311.9383027346735</v>
      </c>
      <c r="K43" s="12">
        <f t="array" aca="1" ref="K43:L43" ca="1">Opt3Spd(H43:J43,$E$3:$G$3,$K$3:$M$3,$N$3:$P$3,$H$3,$I$3,$Q$3,$J$3)</f>
        <v>194.3565824216289</v>
      </c>
      <c r="L43" s="12">
        <f ca="1"/>
        <v>4.7804136788499818E-2</v>
      </c>
      <c r="M43" s="12">
        <f t="array" aca="1" ref="M43:N43" ca="1">Opt3Spd(H43:J43,$E$3:$G$3,$K$3:$M$3,$N$3:$P$3,$H$4,$I$3,$Q$3,$J$3)</f>
        <v>6.7399697214042043E-2</v>
      </c>
      <c r="N43" s="12">
        <f ca="1"/>
        <v>205.75862141237363</v>
      </c>
      <c r="O43" s="12">
        <f t="shared" ca="1" si="12"/>
        <v>0.11520383400254186</v>
      </c>
    </row>
    <row r="44" spans="2:15" x14ac:dyDescent="0.15">
      <c r="B44" s="6">
        <f t="shared" ca="1" si="5"/>
        <v>1.7037358570184995</v>
      </c>
      <c r="C44" s="6">
        <f t="shared" ca="1" si="5"/>
        <v>-0.72314072795399642</v>
      </c>
      <c r="D44" s="6">
        <f t="shared" ca="1" si="5"/>
        <v>-1.0185422654806031</v>
      </c>
      <c r="E44" s="8">
        <f t="shared" ca="1" si="6"/>
        <v>3.879133804423749E-2</v>
      </c>
      <c r="F44" s="8">
        <f t="shared" ca="1" si="7"/>
        <v>4.6573636352569558E-2</v>
      </c>
      <c r="G44" s="8">
        <f t="shared" ca="1" si="8"/>
        <v>4.9642642116137295E-2</v>
      </c>
      <c r="H44" s="10">
        <f t="shared" ca="1" si="9"/>
        <v>4171.7860135856581</v>
      </c>
      <c r="I44" s="10">
        <f t="shared" ca="1" si="10"/>
        <v>569.3360581757978</v>
      </c>
      <c r="J44" s="10">
        <f t="shared" ca="1" si="11"/>
        <v>2347.0009477716831</v>
      </c>
      <c r="K44" s="12">
        <f t="array" aca="1" ref="K44:L44" ca="1">Opt3Spd(H44:J44,$E$3:$G$3,$K$3:$M$3,$N$3:$P$3,$H$3,$I$3,$Q$3,$J$3)</f>
        <v>262.34921825390506</v>
      </c>
      <c r="L44" s="12">
        <f ca="1"/>
        <v>1.371635364876056E-3</v>
      </c>
      <c r="M44" s="12">
        <f t="array" aca="1" ref="M44:N44" ca="1">Opt3Spd(H44:J44,$E$3:$G$3,$K$3:$M$3,$N$3:$P$3,$H$4,$I$3,$Q$3,$J$3)</f>
        <v>1.0483502806487621</v>
      </c>
      <c r="N44" s="12">
        <f ca="1"/>
        <v>138.70050366210859</v>
      </c>
      <c r="O44" s="12">
        <f t="shared" ca="1" si="12"/>
        <v>1.0497219160136382</v>
      </c>
    </row>
    <row r="45" spans="2:15" x14ac:dyDescent="0.15">
      <c r="B45" s="6">
        <f t="shared" ca="1" si="5"/>
        <v>-2.7450825373577927E-2</v>
      </c>
      <c r="C45" s="6">
        <f t="shared" ca="1" si="5"/>
        <v>-0.91798018677569881</v>
      </c>
      <c r="D45" s="6">
        <f t="shared" ca="1" si="5"/>
        <v>-0.12002000167046752</v>
      </c>
      <c r="E45" s="8">
        <f t="shared" ca="1" si="6"/>
        <v>-6.2501134919075126E-4</v>
      </c>
      <c r="F45" s="8">
        <f t="shared" ca="1" si="7"/>
        <v>-2.2121232539569633E-2</v>
      </c>
      <c r="G45" s="8">
        <f t="shared" ca="1" si="8"/>
        <v>-4.9519480490286824E-3</v>
      </c>
      <c r="H45" s="10">
        <f t="shared" ca="1" si="9"/>
        <v>4013.4899544216496</v>
      </c>
      <c r="I45" s="10">
        <f t="shared" ca="1" si="10"/>
        <v>531.96604949847415</v>
      </c>
      <c r="J45" s="10">
        <f t="shared" ca="1" si="11"/>
        <v>2224.927444162372</v>
      </c>
      <c r="K45" s="12">
        <f t="array" aca="1" ref="K45:L45" ca="1">Opt3Spd(H45:J45,$E$3:$G$3,$K$3:$M$3,$N$3:$P$3,$H$3,$I$3,$Q$3,$J$3)</f>
        <v>224.88951681610524</v>
      </c>
      <c r="L45" s="12">
        <f ca="1"/>
        <v>8.9636732004692021E-3</v>
      </c>
      <c r="M45" s="12">
        <f t="array" aca="1" ref="M45:N45" ca="1">Opt3Spd(H45:J45,$E$3:$G$3,$K$3:$M$3,$N$3:$P$3,$H$4,$I$3,$Q$3,$J$3)</f>
        <v>0.23649394195395246</v>
      </c>
      <c r="N45" s="12">
        <f ca="1"/>
        <v>175.35594079904916</v>
      </c>
      <c r="O45" s="12">
        <f t="shared" ca="1" si="12"/>
        <v>0.24545761515442166</v>
      </c>
    </row>
    <row r="46" spans="2:15" x14ac:dyDescent="0.15">
      <c r="B46" s="6">
        <f t="shared" ca="1" si="5"/>
        <v>-2.2479795359464587</v>
      </c>
      <c r="C46" s="6">
        <f t="shared" ca="1" si="5"/>
        <v>-0.42388609801917737</v>
      </c>
      <c r="D46" s="6">
        <f t="shared" ca="1" si="5"/>
        <v>-1.4935464763145274</v>
      </c>
      <c r="E46" s="8">
        <f t="shared" ca="1" si="6"/>
        <v>-5.1182895362682002E-2</v>
      </c>
      <c r="F46" s="8">
        <f t="shared" ca="1" si="7"/>
        <v>-9.3129971373401052E-2</v>
      </c>
      <c r="G46" s="8">
        <f t="shared" ca="1" si="8"/>
        <v>-9.9728473276151725E-2</v>
      </c>
      <c r="H46" s="10">
        <f t="shared" ca="1" si="9"/>
        <v>3810.449492223469</v>
      </c>
      <c r="I46" s="10">
        <f t="shared" ca="1" si="10"/>
        <v>493.33729557286983</v>
      </c>
      <c r="J46" s="10">
        <f t="shared" ca="1" si="11"/>
        <v>2013.0071337545246</v>
      </c>
      <c r="K46" s="12">
        <f t="array" aca="1" ref="K46:L46" ca="1">Opt3Spd(H46:J46,$E$3:$G$3,$K$3:$M$3,$N$3:$P$3,$H$3,$I$3,$Q$3,$J$3)</f>
        <v>189.64884849449277</v>
      </c>
      <c r="L46" s="12">
        <f ca="1"/>
        <v>4.2596064877670869E-2</v>
      </c>
      <c r="M46" s="12">
        <f t="array" aca="1" ref="M46:N46" ca="1">Opt3Spd(H46:J46,$E$3:$G$3,$K$3:$M$3,$N$3:$P$3,$H$4,$I$3,$Q$3,$J$3)</f>
        <v>4.0258856241258023E-2</v>
      </c>
      <c r="N46" s="12">
        <f ca="1"/>
        <v>210.43400642662615</v>
      </c>
      <c r="O46" s="12">
        <f t="shared" ca="1" si="12"/>
        <v>8.2854921118928893E-2</v>
      </c>
    </row>
    <row r="47" spans="2:15" x14ac:dyDescent="0.15">
      <c r="B47" s="6">
        <f t="shared" ca="1" si="5"/>
        <v>0.56074880468921129</v>
      </c>
      <c r="C47" s="6">
        <f t="shared" ca="1" si="5"/>
        <v>-0.76658580137652121</v>
      </c>
      <c r="D47" s="6">
        <f t="shared" ca="1" si="5"/>
        <v>-0.12096175059761342</v>
      </c>
      <c r="E47" s="8">
        <f t="shared" ca="1" si="6"/>
        <v>1.2767352609850666E-2</v>
      </c>
      <c r="F47" s="8">
        <f t="shared" ca="1" si="7"/>
        <v>3.1774898036410508E-3</v>
      </c>
      <c r="G47" s="8">
        <f t="shared" ca="1" si="8"/>
        <v>1.7087010809849843E-2</v>
      </c>
      <c r="H47" s="10">
        <f t="shared" ca="1" si="9"/>
        <v>4067.2736880811599</v>
      </c>
      <c r="I47" s="10">
        <f t="shared" ca="1" si="10"/>
        <v>545.72855445318066</v>
      </c>
      <c r="J47" s="10">
        <f t="shared" ca="1" si="11"/>
        <v>2274.2065561708241</v>
      </c>
      <c r="K47" s="12">
        <f t="array" aca="1" ref="K47:L47" ca="1">Opt3Spd(H47:J47,$E$3:$G$3,$K$3:$M$3,$N$3:$P$3,$H$3,$I$3,$Q$3,$J$3)</f>
        <v>232.01131141840119</v>
      </c>
      <c r="L47" s="12">
        <f ca="1"/>
        <v>6.5885477422398253E-3</v>
      </c>
      <c r="M47" s="12">
        <f t="array" aca="1" ref="M47:N47" ca="1">Opt3Spd(H47:J47,$E$3:$G$3,$K$3:$M$3,$N$3:$P$3,$H$4,$I$3,$Q$3,$J$3)</f>
        <v>0.32679883090339246</v>
      </c>
      <c r="N47" s="12">
        <f ca="1"/>
        <v>168.32207596024443</v>
      </c>
      <c r="O47" s="12">
        <f t="shared" ca="1" si="12"/>
        <v>0.33338737864563228</v>
      </c>
    </row>
    <row r="48" spans="2:15" x14ac:dyDescent="0.15">
      <c r="B48" s="6">
        <f t="shared" ca="1" si="5"/>
        <v>-1.3915528425062398</v>
      </c>
      <c r="C48" s="6">
        <f t="shared" ca="1" si="5"/>
        <v>-1.3667237706557822</v>
      </c>
      <c r="D48" s="6">
        <f t="shared" ca="1" si="5"/>
        <v>1.8122221431080905</v>
      </c>
      <c r="E48" s="8">
        <f t="shared" ca="1" si="6"/>
        <v>-3.1683430560969283E-2</v>
      </c>
      <c r="F48" s="8">
        <f t="shared" ca="1" si="7"/>
        <v>-8.3036514426002836E-2</v>
      </c>
      <c r="G48" s="8">
        <f t="shared" ca="1" si="8"/>
        <v>-3.578524675391212E-2</v>
      </c>
      <c r="H48" s="10">
        <f t="shared" ca="1" si="9"/>
        <v>3888.7593428671476</v>
      </c>
      <c r="I48" s="10">
        <f t="shared" ca="1" si="10"/>
        <v>498.8281361522545</v>
      </c>
      <c r="J48" s="10">
        <f t="shared" ca="1" si="11"/>
        <v>2155.9841882582523</v>
      </c>
      <c r="K48" s="12">
        <f t="array" aca="1" ref="K48:L48" ca="1">Opt3Spd(H48:J48,$E$3:$G$3,$K$3:$M$3,$N$3:$P$3,$H$3,$I$3,$Q$3,$J$3)</f>
        <v>187.69619954280665</v>
      </c>
      <c r="L48" s="12">
        <f ca="1"/>
        <v>5.3968648392356044E-2</v>
      </c>
      <c r="M48" s="12">
        <f t="array" aca="1" ref="M48:N48" ca="1">Opt3Spd(H48:J48,$E$3:$G$3,$K$3:$M$3,$N$3:$P$3,$H$4,$I$3,$Q$3,$J$3)</f>
        <v>4.1794233054383234E-2</v>
      </c>
      <c r="N48" s="12">
        <f ca="1"/>
        <v>212.39956333864009</v>
      </c>
      <c r="O48" s="12">
        <f t="shared" ca="1" si="12"/>
        <v>9.5762881446739279E-2</v>
      </c>
    </row>
    <row r="49" spans="2:15" x14ac:dyDescent="0.15">
      <c r="B49" s="6">
        <f t="shared" ca="1" si="5"/>
        <v>0.57047449816293094</v>
      </c>
      <c r="C49" s="6">
        <f t="shared" ca="1" si="5"/>
        <v>0.87834891050201835</v>
      </c>
      <c r="D49" s="6">
        <f t="shared" ca="1" si="5"/>
        <v>0.52882666045406845</v>
      </c>
      <c r="E49" s="8">
        <f t="shared" ca="1" si="6"/>
        <v>1.2988791080902106E-2</v>
      </c>
      <c r="F49" s="8">
        <f t="shared" ca="1" si="7"/>
        <v>4.1352826871862133E-2</v>
      </c>
      <c r="G49" s="8">
        <f t="shared" ca="1" si="8"/>
        <v>2.9141745836581745E-2</v>
      </c>
      <c r="H49" s="10">
        <f t="shared" ca="1" si="9"/>
        <v>4068.1629849809028</v>
      </c>
      <c r="I49" s="10">
        <f t="shared" ca="1" si="10"/>
        <v>566.49593781829299</v>
      </c>
      <c r="J49" s="10">
        <f t="shared" ca="1" si="11"/>
        <v>2301.1609436905965</v>
      </c>
      <c r="K49" s="12">
        <f t="array" aca="1" ref="K49:L49" ca="1">Opt3Spd(H49:J49,$E$3:$G$3,$K$3:$M$3,$N$3:$P$3,$H$3,$I$3,$Q$3,$J$3)</f>
        <v>186.25824779533377</v>
      </c>
      <c r="L49" s="12">
        <f ca="1"/>
        <v>6.9235168998147856E-2</v>
      </c>
      <c r="M49" s="12">
        <f t="array" aca="1" ref="M49:N49" ca="1">Opt3Spd(H49:J49,$E$3:$G$3,$K$3:$M$3,$N$3:$P$3,$H$4,$I$3,$Q$3,$J$3)</f>
        <v>4.5605156973879346E-2</v>
      </c>
      <c r="N49" s="12">
        <f ca="1"/>
        <v>213.85659253063827</v>
      </c>
      <c r="O49" s="12">
        <f t="shared" ca="1" si="12"/>
        <v>0.1148403259720272</v>
      </c>
    </row>
    <row r="50" spans="2:15" x14ac:dyDescent="0.15">
      <c r="B50" s="6">
        <f t="shared" ca="1" si="5"/>
        <v>2.1624605656491798</v>
      </c>
      <c r="C50" s="6">
        <f t="shared" ca="1" si="5"/>
        <v>0.3436054569060199</v>
      </c>
      <c r="D50" s="6">
        <f t="shared" ca="1" si="5"/>
        <v>0.98752211293910452</v>
      </c>
      <c r="E50" s="8">
        <f t="shared" ca="1" si="6"/>
        <v>4.9235765311781851E-2</v>
      </c>
      <c r="F50" s="8">
        <f t="shared" ca="1" si="7"/>
        <v>8.8112240711502046E-2</v>
      </c>
      <c r="G50" s="8">
        <f t="shared" ca="1" si="8"/>
        <v>9.0962887956296118E-2</v>
      </c>
      <c r="H50" s="10">
        <f t="shared" ca="1" si="9"/>
        <v>4213.7308334921163</v>
      </c>
      <c r="I50" s="10">
        <f t="shared" ca="1" si="10"/>
        <v>591.93305894705713</v>
      </c>
      <c r="J50" s="10">
        <f t="shared" ca="1" si="11"/>
        <v>2439.3930174702778</v>
      </c>
      <c r="K50" s="12">
        <f t="array" aca="1" ref="K50:L50" ca="1">Opt3Spd(H50:J50,$E$3:$G$3,$K$3:$M$3,$N$3:$P$3,$H$3,$I$3,$Q$3,$J$3)</f>
        <v>221.95599011086915</v>
      </c>
      <c r="L50" s="12">
        <f ca="1"/>
        <v>1.4559669182972357E-2</v>
      </c>
      <c r="M50" s="12">
        <f t="array" aca="1" ref="M50:N50" ca="1">Opt3Spd(H50:J50,$E$3:$G$3,$K$3:$M$3,$N$3:$P$3,$H$4,$I$3,$Q$3,$J$3)</f>
        <v>0.24807569415582975</v>
      </c>
      <c r="N50" s="12">
        <f ca="1"/>
        <v>178.30664525246965</v>
      </c>
      <c r="O50" s="12">
        <f t="shared" ca="1" si="12"/>
        <v>0.26263536333880211</v>
      </c>
    </row>
    <row r="51" spans="2:15" x14ac:dyDescent="0.15">
      <c r="B51" s="6">
        <f t="shared" ca="1" si="5"/>
        <v>-0.59487917407969348</v>
      </c>
      <c r="C51" s="6">
        <f t="shared" ca="1" si="5"/>
        <v>0.36986876919110834</v>
      </c>
      <c r="D51" s="6">
        <f t="shared" ca="1" si="5"/>
        <v>0.14070284281003503</v>
      </c>
      <c r="E51" s="8">
        <f t="shared" ca="1" si="6"/>
        <v>-1.3544446483379744E-2</v>
      </c>
      <c r="F51" s="8">
        <f t="shared" ca="1" si="7"/>
        <v>-1.3563433592527766E-2</v>
      </c>
      <c r="G51" s="8">
        <f t="shared" ca="1" si="8"/>
        <v>-1.9282260145818186E-2</v>
      </c>
      <c r="H51" s="10">
        <f t="shared" ca="1" si="9"/>
        <v>3961.6055029227473</v>
      </c>
      <c r="I51" s="10">
        <f t="shared" ca="1" si="10"/>
        <v>536.62149212566487</v>
      </c>
      <c r="J51" s="10">
        <f t="shared" ca="1" si="11"/>
        <v>2192.8848663139506</v>
      </c>
      <c r="K51" s="12">
        <f t="array" aca="1" ref="K51:L51" ca="1">Opt3Spd(H51:J51,$E$3:$G$3,$K$3:$M$3,$N$3:$P$3,$H$3,$I$3,$Q$3,$J$3)</f>
        <v>181.64443126554283</v>
      </c>
      <c r="L51" s="12">
        <f ca="1"/>
        <v>7.5748900834469168E-2</v>
      </c>
      <c r="M51" s="12">
        <f t="array" aca="1" ref="M51:N51" ca="1">Opt3Spd(H51:J51,$E$3:$G$3,$K$3:$M$3,$N$3:$P$3,$H$4,$I$3,$Q$3,$J$3)</f>
        <v>3.2348051232028663E-2</v>
      </c>
      <c r="N51" s="12">
        <f ca="1"/>
        <v>218.46366568652365</v>
      </c>
      <c r="O51" s="12">
        <f t="shared" ca="1" si="12"/>
        <v>0.10809695206649783</v>
      </c>
    </row>
    <row r="52" spans="2:15" x14ac:dyDescent="0.15">
      <c r="B52" s="6">
        <f t="shared" ca="1" si="5"/>
        <v>-0.12488303267728468</v>
      </c>
      <c r="C52" s="6">
        <f t="shared" ca="1" si="5"/>
        <v>-0.10726434379683648</v>
      </c>
      <c r="D52" s="6">
        <f t="shared" ca="1" si="5"/>
        <v>-0.10420993534234656</v>
      </c>
      <c r="E52" s="8">
        <f t="shared" ca="1" si="6"/>
        <v>-2.8433867354600764E-3</v>
      </c>
      <c r="F52" s="8">
        <f t="shared" ca="1" si="7"/>
        <v>-7.0981969486880068E-3</v>
      </c>
      <c r="G52" s="8">
        <f t="shared" ca="1" si="8"/>
        <v>-6.0095389091249195E-3</v>
      </c>
      <c r="H52" s="10">
        <f t="shared" ca="1" si="9"/>
        <v>4004.5809588703924</v>
      </c>
      <c r="I52" s="10">
        <f t="shared" ca="1" si="10"/>
        <v>540.13858085991376</v>
      </c>
      <c r="J52" s="10">
        <f t="shared" ca="1" si="11"/>
        <v>2222.5626709991966</v>
      </c>
      <c r="K52" s="12">
        <f t="array" aca="1" ref="K52:L52" ca="1">Opt3Spd(H52:J52,$E$3:$G$3,$K$3:$M$3,$N$3:$P$3,$H$3,$I$3,$Q$3,$J$3)</f>
        <v>204.10427015121559</v>
      </c>
      <c r="L52" s="12">
        <f ca="1"/>
        <v>2.6376156283731689E-2</v>
      </c>
      <c r="M52" s="12">
        <f t="array" aca="1" ref="M52:N52" ca="1">Opt3Spd(H52:J52,$E$3:$G$3,$K$3:$M$3,$N$3:$P$3,$H$4,$I$3,$Q$3,$J$3)</f>
        <v>9.6403736756311531E-2</v>
      </c>
      <c r="N52" s="12">
        <f ca="1"/>
        <v>196.01850974182446</v>
      </c>
      <c r="O52" s="12">
        <f t="shared" ca="1" si="12"/>
        <v>0.12277989304004322</v>
      </c>
    </row>
    <row r="53" spans="2:15" x14ac:dyDescent="0.15">
      <c r="B53" s="6">
        <f t="shared" ca="1" si="5"/>
        <v>0.96124514614797463</v>
      </c>
      <c r="C53" s="6">
        <f t="shared" ca="1" si="5"/>
        <v>0.2469355061870159</v>
      </c>
      <c r="D53" s="6">
        <f t="shared" ca="1" si="5"/>
        <v>-0.10556270957483992</v>
      </c>
      <c r="E53" s="8">
        <f t="shared" ca="1" si="6"/>
        <v>2.1886013171585009E-2</v>
      </c>
      <c r="F53" s="8">
        <f t="shared" ca="1" si="7"/>
        <v>4.1332639299059358E-2</v>
      </c>
      <c r="G53" s="8">
        <f t="shared" ca="1" si="8"/>
        <v>3.4906864776168146E-2</v>
      </c>
      <c r="H53" s="10">
        <f t="shared" ca="1" si="9"/>
        <v>4103.8942288970857</v>
      </c>
      <c r="I53" s="10">
        <f t="shared" ca="1" si="10"/>
        <v>566.48495577868835</v>
      </c>
      <c r="J53" s="10">
        <f t="shared" ca="1" si="11"/>
        <v>2314.0517496395119</v>
      </c>
      <c r="K53" s="12">
        <f t="array" aca="1" ref="K53:L53" ca="1">Opt3Spd(H53:J53,$E$3:$G$3,$K$3:$M$3,$N$3:$P$3,$H$3,$I$3,$Q$3,$J$3)</f>
        <v>215.50927338205634</v>
      </c>
      <c r="L53" s="12">
        <f ca="1"/>
        <v>1.684855062785573E-2</v>
      </c>
      <c r="M53" s="12">
        <f t="array" aca="1" ref="M53:N53" ca="1">Opt3Spd(H53:J53,$E$3:$G$3,$K$3:$M$3,$N$3:$P$3,$H$4,$I$3,$Q$3,$J$3)</f>
        <v>0.17189020915527919</v>
      </c>
      <c r="N53" s="12">
        <f ca="1"/>
        <v>184.67946537772679</v>
      </c>
      <c r="O53" s="12">
        <f t="shared" ca="1" si="12"/>
        <v>0.18873875978313492</v>
      </c>
    </row>
    <row r="54" spans="2:15" x14ac:dyDescent="0.15">
      <c r="B54" s="6">
        <f t="shared" ca="1" si="5"/>
        <v>-1.4035834402822298</v>
      </c>
      <c r="C54" s="6">
        <f t="shared" ca="1" si="5"/>
        <v>-1.4408353483227239</v>
      </c>
      <c r="D54" s="6">
        <f t="shared" ca="1" si="5"/>
        <v>-0.26656569314180273</v>
      </c>
      <c r="E54" s="8">
        <f t="shared" ca="1" si="6"/>
        <v>-3.1957348013184776E-2</v>
      </c>
      <c r="F54" s="8">
        <f t="shared" ca="1" si="7"/>
        <v>-8.5186485398589695E-2</v>
      </c>
      <c r="G54" s="8">
        <f t="shared" ca="1" si="8"/>
        <v>-5.8587814963172141E-2</v>
      </c>
      <c r="H54" s="10">
        <f t="shared" ca="1" si="9"/>
        <v>3887.6592903790502</v>
      </c>
      <c r="I54" s="10">
        <f t="shared" ca="1" si="10"/>
        <v>497.6585519431672</v>
      </c>
      <c r="J54" s="10">
        <f t="shared" ca="1" si="11"/>
        <v>2104.9976457423472</v>
      </c>
      <c r="K54" s="12">
        <f t="array" aca="1" ref="K54:L54" ca="1">Opt3Spd(H54:J54,$E$3:$G$3,$K$3:$M$3,$N$3:$P$3,$H$3,$I$3,$Q$3,$J$3)</f>
        <v>213.9204192145171</v>
      </c>
      <c r="L54" s="12">
        <f ca="1"/>
        <v>1.3634815707973758E-2</v>
      </c>
      <c r="M54" s="12">
        <f t="array" aca="1" ref="M54:N54" ca="1">Opt3Spd(H54:J54,$E$3:$G$3,$K$3:$M$3,$N$3:$P$3,$H$4,$I$3,$Q$3,$J$3)</f>
        <v>0.13559319953852444</v>
      </c>
      <c r="N54" s="12">
        <f ca="1"/>
        <v>186.22880880072941</v>
      </c>
      <c r="O54" s="12">
        <f t="shared" ca="1" si="12"/>
        <v>0.1492280152464982</v>
      </c>
    </row>
    <row r="55" spans="2:15" x14ac:dyDescent="0.15">
      <c r="B55" s="6">
        <f t="shared" ca="1" si="5"/>
        <v>-0.13662705148028725</v>
      </c>
      <c r="C55" s="6">
        <f t="shared" ca="1" si="5"/>
        <v>2.828715374689426</v>
      </c>
      <c r="D55" s="6">
        <f t="shared" ca="1" si="5"/>
        <v>-0.26459936556406422</v>
      </c>
      <c r="E55" s="8">
        <f t="shared" ca="1" si="6"/>
        <v>-3.1107792432296701E-3</v>
      </c>
      <c r="F55" s="8">
        <f t="shared" ca="1" si="7"/>
        <v>5.9959937403994017E-2</v>
      </c>
      <c r="G55" s="8">
        <f t="shared" ca="1" si="8"/>
        <v>3.7343127905296446E-4</v>
      </c>
      <c r="H55" s="10">
        <f t="shared" ca="1" si="9"/>
        <v>4003.5071105591896</v>
      </c>
      <c r="I55" s="10">
        <f t="shared" ca="1" si="10"/>
        <v>576.61820594777282</v>
      </c>
      <c r="J55" s="10">
        <f t="shared" ca="1" si="11"/>
        <v>2236.8349923399624</v>
      </c>
      <c r="K55" s="12">
        <f t="array" aca="1" ref="K55:L55" ca="1">Opt3Spd(H55:J55,$E$3:$G$3,$K$3:$M$3,$N$3:$P$3,$H$3,$I$3,$Q$3,$J$3)</f>
        <v>138.03070139518059</v>
      </c>
      <c r="L55" s="12">
        <f ca="1"/>
        <v>0.53021652240863659</v>
      </c>
      <c r="M55" s="12">
        <f t="array" aca="1" ref="M55:N55" ca="1">Opt3Spd(H55:J55,$E$3:$G$3,$K$3:$M$3,$N$3:$P$3,$H$4,$I$3,$Q$3,$J$3)</f>
        <v>3.298905247698547E-3</v>
      </c>
      <c r="N55" s="12">
        <f ca="1"/>
        <v>262.50281403247573</v>
      </c>
      <c r="O55" s="12">
        <f t="shared" ca="1" si="12"/>
        <v>0.53351542765633519</v>
      </c>
    </row>
    <row r="56" spans="2:15" x14ac:dyDescent="0.15">
      <c r="B56" s="6">
        <f t="shared" ca="1" si="5"/>
        <v>0.58625904519012106</v>
      </c>
      <c r="C56" s="6">
        <f t="shared" ca="1" si="5"/>
        <v>-0.23650591526444645</v>
      </c>
      <c r="D56" s="6">
        <f t="shared" ca="1" si="5"/>
        <v>0.71850642636292672</v>
      </c>
      <c r="E56" s="8">
        <f t="shared" ca="1" si="6"/>
        <v>1.3348179948069822E-2</v>
      </c>
      <c r="F56" s="8">
        <f t="shared" ca="1" si="7"/>
        <v>1.6309494279301725E-2</v>
      </c>
      <c r="G56" s="8">
        <f t="shared" ca="1" si="8"/>
        <v>2.8505922177710898E-2</v>
      </c>
      <c r="H56" s="10">
        <f t="shared" ca="1" si="9"/>
        <v>4069.6062906714487</v>
      </c>
      <c r="I56" s="10">
        <f t="shared" ca="1" si="10"/>
        <v>552.87236488794008</v>
      </c>
      <c r="J56" s="10">
        <f t="shared" ca="1" si="11"/>
        <v>2299.7392419893613</v>
      </c>
      <c r="K56" s="12">
        <f t="array" aca="1" ref="K56:L56" ca="1">Opt3Spd(H56:J56,$E$3:$G$3,$K$3:$M$3,$N$3:$P$3,$H$3,$I$3,$Q$3,$J$3)</f>
        <v>210.16231701544075</v>
      </c>
      <c r="L56" s="12">
        <f ca="1"/>
        <v>2.1431159376788855E-2</v>
      </c>
      <c r="M56" s="12">
        <f t="array" aca="1" ref="M56:N56" ca="1">Opt3Spd(H56:J56,$E$3:$G$3,$K$3:$M$3,$N$3:$P$3,$H$4,$I$3,$Q$3,$J$3)</f>
        <v>0.13453069707997578</v>
      </c>
      <c r="N56" s="12">
        <f ca="1"/>
        <v>189.99364484101602</v>
      </c>
      <c r="O56" s="12">
        <f t="shared" ca="1" si="12"/>
        <v>0.15596185645676464</v>
      </c>
    </row>
    <row r="57" spans="2:15" x14ac:dyDescent="0.15">
      <c r="B57" s="6">
        <f t="shared" ca="1" si="5"/>
        <v>1.3447451840098872</v>
      </c>
      <c r="C57" s="6">
        <f t="shared" ca="1" si="5"/>
        <v>-0.2404521660782756</v>
      </c>
      <c r="D57" s="6">
        <f t="shared" ca="1" si="5"/>
        <v>-0.57252120986181398</v>
      </c>
      <c r="E57" s="8">
        <f t="shared" ca="1" si="6"/>
        <v>3.0617695108897079E-2</v>
      </c>
      <c r="F57" s="8">
        <f t="shared" ca="1" si="7"/>
        <v>4.4353694353333556E-2</v>
      </c>
      <c r="G57" s="8">
        <f t="shared" ca="1" si="8"/>
        <v>4.260662599108983E-2</v>
      </c>
      <c r="H57" s="10">
        <f t="shared" ca="1" si="9"/>
        <v>4138.96066355733</v>
      </c>
      <c r="I57" s="10">
        <f t="shared" ca="1" si="10"/>
        <v>568.12840972821346</v>
      </c>
      <c r="J57" s="10">
        <f t="shared" ca="1" si="11"/>
        <v>2331.2684157160766</v>
      </c>
      <c r="K57" s="12">
        <f t="array" aca="1" ref="K57:L57" ca="1">Opt3Spd(H57:J57,$E$3:$G$3,$K$3:$M$3,$N$3:$P$3,$H$3,$I$3,$Q$3,$J$3)</f>
        <v>239.32590189061375</v>
      </c>
      <c r="L57" s="12">
        <f ca="1"/>
        <v>4.9017564633686561E-3</v>
      </c>
      <c r="M57" s="12">
        <f t="array" aca="1" ref="M57:N57" ca="1">Opt3Spd(H57:J57,$E$3:$G$3,$K$3:$M$3,$N$3:$P$3,$H$4,$I$3,$Q$3,$J$3)</f>
        <v>0.45249580056823646</v>
      </c>
      <c r="N57" s="12">
        <f ca="1"/>
        <v>161.13149566641786</v>
      </c>
      <c r="O57" s="12">
        <f t="shared" ca="1" si="12"/>
        <v>0.45739755703160512</v>
      </c>
    </row>
    <row r="58" spans="2:15" x14ac:dyDescent="0.15">
      <c r="B58" s="6">
        <f t="shared" ca="1" si="5"/>
        <v>-0.32776684036587811</v>
      </c>
      <c r="C58" s="6">
        <f t="shared" ca="1" si="5"/>
        <v>-0.73693453890201521</v>
      </c>
      <c r="D58" s="6">
        <f t="shared" ca="1" si="5"/>
        <v>0.15691480734647514</v>
      </c>
      <c r="E58" s="8">
        <f t="shared" ca="1" si="6"/>
        <v>-7.4627262506375405E-3</v>
      </c>
      <c r="F58" s="8">
        <f t="shared" ca="1" si="7"/>
        <v>-2.9099042377799166E-2</v>
      </c>
      <c r="G58" s="8">
        <f t="shared" ca="1" si="8"/>
        <v>-1.2509298235026212E-2</v>
      </c>
      <c r="H58" s="10">
        <f t="shared" ca="1" si="9"/>
        <v>3986.02969137744</v>
      </c>
      <c r="I58" s="10">
        <f t="shared" ca="1" si="10"/>
        <v>528.17012094647725</v>
      </c>
      <c r="J58" s="10">
        <f t="shared" ca="1" si="11"/>
        <v>2208.0292091464812</v>
      </c>
      <c r="K58" s="12">
        <f t="array" aca="1" ref="K58:L58" ca="1">Opt3Spd(H58:J58,$E$3:$G$3,$K$3:$M$3,$N$3:$P$3,$H$3,$I$3,$Q$3,$J$3)</f>
        <v>211.96015775300407</v>
      </c>
      <c r="L58" s="12">
        <f ca="1"/>
        <v>1.7264463168430666E-2</v>
      </c>
      <c r="M58" s="12">
        <f t="array" aca="1" ref="M58:N58" ca="1">Opt3Spd(H58:J58,$E$3:$G$3,$K$3:$M$3,$N$3:$P$3,$H$4,$I$3,$Q$3,$J$3)</f>
        <v>0.13473933669090954</v>
      </c>
      <c r="N58" s="12">
        <f ca="1"/>
        <v>188.19184604685526</v>
      </c>
      <c r="O58" s="12">
        <f t="shared" ca="1" si="12"/>
        <v>0.15200379985934021</v>
      </c>
    </row>
    <row r="59" spans="2:15" x14ac:dyDescent="0.15">
      <c r="B59" s="6">
        <f t="shared" ca="1" si="5"/>
        <v>0.51006808538470472</v>
      </c>
      <c r="C59" s="6">
        <f t="shared" ca="1" si="5"/>
        <v>-1.266286333434761E-2</v>
      </c>
      <c r="D59" s="6">
        <f t="shared" ca="1" si="5"/>
        <v>-0.75495066202197125</v>
      </c>
      <c r="E59" s="8">
        <f t="shared" ca="1" si="6"/>
        <v>1.1613433763353748E-2</v>
      </c>
      <c r="F59" s="8">
        <f t="shared" ca="1" si="7"/>
        <v>1.8629118975459442E-2</v>
      </c>
      <c r="G59" s="8">
        <f t="shared" ca="1" si="8"/>
        <v>1.0659781596435795E-2</v>
      </c>
      <c r="H59" s="10">
        <f t="shared" ca="1" si="9"/>
        <v>4062.6395499936289</v>
      </c>
      <c r="I59" s="10">
        <f t="shared" ca="1" si="10"/>
        <v>554.13424072265002</v>
      </c>
      <c r="J59" s="10">
        <f t="shared" ca="1" si="11"/>
        <v>2259.8352716496302</v>
      </c>
      <c r="K59" s="12">
        <f t="array" aca="1" ref="K59:L59" ca="1">Opt3Spd(H59:J59,$E$3:$G$3,$K$3:$M$3,$N$3:$P$3,$H$3,$I$3,$Q$3,$J$3)</f>
        <v>221.11878294554799</v>
      </c>
      <c r="L59" s="12">
        <f ca="1"/>
        <v>1.1653932974240888E-2</v>
      </c>
      <c r="M59" s="12">
        <f t="array" aca="1" ref="M59:N59" ca="1">Opt3Spd(H59:J59,$E$3:$G$3,$K$3:$M$3,$N$3:$P$3,$H$4,$I$3,$Q$3,$J$3)</f>
        <v>0.20827610533370589</v>
      </c>
      <c r="N59" s="12">
        <f ca="1"/>
        <v>179.10114709275996</v>
      </c>
      <c r="O59" s="12">
        <f t="shared" ca="1" si="12"/>
        <v>0.21993003830794677</v>
      </c>
    </row>
    <row r="60" spans="2:15" x14ac:dyDescent="0.15">
      <c r="B60" s="6">
        <f t="shared" ca="1" si="5"/>
        <v>0.76228681374812823</v>
      </c>
      <c r="C60" s="6">
        <f t="shared" ca="1" si="5"/>
        <v>0.47807024512692098</v>
      </c>
      <c r="D60" s="6">
        <f t="shared" ca="1" si="5"/>
        <v>-0.13734100656668594</v>
      </c>
      <c r="E60" s="8">
        <f t="shared" ca="1" si="6"/>
        <v>1.7356050444647809E-2</v>
      </c>
      <c r="F60" s="8">
        <f t="shared" ca="1" si="7"/>
        <v>3.9266015304366006E-2</v>
      </c>
      <c r="G60" s="8">
        <f t="shared" ca="1" si="8"/>
        <v>2.7929900686927304E-2</v>
      </c>
      <c r="H60" s="10">
        <f t="shared" ca="1" si="9"/>
        <v>4085.7018985857053</v>
      </c>
      <c r="I60" s="10">
        <f t="shared" ca="1" si="10"/>
        <v>565.36071232557515</v>
      </c>
      <c r="J60" s="10">
        <f t="shared" ca="1" si="11"/>
        <v>2298.4512579359694</v>
      </c>
      <c r="K60" s="12">
        <f t="array" aca="1" ref="K60:L60" ca="1">Opt3Spd(H60:J60,$E$3:$G$3,$K$3:$M$3,$N$3:$P$3,$H$3,$I$3,$Q$3,$J$3)</f>
        <v>206.92461489984021</v>
      </c>
      <c r="L60" s="12">
        <f ca="1"/>
        <v>2.5485003040103038E-2</v>
      </c>
      <c r="M60" s="12">
        <f t="array" aca="1" ref="M60:N60" ca="1">Opt3Spd(H60:J60,$E$3:$G$3,$K$3:$M$3,$N$3:$P$3,$H$4,$I$3,$Q$3,$J$3)</f>
        <v>0.11727472480100687</v>
      </c>
      <c r="N60" s="12">
        <f ca="1"/>
        <v>193.2181448280009</v>
      </c>
      <c r="O60" s="12">
        <f t="shared" ca="1" si="12"/>
        <v>0.14275972784110991</v>
      </c>
    </row>
    <row r="61" spans="2:15" x14ac:dyDescent="0.15">
      <c r="B61" s="6">
        <f t="shared" ca="1" si="5"/>
        <v>0.14956517656122092</v>
      </c>
      <c r="C61" s="6">
        <f t="shared" ca="1" si="5"/>
        <v>0.79242532935184651</v>
      </c>
      <c r="D61" s="6">
        <f t="shared" ca="1" si="5"/>
        <v>-1.418870460148137</v>
      </c>
      <c r="E61" s="8">
        <f t="shared" ca="1" si="6"/>
        <v>3.4053596393665555E-3</v>
      </c>
      <c r="F61" s="8">
        <f t="shared" ca="1" si="7"/>
        <v>2.3764565816910298E-2</v>
      </c>
      <c r="G61" s="8">
        <f t="shared" ca="1" si="8"/>
        <v>-7.3201351400071805E-3</v>
      </c>
      <c r="H61" s="10">
        <f t="shared" ca="1" si="9"/>
        <v>4029.6759243116962</v>
      </c>
      <c r="I61" s="10">
        <f t="shared" ca="1" si="10"/>
        <v>556.92792380439926</v>
      </c>
      <c r="J61" s="10">
        <f t="shared" ca="1" si="11"/>
        <v>2219.6321778269439</v>
      </c>
      <c r="K61" s="12">
        <f t="array" aca="1" ref="K61:L61" ca="1">Opt3Spd(H61:J61,$E$3:$G$3,$K$3:$M$3,$N$3:$P$3,$H$3,$I$3,$Q$3,$J$3)</f>
        <v>203.80223319836546</v>
      </c>
      <c r="L61" s="12">
        <f ca="1"/>
        <v>2.7075887179989877E-2</v>
      </c>
      <c r="M61" s="12">
        <f t="array" aca="1" ref="M61:N61" ca="1">Opt3Spd(H61:J61,$E$3:$G$3,$K$3:$M$3,$N$3:$P$3,$H$4,$I$3,$Q$3,$J$3)</f>
        <v>9.5433056643676295E-2</v>
      </c>
      <c r="N61" s="12">
        <f ca="1"/>
        <v>196.32027574545822</v>
      </c>
      <c r="O61" s="12">
        <f t="shared" ca="1" si="12"/>
        <v>0.12250894382366617</v>
      </c>
    </row>
    <row r="62" spans="2:15" x14ac:dyDescent="0.15">
      <c r="B62" s="6">
        <f t="shared" ca="1" si="5"/>
        <v>5.1124452376634807E-2</v>
      </c>
      <c r="C62" s="6">
        <f t="shared" ca="1" si="5"/>
        <v>0.27631964793199981</v>
      </c>
      <c r="D62" s="6">
        <f t="shared" ca="1" si="5"/>
        <v>0.15829731211617612</v>
      </c>
      <c r="E62" s="8">
        <f t="shared" ca="1" si="6"/>
        <v>1.164021938200616E-3</v>
      </c>
      <c r="F62" s="8">
        <f t="shared" ca="1" si="7"/>
        <v>8.2485591726535051E-3</v>
      </c>
      <c r="G62" s="8">
        <f t="shared" ca="1" si="8"/>
        <v>4.3667270093982295E-3</v>
      </c>
      <c r="H62" s="10">
        <f t="shared" ca="1" si="9"/>
        <v>4020.6747121038134</v>
      </c>
      <c r="I62" s="10">
        <f t="shared" ca="1" si="10"/>
        <v>548.48721618992352</v>
      </c>
      <c r="J62" s="10">
        <f t="shared" ca="1" si="11"/>
        <v>2245.7640015930147</v>
      </c>
      <c r="K62" s="12">
        <f t="array" aca="1" ref="K62:L62" ca="1">Opt3Spd(H62:J62,$E$3:$G$3,$K$3:$M$3,$N$3:$P$3,$H$3,$I$3,$Q$3,$J$3)</f>
        <v>195.25524638748857</v>
      </c>
      <c r="L62" s="12">
        <f ca="1"/>
        <v>4.2080984060248738E-2</v>
      </c>
      <c r="M62" s="12">
        <f t="array" aca="1" ref="M62:N62" ca="1">Opt3Spd(H62:J62,$E$3:$G$3,$K$3:$M$3,$N$3:$P$3,$H$4,$I$3,$Q$3,$J$3)</f>
        <v>6.5723855922151131E-2</v>
      </c>
      <c r="N62" s="12">
        <f ca="1"/>
        <v>204.85255845249384</v>
      </c>
      <c r="O62" s="12">
        <f t="shared" ca="1" si="12"/>
        <v>0.10780483998239987</v>
      </c>
    </row>
    <row r="63" spans="2:15" x14ac:dyDescent="0.15">
      <c r="B63" s="6">
        <f t="shared" ca="1" si="5"/>
        <v>1.9035571550569146</v>
      </c>
      <c r="C63" s="6">
        <f t="shared" ca="1" si="5"/>
        <v>-1.1108246662799444</v>
      </c>
      <c r="D63" s="6">
        <f t="shared" ca="1" si="5"/>
        <v>-0.22608507412252563</v>
      </c>
      <c r="E63" s="8">
        <f t="shared" ca="1" si="6"/>
        <v>4.3340949117289133E-2</v>
      </c>
      <c r="F63" s="8">
        <f t="shared" ca="1" si="7"/>
        <v>4.5073439958025763E-2</v>
      </c>
      <c r="G63" s="8">
        <f t="shared" ca="1" si="8"/>
        <v>6.4300406015993641E-2</v>
      </c>
      <c r="H63" s="10">
        <f t="shared" ca="1" si="9"/>
        <v>4190.0572516550328</v>
      </c>
      <c r="I63" s="10">
        <f t="shared" ca="1" si="10"/>
        <v>568.51995133716594</v>
      </c>
      <c r="J63" s="10">
        <f t="shared" ca="1" si="11"/>
        <v>2379.775707851762</v>
      </c>
      <c r="K63" s="12">
        <f t="array" aca="1" ref="K63:L63" ca="1">Opt3Spd(H63:J63,$E$3:$G$3,$K$3:$M$3,$N$3:$P$3,$H$3,$I$3,$Q$3,$J$3)</f>
        <v>265.53867445371247</v>
      </c>
      <c r="L63" s="12">
        <f ca="1"/>
        <v>1.1988640260369721E-3</v>
      </c>
      <c r="M63" s="12">
        <f t="array" aca="1" ref="M63:N63" ca="1">Opt3Spd(H63:J63,$E$3:$G$3,$K$3:$M$3,$N$3:$P$3,$H$4,$I$3,$Q$3,$J$3)</f>
        <v>1.1857238781637136</v>
      </c>
      <c r="N63" s="12">
        <f ca="1"/>
        <v>135.64824828847728</v>
      </c>
      <c r="O63" s="12">
        <f t="shared" ca="1" si="12"/>
        <v>1.1869227421897506</v>
      </c>
    </row>
    <row r="64" spans="2:15" x14ac:dyDescent="0.15">
      <c r="B64" s="6">
        <f t="shared" ca="1" si="5"/>
        <v>0.31500235812158611</v>
      </c>
      <c r="C64" s="6">
        <f t="shared" ca="1" si="5"/>
        <v>-0.24991952398682024</v>
      </c>
      <c r="D64" s="6">
        <f t="shared" ca="1" si="5"/>
        <v>1.2708728442998385</v>
      </c>
      <c r="E64" s="8">
        <f t="shared" ca="1" si="6"/>
        <v>7.1720994239154083E-3</v>
      </c>
      <c r="F64" s="8">
        <f t="shared" ca="1" si="7"/>
        <v>5.9392710531692844E-3</v>
      </c>
      <c r="G64" s="8">
        <f t="shared" ca="1" si="8"/>
        <v>2.4385842788306033E-2</v>
      </c>
      <c r="H64" s="10">
        <f t="shared" ca="1" si="9"/>
        <v>4044.8031512864445</v>
      </c>
      <c r="I64" s="10">
        <f t="shared" ca="1" si="10"/>
        <v>547.23096345292413</v>
      </c>
      <c r="J64" s="10">
        <f t="shared" ca="1" si="11"/>
        <v>2290.5267444746523</v>
      </c>
      <c r="K64" s="12">
        <f t="array" aca="1" ref="K64:L64" ca="1">Opt3Spd(H64:J64,$E$3:$G$3,$K$3:$M$3,$N$3:$P$3,$H$3,$I$3,$Q$3,$J$3)</f>
        <v>199.00693029295394</v>
      </c>
      <c r="L64" s="12">
        <f ca="1"/>
        <v>3.669276851428549E-2</v>
      </c>
      <c r="M64" s="12">
        <f t="array" aca="1" ref="M64:N64" ca="1">Opt3Spd(H64:J64,$E$3:$G$3,$K$3:$M$3,$N$3:$P$3,$H$4,$I$3,$Q$3,$J$3)</f>
        <v>8.1149898487989702E-2</v>
      </c>
      <c r="N64" s="12">
        <f ca="1"/>
        <v>201.11091237404833</v>
      </c>
      <c r="O64" s="12">
        <f t="shared" ca="1" si="12"/>
        <v>0.11784266700227519</v>
      </c>
    </row>
    <row r="65" spans="2:15" x14ac:dyDescent="0.15">
      <c r="B65" s="6">
        <f t="shared" ca="1" si="5"/>
        <v>0.85090750316576191</v>
      </c>
      <c r="C65" s="6">
        <f t="shared" ca="1" si="5"/>
        <v>-1.7592540768198013</v>
      </c>
      <c r="D65" s="6">
        <f t="shared" ca="1" si="5"/>
        <v>-0.3386825245097223</v>
      </c>
      <c r="E65" s="8">
        <f t="shared" ca="1" si="6"/>
        <v>1.9373801674541353E-2</v>
      </c>
      <c r="F65" s="8">
        <f t="shared" ca="1" si="7"/>
        <v>-8.8794553898124112E-3</v>
      </c>
      <c r="G65" s="8">
        <f t="shared" ca="1" si="8"/>
        <v>2.2545891177800061E-2</v>
      </c>
      <c r="H65" s="10">
        <f t="shared" ca="1" si="9"/>
        <v>4093.805187524958</v>
      </c>
      <c r="I65" s="10">
        <f t="shared" ca="1" si="10"/>
        <v>539.16957626794203</v>
      </c>
      <c r="J65" s="10">
        <f t="shared" ca="1" si="11"/>
        <v>2286.4126126735609</v>
      </c>
      <c r="K65" s="12">
        <f t="array" aca="1" ref="K65:L65" ca="1">Opt3Spd(H65:J65,$E$3:$G$3,$K$3:$M$3,$N$3:$P$3,$H$3,$I$3,$Q$3,$J$3)</f>
        <v>262.92871906302594</v>
      </c>
      <c r="L65" s="12">
        <f ca="1"/>
        <v>1.1599035558447213E-3</v>
      </c>
      <c r="M65" s="12">
        <f t="array" aca="1" ref="M65:N65" ca="1">Opt3Spd(H65:J65,$E$3:$G$3,$K$3:$M$3,$N$3:$P$3,$H$4,$I$3,$Q$3,$J$3)</f>
        <v>1.0337819186009511</v>
      </c>
      <c r="N65" s="12">
        <f ca="1"/>
        <v>138.10622275913084</v>
      </c>
      <c r="O65" s="12">
        <f t="shared" ca="1" si="12"/>
        <v>1.0349418221567959</v>
      </c>
    </row>
    <row r="66" spans="2:15" x14ac:dyDescent="0.15">
      <c r="B66" s="6">
        <f t="shared" ca="1" si="5"/>
        <v>-0.9228342162306532</v>
      </c>
      <c r="C66" s="6">
        <f t="shared" ca="1" si="5"/>
        <v>0.63887849961500576</v>
      </c>
      <c r="D66" s="6">
        <f t="shared" ca="1" si="5"/>
        <v>2.0792208311820316E-2</v>
      </c>
      <c r="E66" s="8">
        <f t="shared" ca="1" si="6"/>
        <v>-2.1011457787381369E-2</v>
      </c>
      <c r="F66" s="8">
        <f t="shared" ca="1" si="7"/>
        <v>-1.9544310094570572E-2</v>
      </c>
      <c r="G66" s="8">
        <f t="shared" ca="1" si="8"/>
        <v>-3.1827282160524668E-2</v>
      </c>
      <c r="H66" s="10">
        <f t="shared" ca="1" si="9"/>
        <v>3931.6179855258765</v>
      </c>
      <c r="I66" s="10">
        <f t="shared" ca="1" si="10"/>
        <v>533.36789530855356</v>
      </c>
      <c r="J66" s="10">
        <f t="shared" ca="1" si="11"/>
        <v>2164.8341970890669</v>
      </c>
      <c r="K66" s="12">
        <f t="array" aca="1" ref="K66:L66" ca="1">Opt3Spd(H66:J66,$E$3:$G$3,$K$3:$M$3,$N$3:$P$3,$H$3,$I$3,$Q$3,$J$3)</f>
        <v>170.93295520734364</v>
      </c>
      <c r="L66" s="12">
        <f ca="1"/>
        <v>0.12070071968628326</v>
      </c>
      <c r="M66" s="12">
        <f t="array" aca="1" ref="M66:N66" ca="1">Opt3Spd(H66:J66,$E$3:$G$3,$K$3:$M$3,$N$3:$P$3,$H$4,$I$3,$Q$3,$J$3)</f>
        <v>1.8182008723722998E-2</v>
      </c>
      <c r="N66" s="12">
        <f ca="1"/>
        <v>229.20592752106637</v>
      </c>
      <c r="O66" s="12">
        <f t="shared" ca="1" si="12"/>
        <v>0.13888272841000626</v>
      </c>
    </row>
    <row r="67" spans="2:15" x14ac:dyDescent="0.15">
      <c r="B67" s="6">
        <f t="shared" ca="1" si="5"/>
        <v>1.6217691267580472</v>
      </c>
      <c r="C67" s="6">
        <f t="shared" ca="1" si="5"/>
        <v>-1.2010353252436297</v>
      </c>
      <c r="D67" s="6">
        <f t="shared" ca="1" si="5"/>
        <v>-0.46916154689385292</v>
      </c>
      <c r="E67" s="8">
        <f t="shared" ca="1" si="6"/>
        <v>3.6925086812383823E-2</v>
      </c>
      <c r="F67" s="8">
        <f t="shared" ca="1" si="7"/>
        <v>3.2547123478849582E-2</v>
      </c>
      <c r="G67" s="8">
        <f t="shared" ca="1" si="8"/>
        <v>5.1096586305782912E-2</v>
      </c>
      <c r="H67" s="10">
        <f t="shared" ca="1" si="9"/>
        <v>4164.2911486385337</v>
      </c>
      <c r="I67" s="10">
        <f t="shared" ca="1" si="10"/>
        <v>561.70563517249411</v>
      </c>
      <c r="J67" s="10">
        <f t="shared" ca="1" si="11"/>
        <v>2350.2519669797302</v>
      </c>
      <c r="K67" s="12">
        <f t="array" aca="1" ref="K67:L67" ca="1">Opt3Spd(H67:J67,$E$3:$G$3,$K$3:$M$3,$N$3:$P$3,$H$3,$I$3,$Q$3,$J$3)</f>
        <v>265.43728767614357</v>
      </c>
      <c r="L67" s="12">
        <f ca="1"/>
        <v>1.1388034654373769E-3</v>
      </c>
      <c r="M67" s="12">
        <f t="array" aca="1" ref="M67:N67" ca="1">Opt3Spd(H67:J67,$E$3:$G$3,$K$3:$M$3,$N$3:$P$3,$H$4,$I$3,$Q$3,$J$3)</f>
        <v>1.1641394798597702</v>
      </c>
      <c r="N67" s="12">
        <f ca="1"/>
        <v>135.72799060718165</v>
      </c>
      <c r="O67" s="12">
        <f t="shared" ca="1" si="12"/>
        <v>1.1652782833252076</v>
      </c>
    </row>
    <row r="68" spans="2:15" x14ac:dyDescent="0.15">
      <c r="B68" s="6">
        <f t="shared" ca="1" si="5"/>
        <v>9.4263453275506379E-2</v>
      </c>
      <c r="C68" s="6">
        <f t="shared" ca="1" si="5"/>
        <v>-1.4144165090151488</v>
      </c>
      <c r="D68" s="6">
        <f t="shared" ca="1" si="5"/>
        <v>-1.4697765399791045</v>
      </c>
      <c r="E68" s="8">
        <f t="shared" ca="1" si="6"/>
        <v>2.1462279297369095E-3</v>
      </c>
      <c r="F68" s="8">
        <f t="shared" ca="1" si="7"/>
        <v>-2.9018746846816421E-2</v>
      </c>
      <c r="G68" s="8">
        <f t="shared" ca="1" si="8"/>
        <v>-1.6300533377520382E-2</v>
      </c>
      <c r="H68" s="10">
        <f t="shared" ca="1" si="9"/>
        <v>4024.6192513658229</v>
      </c>
      <c r="I68" s="10">
        <f t="shared" ca="1" si="10"/>
        <v>528.2138017153319</v>
      </c>
      <c r="J68" s="10">
        <f t="shared" ca="1" si="11"/>
        <v>2199.5520073678645</v>
      </c>
      <c r="K68" s="12">
        <f t="array" aca="1" ref="K68:L68" ca="1">Opt3Spd(H68:J68,$E$3:$G$3,$K$3:$M$3,$N$3:$P$3,$H$3,$I$3,$Q$3,$J$3)</f>
        <v>254.7027906806336</v>
      </c>
      <c r="L68" s="12">
        <f ca="1"/>
        <v>1.6257432741895173E-3</v>
      </c>
      <c r="M68" s="12">
        <f t="array" aca="1" ref="M68:N68" ca="1">Opt3Spd(H68:J68,$E$3:$G$3,$K$3:$M$3,$N$3:$P$3,$H$4,$I$3,$Q$3,$J$3)</f>
        <v>0.73963389965103943</v>
      </c>
      <c r="N68" s="12">
        <f ca="1"/>
        <v>146.03846896229163</v>
      </c>
      <c r="O68" s="12">
        <f t="shared" ca="1" si="12"/>
        <v>0.74125964292522895</v>
      </c>
    </row>
    <row r="69" spans="2:15" x14ac:dyDescent="0.15">
      <c r="B69" s="6">
        <f t="shared" ca="1" si="5"/>
        <v>-0.7215871517860869</v>
      </c>
      <c r="C69" s="6">
        <f t="shared" ca="1" si="5"/>
        <v>0.34765655948182472</v>
      </c>
      <c r="D69" s="6">
        <f t="shared" ca="1" si="5"/>
        <v>0.7630975448406605</v>
      </c>
      <c r="E69" s="8">
        <f t="shared" ca="1" si="6"/>
        <v>-1.6429384295695237E-2</v>
      </c>
      <c r="F69" s="8">
        <f t="shared" ca="1" si="7"/>
        <v>-1.8774103430768241E-2</v>
      </c>
      <c r="G69" s="8">
        <f t="shared" ca="1" si="8"/>
        <v>-1.7371381985195628E-2</v>
      </c>
      <c r="H69" s="10">
        <f t="shared" ca="1" si="9"/>
        <v>3950.0195926684878</v>
      </c>
      <c r="I69" s="10">
        <f t="shared" ca="1" si="10"/>
        <v>533.78688773366207</v>
      </c>
      <c r="J69" s="10">
        <f t="shared" ca="1" si="11"/>
        <v>2197.1575898811025</v>
      </c>
      <c r="K69" s="12">
        <f t="array" aca="1" ref="K69:L69" ca="1">Opt3Spd(H69:J69,$E$3:$G$3,$K$3:$M$3,$N$3:$P$3,$H$3,$I$3,$Q$3,$J$3)</f>
        <v>172.49741077439921</v>
      </c>
      <c r="L69" s="12">
        <f ca="1"/>
        <v>0.11563342032195578</v>
      </c>
      <c r="M69" s="12">
        <f t="array" aca="1" ref="M69:N69" ca="1">Opt3Spd(H69:J69,$E$3:$G$3,$K$3:$M$3,$N$3:$P$3,$H$4,$I$3,$Q$3,$J$3)</f>
        <v>2.0415650481619974E-2</v>
      </c>
      <c r="N69" s="12">
        <f ca="1"/>
        <v>227.63863829640437</v>
      </c>
      <c r="O69" s="12">
        <f t="shared" ca="1" si="12"/>
        <v>0.13604907080357576</v>
      </c>
    </row>
    <row r="70" spans="2:15" x14ac:dyDescent="0.15">
      <c r="B70" s="6">
        <f t="shared" ca="1" si="5"/>
        <v>0.79145075565966316</v>
      </c>
      <c r="C70" s="6">
        <f t="shared" ca="1" si="5"/>
        <v>0.24274047676342358</v>
      </c>
      <c r="D70" s="6">
        <f t="shared" ca="1" si="5"/>
        <v>0.29332736149915656</v>
      </c>
      <c r="E70" s="8">
        <f t="shared" ca="1" si="6"/>
        <v>1.8020066714970733E-2</v>
      </c>
      <c r="F70" s="8">
        <f t="shared" ca="1" si="7"/>
        <v>3.493793077498776E-2</v>
      </c>
      <c r="G70" s="8">
        <f t="shared" ca="1" si="8"/>
        <v>3.2906114561852329E-2</v>
      </c>
      <c r="H70" s="10">
        <f t="shared" ca="1" si="9"/>
        <v>4088.3685879273226</v>
      </c>
      <c r="I70" s="10">
        <f t="shared" ca="1" si="10"/>
        <v>563.00623434159331</v>
      </c>
      <c r="J70" s="10">
        <f t="shared" ca="1" si="11"/>
        <v>2309.5780721603019</v>
      </c>
      <c r="K70" s="12">
        <f t="array" aca="1" ref="K70:L70" ca="1">Opt3Spd(H70:J70,$E$3:$G$3,$K$3:$M$3,$N$3:$P$3,$H$3,$I$3,$Q$3,$J$3)</f>
        <v>207.79422335150502</v>
      </c>
      <c r="L70" s="12">
        <f ca="1"/>
        <v>2.464645088252837E-2</v>
      </c>
      <c r="M70" s="12">
        <f t="array" aca="1" ref="M70:N70" ca="1">Opt3Spd(H70:J70,$E$3:$G$3,$K$3:$M$3,$N$3:$P$3,$H$4,$I$3,$Q$3,$J$3)</f>
        <v>0.12277175304229537</v>
      </c>
      <c r="N70" s="12">
        <f ca="1"/>
        <v>192.35319485241979</v>
      </c>
      <c r="O70" s="12">
        <f t="shared" ca="1" si="12"/>
        <v>0.14741820392482374</v>
      </c>
    </row>
    <row r="71" spans="2:15" x14ac:dyDescent="0.15">
      <c r="B71" s="6">
        <f t="shared" ca="1" si="5"/>
        <v>-0.91786047240052526</v>
      </c>
      <c r="C71" s="6">
        <f t="shared" ca="1" si="5"/>
        <v>1.2527115671767806</v>
      </c>
      <c r="D71" s="6">
        <f t="shared" ca="1" si="5"/>
        <v>0.51961509658700566</v>
      </c>
      <c r="E71" s="8">
        <f t="shared" ca="1" si="6"/>
        <v>-2.089821360257119E-2</v>
      </c>
      <c r="F71" s="8">
        <f t="shared" ca="1" si="7"/>
        <v>-5.2487167354931278E-3</v>
      </c>
      <c r="G71" s="8">
        <f t="shared" ca="1" si="8"/>
        <v>-2.4548628019419077E-2</v>
      </c>
      <c r="H71" s="10">
        <f t="shared" ca="1" si="9"/>
        <v>3932.0727741720743</v>
      </c>
      <c r="I71" s="10">
        <f t="shared" ca="1" si="10"/>
        <v>541.14469809589173</v>
      </c>
      <c r="J71" s="10">
        <f t="shared" ca="1" si="11"/>
        <v>2181.109267748579</v>
      </c>
      <c r="K71" s="12">
        <f t="array" aca="1" ref="K71:L71" ca="1">Opt3Spd(H71:J71,$E$3:$G$3,$K$3:$M$3,$N$3:$P$3,$H$3,$I$3,$Q$3,$J$3)</f>
        <v>150.98012957514948</v>
      </c>
      <c r="L71" s="12">
        <f ca="1"/>
        <v>0.29350623079130855</v>
      </c>
      <c r="M71" s="12">
        <f t="array" aca="1" ref="M71:N71" ca="1">Opt3Spd(H71:J71,$E$3:$G$3,$K$3:$M$3,$N$3:$P$3,$H$4,$I$3,$Q$3,$J$3)</f>
        <v>6.2860345209978519E-3</v>
      </c>
      <c r="N71" s="12">
        <f ca="1"/>
        <v>249.31966269016283</v>
      </c>
      <c r="O71" s="12">
        <f t="shared" ca="1" si="12"/>
        <v>0.29979226531230641</v>
      </c>
    </row>
    <row r="72" spans="2:15" x14ac:dyDescent="0.15">
      <c r="B72" s="6">
        <f t="shared" ca="1" si="5"/>
        <v>-0.86885008114548057</v>
      </c>
      <c r="C72" s="6">
        <f t="shared" ca="1" si="5"/>
        <v>2.304796065236522</v>
      </c>
      <c r="D72" s="6">
        <f t="shared" ca="1" si="5"/>
        <v>-1.2832650293359884</v>
      </c>
      <c r="E72" s="8">
        <f t="shared" ca="1" si="6"/>
        <v>-1.9782325451821223E-2</v>
      </c>
      <c r="F72" s="8">
        <f t="shared" ca="1" si="7"/>
        <v>2.0755092500827153E-2</v>
      </c>
      <c r="G72" s="8">
        <f t="shared" ca="1" si="8"/>
        <v>-3.8900075289854452E-2</v>
      </c>
      <c r="H72" s="10">
        <f t="shared" ca="1" si="9"/>
        <v>3936.5541809854858</v>
      </c>
      <c r="I72" s="10">
        <f t="shared" ca="1" si="10"/>
        <v>555.29077032044995</v>
      </c>
      <c r="J72" s="10">
        <f t="shared" ca="1" si="11"/>
        <v>2149.0194316518855</v>
      </c>
      <c r="K72" s="12">
        <f t="array" aca="1" ref="K72:L72" ca="1">Opt3Spd(H72:J72,$E$3:$G$3,$K$3:$M$3,$N$3:$P$3,$H$3,$I$3,$Q$3,$J$3)</f>
        <v>148.89503799006275</v>
      </c>
      <c r="L72" s="12">
        <f ca="1"/>
        <v>0.31580534323961729</v>
      </c>
      <c r="M72" s="12">
        <f t="array" aca="1" ref="M72:N72" ca="1">Opt3Spd(H72:J72,$E$3:$G$3,$K$3:$M$3,$N$3:$P$3,$H$4,$I$3,$Q$3,$J$3)</f>
        <v>5.4143890381218585E-3</v>
      </c>
      <c r="N72" s="12">
        <f ca="1"/>
        <v>251.42618174221499</v>
      </c>
      <c r="O72" s="12">
        <f t="shared" ca="1" si="12"/>
        <v>0.32121973227773915</v>
      </c>
    </row>
    <row r="73" spans="2:15" x14ac:dyDescent="0.15">
      <c r="B73" s="6">
        <f t="shared" ca="1" si="5"/>
        <v>0.60478945015196039</v>
      </c>
      <c r="C73" s="6">
        <f t="shared" ca="1" si="5"/>
        <v>-0.14147435593011096</v>
      </c>
      <c r="D73" s="6">
        <f t="shared" ca="1" si="5"/>
        <v>0.37548960434434225</v>
      </c>
      <c r="E73" s="8">
        <f t="shared" ca="1" si="6"/>
        <v>1.3770087604711647E-2</v>
      </c>
      <c r="F73" s="8">
        <f t="shared" ca="1" si="7"/>
        <v>1.918148489831897E-2</v>
      </c>
      <c r="G73" s="8">
        <f t="shared" ca="1" si="8"/>
        <v>2.5808396114770954E-2</v>
      </c>
      <c r="H73" s="10">
        <f t="shared" ca="1" si="9"/>
        <v>4071.3006718205215</v>
      </c>
      <c r="I73" s="10">
        <f t="shared" ca="1" si="10"/>
        <v>554.43472778468549</v>
      </c>
      <c r="J73" s="10">
        <f t="shared" ca="1" si="11"/>
        <v>2293.7075737126279</v>
      </c>
      <c r="K73" s="12">
        <f t="array" aca="1" ref="K73:L73" ca="1">Opt3Spd(H73:J73,$E$3:$G$3,$K$3:$M$3,$N$3:$P$3,$H$3,$I$3,$Q$3,$J$3)</f>
        <v>212.37038386701465</v>
      </c>
      <c r="L73" s="12">
        <f ca="1"/>
        <v>1.9063358304038047E-2</v>
      </c>
      <c r="M73" s="12">
        <f t="array" aca="1" ref="M73:N73" ca="1">Opt3Spd(H73:J73,$E$3:$G$3,$K$3:$M$3,$N$3:$P$3,$H$4,$I$3,$Q$3,$J$3)</f>
        <v>0.14740231351738053</v>
      </c>
      <c r="N73" s="12">
        <f ca="1"/>
        <v>187.79608180480676</v>
      </c>
      <c r="O73" s="12">
        <f t="shared" ca="1" si="12"/>
        <v>0.16646567182141858</v>
      </c>
    </row>
    <row r="74" spans="2:15" x14ac:dyDescent="0.15">
      <c r="B74" s="6">
        <f t="shared" ca="1" si="5"/>
        <v>-0.38188359608767392</v>
      </c>
      <c r="C74" s="6">
        <f t="shared" ca="1" si="5"/>
        <v>0.43500964530820641</v>
      </c>
      <c r="D74" s="6">
        <f t="shared" ca="1" si="5"/>
        <v>0.54936635304499859</v>
      </c>
      <c r="E74" s="8">
        <f t="shared" ca="1" si="6"/>
        <v>-8.6948781457882734E-3</v>
      </c>
      <c r="F74" s="8">
        <f t="shared" ca="1" si="7"/>
        <v>-4.1651876659574739E-3</v>
      </c>
      <c r="G74" s="8">
        <f t="shared" ca="1" si="8"/>
        <v>-6.9145323239073785E-3</v>
      </c>
      <c r="H74" s="10">
        <f t="shared" ca="1" si="9"/>
        <v>3981.0813693665141</v>
      </c>
      <c r="I74" s="10">
        <f t="shared" ca="1" si="10"/>
        <v>541.73413790971915</v>
      </c>
      <c r="J74" s="10">
        <f t="shared" ca="1" si="11"/>
        <v>2220.539105723743</v>
      </c>
      <c r="K74" s="12">
        <f t="array" aca="1" ref="K74:L74" ca="1">Opt3Spd(H74:J74,$E$3:$G$3,$K$3:$M$3,$N$3:$P$3,$H$3,$I$3,$Q$3,$J$3)</f>
        <v>179.12482624629388</v>
      </c>
      <c r="L74" s="12">
        <f ca="1"/>
        <v>8.7630397202019594E-2</v>
      </c>
      <c r="M74" s="12">
        <f t="array" aca="1" ref="M74:N74" ca="1">Opt3Spd(H74:J74,$E$3:$G$3,$K$3:$M$3,$N$3:$P$3,$H$4,$I$3,$Q$3,$J$3)</f>
        <v>2.9382021366047173E-2</v>
      </c>
      <c r="N74" s="12">
        <f ca="1"/>
        <v>220.99218617227419</v>
      </c>
      <c r="O74" s="12">
        <f t="shared" ca="1" si="12"/>
        <v>0.11701241856806677</v>
      </c>
    </row>
    <row r="75" spans="2:15" x14ac:dyDescent="0.15">
      <c r="B75" s="6">
        <f t="shared" ref="B75:D106" ca="1" si="13">NORMINV(RAND(),0,1)</f>
        <v>0.6046321092527408</v>
      </c>
      <c r="C75" s="6">
        <f t="shared" ca="1" si="13"/>
        <v>0.2232382353978816</v>
      </c>
      <c r="D75" s="6">
        <f t="shared" ca="1" si="13"/>
        <v>-1.0247983846225506</v>
      </c>
      <c r="E75" s="8">
        <f t="shared" ref="E75:E138" ca="1" si="14">B75*$U$3*$C$6</f>
        <v>1.3766505204315089E-2</v>
      </c>
      <c r="F75" s="8">
        <f t="shared" ref="F75:F138" ca="1" si="15">($N$3*B75+C75*SQRT(1-$N$3^2))*$V$3*$C$6</f>
        <v>2.7559842927676506E-2</v>
      </c>
      <c r="G75" s="8">
        <f t="shared" ref="G75:G138" ca="1" si="16">(D75/$T$3+($P$3-$N$3*$O$3)*C75+$O$3*B75*SQRT(1/(1-$N$3^2)))*$W$3*$C$6</f>
        <v>1.1944021612121557E-2</v>
      </c>
      <c r="H75" s="10">
        <f t="shared" ref="H75:H138" ca="1" si="17">B$3*(1+E75)</f>
        <v>4071.2862849005292</v>
      </c>
      <c r="I75" s="10">
        <f t="shared" ref="I75:I138" ca="1" si="18">C$3*(1+F75)</f>
        <v>558.99255455265597</v>
      </c>
      <c r="J75" s="10">
        <f t="shared" ref="J75:J138" ca="1" si="19">D$3*(1+G75)</f>
        <v>2262.706832324704</v>
      </c>
      <c r="K75" s="12">
        <f t="array" aca="1" ref="K75:L75" ca="1">Opt3Spd(H75:J75,$E$3:$G$3,$K$3:$M$3,$N$3:$P$3,$H$3,$I$3,$Q$3,$J$3)</f>
        <v>220.55688648596151</v>
      </c>
      <c r="L75" s="12">
        <f ca="1"/>
        <v>1.2105032034014584E-2</v>
      </c>
      <c r="M75" s="12">
        <f t="array" aca="1" ref="M75:N75" ca="1">Opt3Spd(H75:J75,$E$3:$G$3,$K$3:$M$3,$N$3:$P$3,$H$4,$I$3,$Q$3,$J$3)</f>
        <v>0.20419147473075583</v>
      </c>
      <c r="N75" s="12">
        <f ca="1"/>
        <v>179.65941002080325</v>
      </c>
      <c r="O75" s="12">
        <f t="shared" ref="O75:O138" ca="1" si="20">L75+M75</f>
        <v>0.21629650676477041</v>
      </c>
    </row>
    <row r="76" spans="2:15" x14ac:dyDescent="0.15">
      <c r="B76" s="6">
        <f t="shared" ca="1" si="13"/>
        <v>0.57096442770650457</v>
      </c>
      <c r="C76" s="6">
        <f t="shared" ca="1" si="13"/>
        <v>-0.60158699529726034</v>
      </c>
      <c r="D76" s="6">
        <f t="shared" ca="1" si="13"/>
        <v>-0.40061413268851154</v>
      </c>
      <c r="E76" s="8">
        <f t="shared" ca="1" si="14"/>
        <v>1.2999945992307142E-2</v>
      </c>
      <c r="F76" s="8">
        <f t="shared" ca="1" si="15"/>
        <v>7.3494977681705809E-3</v>
      </c>
      <c r="G76" s="8">
        <f t="shared" ca="1" si="16"/>
        <v>1.4962150884758267E-2</v>
      </c>
      <c r="H76" s="10">
        <f t="shared" ca="1" si="17"/>
        <v>4068.2077831051056</v>
      </c>
      <c r="I76" s="10">
        <f t="shared" ca="1" si="18"/>
        <v>547.99812678588478</v>
      </c>
      <c r="J76" s="10">
        <f t="shared" ca="1" si="19"/>
        <v>2269.4553693783191</v>
      </c>
      <c r="K76" s="12">
        <f t="array" aca="1" ref="K76:L76" ca="1">Opt3Spd(H76:J76,$E$3:$G$3,$K$3:$M$3,$N$3:$P$3,$H$3,$I$3,$Q$3,$J$3)</f>
        <v>231.68977244985899</v>
      </c>
      <c r="L76" s="12">
        <f ca="1"/>
        <v>6.676891328424972E-3</v>
      </c>
      <c r="M76" s="12">
        <f t="array" aca="1" ref="M76:N76" ca="1">Opt3Spd(H76:J76,$E$3:$G$3,$K$3:$M$3,$N$3:$P$3,$H$4,$I$3,$Q$3,$J$3)</f>
        <v>0.32184492794723241</v>
      </c>
      <c r="N76" s="12">
        <f ca="1"/>
        <v>168.63874936941667</v>
      </c>
      <c r="O76" s="12">
        <f t="shared" ca="1" si="20"/>
        <v>0.32852181927565738</v>
      </c>
    </row>
    <row r="77" spans="2:15" x14ac:dyDescent="0.15">
      <c r="B77" s="6">
        <f t="shared" ca="1" si="13"/>
        <v>1.1008117869785006</v>
      </c>
      <c r="C77" s="6">
        <f t="shared" ca="1" si="13"/>
        <v>-1.110141710541046</v>
      </c>
      <c r="D77" s="6">
        <f t="shared" ca="1" si="13"/>
        <v>0.4373393856832235</v>
      </c>
      <c r="E77" s="8">
        <f t="shared" ca="1" si="14"/>
        <v>2.5063722158487449E-2</v>
      </c>
      <c r="F77" s="8">
        <f t="shared" ca="1" si="15"/>
        <v>1.5312491163683868E-2</v>
      </c>
      <c r="G77" s="8">
        <f t="shared" ca="1" si="16"/>
        <v>4.1878326078402993E-2</v>
      </c>
      <c r="H77" s="10">
        <f t="shared" ca="1" si="17"/>
        <v>4116.6559081884861</v>
      </c>
      <c r="I77" s="10">
        <f t="shared" ca="1" si="18"/>
        <v>552.32999519304406</v>
      </c>
      <c r="J77" s="10">
        <f t="shared" ca="1" si="19"/>
        <v>2329.6399371113093</v>
      </c>
      <c r="K77" s="12">
        <f t="array" aca="1" ref="K77:L77" ca="1">Opt3Spd(H77:J77,$E$3:$G$3,$K$3:$M$3,$N$3:$P$3,$H$3,$I$3,$Q$3,$J$3)</f>
        <v>243.11184368178965</v>
      </c>
      <c r="L77" s="12">
        <f ca="1"/>
        <v>3.8963578285802214E-3</v>
      </c>
      <c r="M77" s="12">
        <f t="array" aca="1" ref="M77:N77" ca="1">Opt3Spd(H77:J77,$E$3:$G$3,$K$3:$M$3,$N$3:$P$3,$H$4,$I$3,$Q$3,$J$3)</f>
        <v>0.51931415435043959</v>
      </c>
      <c r="N77" s="12">
        <f ca="1"/>
        <v>157.41136683038937</v>
      </c>
      <c r="O77" s="12">
        <f t="shared" ca="1" si="20"/>
        <v>0.52321051217901982</v>
      </c>
    </row>
    <row r="78" spans="2:15" x14ac:dyDescent="0.15">
      <c r="B78" s="6">
        <f t="shared" ca="1" si="13"/>
        <v>-0.65824852783343424</v>
      </c>
      <c r="C78" s="6">
        <f t="shared" ca="1" si="13"/>
        <v>-3.6210522095278412E-2</v>
      </c>
      <c r="D78" s="6">
        <f t="shared" ca="1" si="13"/>
        <v>0.46856246253374917</v>
      </c>
      <c r="E78" s="8">
        <f t="shared" ca="1" si="14"/>
        <v>-1.4987265223726027E-2</v>
      </c>
      <c r="F78" s="8">
        <f t="shared" ca="1" si="15"/>
        <v>-2.5249178410016955E-2</v>
      </c>
      <c r="G78" s="8">
        <f t="shared" ca="1" si="16"/>
        <v>-1.9296477155710475E-2</v>
      </c>
      <c r="H78" s="10">
        <f t="shared" ca="1" si="17"/>
        <v>3955.8111428615161</v>
      </c>
      <c r="I78" s="10">
        <f t="shared" ca="1" si="18"/>
        <v>530.26444694495081</v>
      </c>
      <c r="J78" s="10">
        <f t="shared" ca="1" si="19"/>
        <v>2192.8530770798316</v>
      </c>
      <c r="K78" s="12">
        <f t="array" aca="1" ref="K78:L78" ca="1">Opt3Spd(H78:J78,$E$3:$G$3,$K$3:$M$3,$N$3:$P$3,$H$3,$I$3,$Q$3,$J$3)</f>
        <v>186.02288093471361</v>
      </c>
      <c r="L78" s="12">
        <f ca="1"/>
        <v>6.1391725034809497E-2</v>
      </c>
      <c r="M78" s="12">
        <f t="array" aca="1" ref="M78:N78" ca="1">Opt3Spd(H78:J78,$E$3:$G$3,$K$3:$M$3,$N$3:$P$3,$H$4,$I$3,$Q$3,$J$3)</f>
        <v>4.0057983162745003E-2</v>
      </c>
      <c r="N78" s="12">
        <f ca="1"/>
        <v>214.07856877348394</v>
      </c>
      <c r="O78" s="12">
        <f t="shared" ca="1" si="20"/>
        <v>0.1014497081975545</v>
      </c>
    </row>
    <row r="79" spans="2:15" x14ac:dyDescent="0.15">
      <c r="B79" s="6">
        <f t="shared" ca="1" si="13"/>
        <v>0.24222922608321151</v>
      </c>
      <c r="C79" s="6">
        <f t="shared" ca="1" si="13"/>
        <v>0.51568890170047721</v>
      </c>
      <c r="D79" s="6">
        <f t="shared" ca="1" si="13"/>
        <v>-1.1431249017290444</v>
      </c>
      <c r="E79" s="8">
        <f t="shared" ca="1" si="14"/>
        <v>5.5151717060362712E-3</v>
      </c>
      <c r="F79" s="8">
        <f t="shared" ca="1" si="15"/>
        <v>2.0840046737811493E-2</v>
      </c>
      <c r="G79" s="8">
        <f t="shared" ca="1" si="16"/>
        <v>-1.7816340186382258E-3</v>
      </c>
      <c r="H79" s="10">
        <f t="shared" ca="1" si="17"/>
        <v>4038.1489295714414</v>
      </c>
      <c r="I79" s="10">
        <f t="shared" ca="1" si="18"/>
        <v>555.33698542536945</v>
      </c>
      <c r="J79" s="10">
        <f t="shared" ca="1" si="19"/>
        <v>2232.0162663343249</v>
      </c>
      <c r="K79" s="12">
        <f t="array" aca="1" ref="K79:L79" ca="1">Opt3Spd(H79:J79,$E$3:$G$3,$K$3:$M$3,$N$3:$P$3,$H$3,$I$3,$Q$3,$J$3)</f>
        <v>208.62312475499562</v>
      </c>
      <c r="L79" s="12">
        <f ca="1"/>
        <v>2.1505031307697209E-2</v>
      </c>
      <c r="M79" s="12">
        <f t="array" aca="1" ref="M79:N79" ca="1">Opt3Spd(H79:J79,$E$3:$G$3,$K$3:$M$3,$N$3:$P$3,$H$4,$I$3,$Q$3,$J$3)</f>
        <v>0.11943183427981552</v>
      </c>
      <c r="N79" s="12">
        <f ca="1"/>
        <v>191.5178121105919</v>
      </c>
      <c r="O79" s="12">
        <f t="shared" ca="1" si="20"/>
        <v>0.14093686558751273</v>
      </c>
    </row>
    <row r="80" spans="2:15" x14ac:dyDescent="0.15">
      <c r="B80" s="6">
        <f t="shared" ca="1" si="13"/>
        <v>1.2350787410671056</v>
      </c>
      <c r="C80" s="6">
        <f t="shared" ca="1" si="13"/>
        <v>0.63051053429505988</v>
      </c>
      <c r="D80" s="6">
        <f t="shared" ca="1" si="13"/>
        <v>0.35299180113919959</v>
      </c>
      <c r="E80" s="8">
        <f t="shared" ca="1" si="14"/>
        <v>2.8120765762262835E-2</v>
      </c>
      <c r="F80" s="8">
        <f t="shared" ca="1" si="15"/>
        <v>6.030790382503716E-2</v>
      </c>
      <c r="G80" s="8">
        <f t="shared" ca="1" si="16"/>
        <v>5.0965579019376761E-2</v>
      </c>
      <c r="H80" s="10">
        <f t="shared" ca="1" si="17"/>
        <v>4128.9329953012475</v>
      </c>
      <c r="I80" s="10">
        <f t="shared" ca="1" si="18"/>
        <v>576.80749968082023</v>
      </c>
      <c r="J80" s="10">
        <f t="shared" ca="1" si="19"/>
        <v>2349.9590346873265</v>
      </c>
      <c r="K80" s="12">
        <f t="array" aca="1" ref="K80:L80" ca="1">Opt3Spd(H80:J80,$E$3:$G$3,$K$3:$M$3,$N$3:$P$3,$H$3,$I$3,$Q$3,$J$3)</f>
        <v>206.08995167336138</v>
      </c>
      <c r="L80" s="12">
        <f ca="1"/>
        <v>2.8473205089312614E-2</v>
      </c>
      <c r="M80" s="12">
        <f t="array" aca="1" ref="M80:N80" ca="1">Opt3Spd(H80:J80,$E$3:$G$3,$K$3:$M$3,$N$3:$P$3,$H$4,$I$3,$Q$3,$J$3)</f>
        <v>0.11844267937912534</v>
      </c>
      <c r="N80" s="12">
        <f ca="1"/>
        <v>194.05696421110704</v>
      </c>
      <c r="O80" s="12">
        <f t="shared" ca="1" si="20"/>
        <v>0.14691588446843795</v>
      </c>
    </row>
    <row r="81" spans="2:15" x14ac:dyDescent="0.15">
      <c r="B81" s="6">
        <f t="shared" ca="1" si="13"/>
        <v>0.20249604682165101</v>
      </c>
      <c r="C81" s="6">
        <f t="shared" ca="1" si="13"/>
        <v>0.73277533975549558</v>
      </c>
      <c r="D81" s="6">
        <f t="shared" ca="1" si="13"/>
        <v>-1.3347385402465897</v>
      </c>
      <c r="E81" s="8">
        <f t="shared" ca="1" si="14"/>
        <v>4.610510820982924E-3</v>
      </c>
      <c r="F81" s="8">
        <f t="shared" ca="1" si="15"/>
        <v>2.4356694336037436E-2</v>
      </c>
      <c r="G81" s="8">
        <f t="shared" ca="1" si="16"/>
        <v>-4.6524413097234155E-3</v>
      </c>
      <c r="H81" s="10">
        <f t="shared" ca="1" si="17"/>
        <v>4034.5158114570672</v>
      </c>
      <c r="I81" s="10">
        <f t="shared" ca="1" si="18"/>
        <v>557.25004171880437</v>
      </c>
      <c r="J81" s="10">
        <f t="shared" ca="1" si="19"/>
        <v>2225.5971412314584</v>
      </c>
      <c r="K81" s="12">
        <f t="array" aca="1" ref="K81:L81" ca="1">Opt3Spd(H81:J81,$E$3:$G$3,$K$3:$M$3,$N$3:$P$3,$H$3,$I$3,$Q$3,$J$3)</f>
        <v>205.14266674978535</v>
      </c>
      <c r="L81" s="12">
        <f ca="1"/>
        <v>2.5492658534403745E-2</v>
      </c>
      <c r="M81" s="12">
        <f t="array" aca="1" ref="M81:N81" ca="1">Opt3Spd(H81:J81,$E$3:$G$3,$K$3:$M$3,$N$3:$P$3,$H$4,$I$3,$Q$3,$J$3)</f>
        <v>0.10186599057984935</v>
      </c>
      <c r="N81" s="12">
        <f ca="1"/>
        <v>194.98469189932891</v>
      </c>
      <c r="O81" s="12">
        <f t="shared" ca="1" si="20"/>
        <v>0.1273586491142531</v>
      </c>
    </row>
    <row r="82" spans="2:15" x14ac:dyDescent="0.15">
      <c r="B82" s="6">
        <f t="shared" ca="1" si="13"/>
        <v>-0.77421945777807732</v>
      </c>
      <c r="C82" s="6">
        <f t="shared" ca="1" si="13"/>
        <v>0.86928252893900848</v>
      </c>
      <c r="D82" s="6">
        <f t="shared" ca="1" si="13"/>
        <v>1.5663734889296821</v>
      </c>
      <c r="E82" s="8">
        <f t="shared" ca="1" si="14"/>
        <v>-1.7627737646874884E-2</v>
      </c>
      <c r="F82" s="8">
        <f t="shared" ca="1" si="15"/>
        <v>-8.7350236669569165E-3</v>
      </c>
      <c r="G82" s="8">
        <f t="shared" ca="1" si="16"/>
        <v>-9.2333999974199936E-3</v>
      </c>
      <c r="H82" s="10">
        <f t="shared" ca="1" si="17"/>
        <v>3945.2070056101506</v>
      </c>
      <c r="I82" s="10">
        <f t="shared" ca="1" si="18"/>
        <v>539.24814712517548</v>
      </c>
      <c r="J82" s="10">
        <f t="shared" ca="1" si="19"/>
        <v>2215.3541176057688</v>
      </c>
      <c r="K82" s="12">
        <f t="array" aca="1" ref="K82:L82" ca="1">Opt3Spd(H82:J82,$E$3:$G$3,$K$3:$M$3,$N$3:$P$3,$H$3,$I$3,$Q$3,$J$3)</f>
        <v>150.04541366288527</v>
      </c>
      <c r="L82" s="12">
        <f ca="1"/>
        <v>0.31250225589997171</v>
      </c>
      <c r="M82" s="12">
        <f t="array" aca="1" ref="M82:N82" ca="1">Opt3Spd(H82:J82,$E$3:$G$3,$K$3:$M$3,$N$3:$P$3,$H$4,$I$3,$Q$3,$J$3)</f>
        <v>6.2157447767640095E-3</v>
      </c>
      <c r="N82" s="12">
        <f ca="1"/>
        <v>250.27330433779147</v>
      </c>
      <c r="O82" s="12">
        <f t="shared" ca="1" si="20"/>
        <v>0.31871800067673572</v>
      </c>
    </row>
    <row r="83" spans="2:15" x14ac:dyDescent="0.15">
      <c r="B83" s="6">
        <f t="shared" ca="1" si="13"/>
        <v>-0.12245844250566537</v>
      </c>
      <c r="C83" s="6">
        <f t="shared" ca="1" si="13"/>
        <v>-1.322980425177029</v>
      </c>
      <c r="D83" s="6">
        <f t="shared" ca="1" si="13"/>
        <v>-0.31190517397132778</v>
      </c>
      <c r="E83" s="8">
        <f t="shared" ca="1" si="14"/>
        <v>-2.7881826986496921E-3</v>
      </c>
      <c r="F83" s="8">
        <f t="shared" ca="1" si="15"/>
        <v>-3.4955746011927233E-2</v>
      </c>
      <c r="G83" s="8">
        <f t="shared" ca="1" si="16"/>
        <v>-1.1662240477397029E-2</v>
      </c>
      <c r="H83" s="10">
        <f t="shared" ca="1" si="17"/>
        <v>4004.8026582822231</v>
      </c>
      <c r="I83" s="10">
        <f t="shared" ca="1" si="18"/>
        <v>524.98407416951159</v>
      </c>
      <c r="J83" s="10">
        <f t="shared" ca="1" si="19"/>
        <v>2209.9232302925402</v>
      </c>
      <c r="K83" s="12">
        <f t="array" aca="1" ref="K83:L83" ca="1">Opt3Spd(H83:J83,$E$3:$G$3,$K$3:$M$3,$N$3:$P$3,$H$3,$I$3,$Q$3,$J$3)</f>
        <v>234.87160991108226</v>
      </c>
      <c r="L83" s="12">
        <f ca="1"/>
        <v>5.0854463477207901E-3</v>
      </c>
      <c r="M83" s="12">
        <f t="array" aca="1" ref="M83:N83" ca="1">Opt3Spd(H83:J83,$E$3:$G$3,$K$3:$M$3,$N$3:$P$3,$H$4,$I$3,$Q$3,$J$3)</f>
        <v>0.35043794886082935</v>
      </c>
      <c r="N83" s="12">
        <f ca="1"/>
        <v>165.48391348412628</v>
      </c>
      <c r="O83" s="12">
        <f t="shared" ca="1" si="20"/>
        <v>0.35552339520855014</v>
      </c>
    </row>
    <row r="84" spans="2:15" x14ac:dyDescent="0.15">
      <c r="B84" s="6">
        <f t="shared" ca="1" si="13"/>
        <v>0.51303576002865225</v>
      </c>
      <c r="C84" s="6">
        <f t="shared" ca="1" si="13"/>
        <v>-0.26864862522308169</v>
      </c>
      <c r="D84" s="6">
        <f t="shared" ca="1" si="13"/>
        <v>-0.5929641037216874</v>
      </c>
      <c r="E84" s="8">
        <f t="shared" ca="1" si="14"/>
        <v>1.1681002964204011E-2</v>
      </c>
      <c r="F84" s="8">
        <f t="shared" ca="1" si="15"/>
        <v>1.2854472514326106E-2</v>
      </c>
      <c r="G84" s="8">
        <f t="shared" ca="1" si="16"/>
        <v>1.1751341535207405E-2</v>
      </c>
      <c r="H84" s="10">
        <f t="shared" ca="1" si="17"/>
        <v>4062.9109079042432</v>
      </c>
      <c r="I84" s="10">
        <f t="shared" ca="1" si="18"/>
        <v>550.9928330477934</v>
      </c>
      <c r="J84" s="10">
        <f t="shared" ca="1" si="19"/>
        <v>2262.2759996727241</v>
      </c>
      <c r="K84" s="12">
        <f t="array" aca="1" ref="K84:L84" ca="1">Opt3Spd(H84:J84,$E$3:$G$3,$K$3:$M$3,$N$3:$P$3,$H$3,$I$3,$Q$3,$J$3)</f>
        <v>225.19377321215734</v>
      </c>
      <c r="L84" s="12">
        <f ca="1"/>
        <v>9.398020745265967E-3</v>
      </c>
      <c r="M84" s="12">
        <f t="array" aca="1" ref="M84:N84" ca="1">Opt3Spd(H84:J84,$E$3:$G$3,$K$3:$M$3,$N$3:$P$3,$H$4,$I$3,$Q$3,$J$3)</f>
        <v>0.24664391273044117</v>
      </c>
      <c r="N84" s="12">
        <f ca="1"/>
        <v>175.06226872131836</v>
      </c>
      <c r="O84" s="12">
        <f t="shared" ca="1" si="20"/>
        <v>0.25604193347570714</v>
      </c>
    </row>
    <row r="85" spans="2:15" x14ac:dyDescent="0.15">
      <c r="B85" s="6">
        <f t="shared" ca="1" si="13"/>
        <v>0.78562714106770282</v>
      </c>
      <c r="C85" s="6">
        <f t="shared" ca="1" si="13"/>
        <v>1.0685871838687204</v>
      </c>
      <c r="D85" s="6">
        <f t="shared" ca="1" si="13"/>
        <v>-0.73239277066842412</v>
      </c>
      <c r="E85" s="8">
        <f t="shared" ca="1" si="14"/>
        <v>1.788747233342651E-2</v>
      </c>
      <c r="F85" s="8">
        <f t="shared" ca="1" si="15"/>
        <v>5.3706887079181559E-2</v>
      </c>
      <c r="G85" s="8">
        <f t="shared" ca="1" si="16"/>
        <v>2.416252104026087E-2</v>
      </c>
      <c r="H85" s="10">
        <f t="shared" ca="1" si="17"/>
        <v>4087.8360888910411</v>
      </c>
      <c r="I85" s="10">
        <f t="shared" ca="1" si="18"/>
        <v>573.21654657107467</v>
      </c>
      <c r="J85" s="10">
        <f t="shared" ca="1" si="19"/>
        <v>2290.0273970460235</v>
      </c>
      <c r="K85" s="12">
        <f t="array" aca="1" ref="K85:L85" ca="1">Opt3Spd(H85:J85,$E$3:$G$3,$K$3:$M$3,$N$3:$P$3,$H$3,$I$3,$Q$3,$J$3)</f>
        <v>200.71052076231808</v>
      </c>
      <c r="L85" s="12">
        <f ca="1"/>
        <v>3.4604908008304847E-2</v>
      </c>
      <c r="M85" s="12">
        <f t="array" aca="1" ref="M85:N85" ca="1">Opt3Spd(H85:J85,$E$3:$G$3,$K$3:$M$3,$N$3:$P$3,$H$4,$I$3,$Q$3,$J$3)</f>
        <v>8.8683147464717393E-2</v>
      </c>
      <c r="N85" s="12">
        <f ca="1"/>
        <v>199.41276729315493</v>
      </c>
      <c r="O85" s="12">
        <f t="shared" ca="1" si="20"/>
        <v>0.12328805547302224</v>
      </c>
    </row>
    <row r="86" spans="2:15" x14ac:dyDescent="0.15">
      <c r="B86" s="6">
        <f t="shared" ca="1" si="13"/>
        <v>-0.1265814125913719</v>
      </c>
      <c r="C86" s="6">
        <f t="shared" ca="1" si="13"/>
        <v>-0.56257089376930691</v>
      </c>
      <c r="D86" s="6">
        <f t="shared" ca="1" si="13"/>
        <v>0.4078494350585613</v>
      </c>
      <c r="E86" s="8">
        <f t="shared" ca="1" si="14"/>
        <v>-2.8820561272578128E-3</v>
      </c>
      <c r="F86" s="8">
        <f t="shared" ca="1" si="15"/>
        <v>-1.7628009147206049E-2</v>
      </c>
      <c r="G86" s="8">
        <f t="shared" ca="1" si="16"/>
        <v>-1.938679969422884E-3</v>
      </c>
      <c r="H86" s="10">
        <f t="shared" ca="1" si="17"/>
        <v>4004.4256625929329</v>
      </c>
      <c r="I86" s="10">
        <f t="shared" ca="1" si="18"/>
        <v>534.4103630239199</v>
      </c>
      <c r="J86" s="10">
        <f t="shared" ca="1" si="19"/>
        <v>2231.6651115883706</v>
      </c>
      <c r="K86" s="12">
        <f t="array" aca="1" ref="K86:L86" ca="1">Opt3Spd(H86:J86,$E$3:$G$3,$K$3:$M$3,$N$3:$P$3,$H$3,$I$3,$Q$3,$J$3)</f>
        <v>208.55772226874114</v>
      </c>
      <c r="L86" s="12">
        <f ca="1"/>
        <v>2.1196308265189145E-2</v>
      </c>
      <c r="M86" s="12">
        <f t="array" aca="1" ref="M86:N86" ca="1">Opt3Spd(H86:J86,$E$3:$G$3,$K$3:$M$3,$N$3:$P$3,$H$4,$I$3,$Q$3,$J$3)</f>
        <v>0.11829729573448589</v>
      </c>
      <c r="N86" s="12">
        <f ca="1"/>
        <v>191.58177133525854</v>
      </c>
      <c r="O86" s="12">
        <f t="shared" ca="1" si="20"/>
        <v>0.13949360399967503</v>
      </c>
    </row>
    <row r="87" spans="2:15" x14ac:dyDescent="0.15">
      <c r="B87" s="6">
        <f t="shared" ca="1" si="13"/>
        <v>1.1998652525527398</v>
      </c>
      <c r="C87" s="6">
        <f t="shared" ca="1" si="13"/>
        <v>-1.3241391747664339</v>
      </c>
      <c r="D87" s="6">
        <f t="shared" ca="1" si="13"/>
        <v>1.3443474496200918</v>
      </c>
      <c r="E87" s="8">
        <f t="shared" ca="1" si="14"/>
        <v>2.7319011000190699E-2</v>
      </c>
      <c r="F87" s="8">
        <f t="shared" ca="1" si="15"/>
        <v>1.4067252477497277E-2</v>
      </c>
      <c r="G87" s="8">
        <f t="shared" ca="1" si="16"/>
        <v>5.4558567137253447E-2</v>
      </c>
      <c r="H87" s="10">
        <f t="shared" ca="1" si="17"/>
        <v>4125.7131481767656</v>
      </c>
      <c r="I87" s="10">
        <f t="shared" ca="1" si="18"/>
        <v>551.65258534775842</v>
      </c>
      <c r="J87" s="10">
        <f t="shared" ca="1" si="19"/>
        <v>2357.9929561188987</v>
      </c>
      <c r="K87" s="12">
        <f t="array" aca="1" ref="K87:L87" ca="1">Opt3Spd(H87:J87,$E$3:$G$3,$K$3:$M$3,$N$3:$P$3,$H$3,$I$3,$Q$3,$J$3)</f>
        <v>239.0775876704015</v>
      </c>
      <c r="L87" s="12">
        <f ca="1"/>
        <v>5.0541094983600487E-3</v>
      </c>
      <c r="M87" s="12">
        <f t="array" aca="1" ref="M87:N87" ca="1">Opt3Spd(H87:J87,$E$3:$G$3,$K$3:$M$3,$N$3:$P$3,$H$4,$I$3,$Q$3,$J$3)</f>
        <v>0.45327706799631784</v>
      </c>
      <c r="N87" s="12">
        <f ca="1"/>
        <v>161.38074350709317</v>
      </c>
      <c r="O87" s="12">
        <f t="shared" ca="1" si="20"/>
        <v>0.45833117749467789</v>
      </c>
    </row>
    <row r="88" spans="2:15" x14ac:dyDescent="0.15">
      <c r="B88" s="6">
        <f t="shared" ca="1" si="13"/>
        <v>2.8627505016882644</v>
      </c>
      <c r="C88" s="6">
        <f t="shared" ca="1" si="13"/>
        <v>-1.7026967075472721</v>
      </c>
      <c r="D88" s="6">
        <f t="shared" ca="1" si="13"/>
        <v>-1.2116252141419315</v>
      </c>
      <c r="E88" s="8">
        <f t="shared" ca="1" si="14"/>
        <v>6.5180246098497249E-2</v>
      </c>
      <c r="F88" s="8">
        <f t="shared" ca="1" si="15"/>
        <v>6.7047045905053504E-2</v>
      </c>
      <c r="G88" s="8">
        <f t="shared" ca="1" si="16"/>
        <v>8.7322409702917103E-2</v>
      </c>
      <c r="H88" s="10">
        <f t="shared" ca="1" si="17"/>
        <v>4277.7638683315645</v>
      </c>
      <c r="I88" s="10">
        <f t="shared" ca="1" si="18"/>
        <v>580.47359297234914</v>
      </c>
      <c r="J88" s="10">
        <f t="shared" ca="1" si="19"/>
        <v>2431.2529080957224</v>
      </c>
      <c r="K88" s="12">
        <f t="array" aca="1" ref="K88:L88" ca="1">Opt3Spd(H88:J88,$E$3:$G$3,$K$3:$M$3,$N$3:$P$3,$H$3,$I$3,$Q$3,$J$3)</f>
        <v>308.37976249128633</v>
      </c>
      <c r="L88" s="12">
        <f ca="1"/>
        <v>9.6963341547962045E-5</v>
      </c>
      <c r="M88" s="12">
        <f t="array" aca="1" ref="M88:N88" ca="1">Opt3Spd(H88:J88,$E$3:$G$3,$K$3:$M$3,$N$3:$P$3,$H$4,$I$3,$Q$3,$J$3)</f>
        <v>4.4236150424553955</v>
      </c>
      <c r="N88" s="12">
        <f ca="1"/>
        <v>96.043949514510615</v>
      </c>
      <c r="O88" s="12">
        <f t="shared" ca="1" si="20"/>
        <v>4.4237120057969435</v>
      </c>
    </row>
    <row r="89" spans="2:15" x14ac:dyDescent="0.15">
      <c r="B89" s="6">
        <f t="shared" ca="1" si="13"/>
        <v>-0.90336130982073037</v>
      </c>
      <c r="C89" s="6">
        <f t="shared" ca="1" si="13"/>
        <v>-1.9381781250776071</v>
      </c>
      <c r="D89" s="6">
        <f t="shared" ca="1" si="13"/>
        <v>1.5558446196097762</v>
      </c>
      <c r="E89" s="8">
        <f t="shared" ca="1" si="14"/>
        <v>-2.0568090881567101E-2</v>
      </c>
      <c r="F89" s="8">
        <f t="shared" ca="1" si="15"/>
        <v>-7.8064650314516329E-2</v>
      </c>
      <c r="G89" s="8">
        <f t="shared" ca="1" si="16"/>
        <v>-2.2240002805136161E-2</v>
      </c>
      <c r="H89" s="10">
        <f t="shared" ca="1" si="17"/>
        <v>3933.3985470196267</v>
      </c>
      <c r="I89" s="10">
        <f t="shared" ca="1" si="18"/>
        <v>501.53283022890309</v>
      </c>
      <c r="J89" s="10">
        <f t="shared" ca="1" si="19"/>
        <v>2186.2713537277155</v>
      </c>
      <c r="K89" s="12">
        <f t="array" aca="1" ref="K89:L89" ca="1">Opt3Spd(H89:J89,$E$3:$G$3,$K$3:$M$3,$N$3:$P$3,$H$3,$I$3,$Q$3,$J$3)</f>
        <v>212.82623528045428</v>
      </c>
      <c r="L89" s="12">
        <f ca="1"/>
        <v>1.5893490930466214E-2</v>
      </c>
      <c r="M89" s="12">
        <f t="array" aca="1" ref="M89:N89" ca="1">Opt3Spd(H89:J89,$E$3:$G$3,$K$3:$M$3,$N$3:$P$3,$H$4,$I$3,$Q$3,$J$3)</f>
        <v>0.1373681761071861</v>
      </c>
      <c r="N89" s="12">
        <f ca="1"/>
        <v>187.32702638658336</v>
      </c>
      <c r="O89" s="12">
        <f t="shared" ca="1" si="20"/>
        <v>0.15326166703765232</v>
      </c>
    </row>
    <row r="90" spans="2:15" x14ac:dyDescent="0.15">
      <c r="B90" s="6">
        <f t="shared" ca="1" si="13"/>
        <v>1.6437128489115531</v>
      </c>
      <c r="C90" s="6">
        <f t="shared" ca="1" si="13"/>
        <v>1.7538612848248911</v>
      </c>
      <c r="D90" s="6">
        <f t="shared" ca="1" si="13"/>
        <v>-0.21392436392957781</v>
      </c>
      <c r="E90" s="8">
        <f t="shared" ca="1" si="14"/>
        <v>3.7424710237282034E-2</v>
      </c>
      <c r="F90" s="8">
        <f t="shared" ca="1" si="15"/>
        <v>0.10128972552956172</v>
      </c>
      <c r="G90" s="8">
        <f t="shared" ca="1" si="16"/>
        <v>6.3199797409665567E-2</v>
      </c>
      <c r="H90" s="10">
        <f t="shared" ca="1" si="17"/>
        <v>4166.2976363129246</v>
      </c>
      <c r="I90" s="10">
        <f t="shared" ca="1" si="18"/>
        <v>599.10161068808156</v>
      </c>
      <c r="J90" s="10">
        <f t="shared" ca="1" si="19"/>
        <v>2377.3147470080125</v>
      </c>
      <c r="K90" s="12">
        <f t="array" aca="1" ref="K90:L90" ca="1">Opt3Spd(H90:J90,$E$3:$G$3,$K$3:$M$3,$N$3:$P$3,$H$3,$I$3,$Q$3,$J$3)</f>
        <v>194.1312232698765</v>
      </c>
      <c r="L90" s="12">
        <f ca="1"/>
        <v>5.3537561888560958E-2</v>
      </c>
      <c r="M90" s="12">
        <f t="array" aca="1" ref="M90:N90" ca="1">Opt3Spd(H90:J90,$E$3:$G$3,$K$3:$M$3,$N$3:$P$3,$H$4,$I$3,$Q$3,$J$3)</f>
        <v>7.2135568703595609E-2</v>
      </c>
      <c r="N90" s="12">
        <f ca="1"/>
        <v>205.99444986071566</v>
      </c>
      <c r="O90" s="12">
        <f t="shared" ca="1" si="20"/>
        <v>0.12567313059215657</v>
      </c>
    </row>
    <row r="91" spans="2:15" x14ac:dyDescent="0.15">
      <c r="B91" s="6">
        <f t="shared" ca="1" si="13"/>
        <v>4.2057045334802659E-2</v>
      </c>
      <c r="C91" s="6">
        <f t="shared" ca="1" si="13"/>
        <v>-2.1069946159656467</v>
      </c>
      <c r="D91" s="6">
        <f t="shared" ca="1" si="13"/>
        <v>-0.59427530697478959</v>
      </c>
      <c r="E91" s="8">
        <f t="shared" ca="1" si="14"/>
        <v>9.5757159538753349E-4</v>
      </c>
      <c r="F91" s="8">
        <f t="shared" ca="1" si="15"/>
        <v>-4.6876595944333875E-2</v>
      </c>
      <c r="G91" s="8">
        <f t="shared" ca="1" si="16"/>
        <v>-1.0902283748507876E-2</v>
      </c>
      <c r="H91" s="10">
        <f t="shared" ca="1" si="17"/>
        <v>4019.8456075270765</v>
      </c>
      <c r="I91" s="10">
        <f t="shared" ca="1" si="18"/>
        <v>518.49913180628232</v>
      </c>
      <c r="J91" s="10">
        <f t="shared" ca="1" si="19"/>
        <v>2211.6224935383366</v>
      </c>
      <c r="K91" s="12">
        <f t="array" aca="1" ref="K91:L91" ca="1">Opt3Spd(H91:J91,$E$3:$G$3,$K$3:$M$3,$N$3:$P$3,$H$3,$I$3,$Q$3,$J$3)</f>
        <v>259.43699525593047</v>
      </c>
      <c r="L91" s="12">
        <f ca="1"/>
        <v>1.2453880740395107E-3</v>
      </c>
      <c r="M91" s="12">
        <f t="array" aca="1" ref="M91:N91" ca="1">Opt3Spd(H91:J91,$E$3:$G$3,$K$3:$M$3,$N$3:$P$3,$H$4,$I$3,$Q$3,$J$3)</f>
        <v>0.88149058447244499</v>
      </c>
      <c r="N91" s="12">
        <f ca="1"/>
        <v>141.445740716616</v>
      </c>
      <c r="O91" s="12">
        <f t="shared" ca="1" si="20"/>
        <v>0.8827359725464845</v>
      </c>
    </row>
    <row r="92" spans="2:15" x14ac:dyDescent="0.15">
      <c r="B92" s="6">
        <f t="shared" ca="1" si="13"/>
        <v>1.1596040758179564</v>
      </c>
      <c r="C92" s="6">
        <f t="shared" ca="1" si="13"/>
        <v>-6.7509959600232108E-2</v>
      </c>
      <c r="D92" s="6">
        <f t="shared" ca="1" si="13"/>
        <v>3.6588941000640446E-2</v>
      </c>
      <c r="E92" s="8">
        <f t="shared" ca="1" si="14"/>
        <v>2.6402328457915125E-2</v>
      </c>
      <c r="F92" s="8">
        <f t="shared" ca="1" si="15"/>
        <v>4.1461840933938371E-2</v>
      </c>
      <c r="G92" s="8">
        <f t="shared" ca="1" si="16"/>
        <v>4.2795772506382543E-2</v>
      </c>
      <c r="H92" s="10">
        <f t="shared" ca="1" si="17"/>
        <v>4122.0317510869872</v>
      </c>
      <c r="I92" s="10">
        <f t="shared" ca="1" si="18"/>
        <v>566.55524146806249</v>
      </c>
      <c r="J92" s="10">
        <f t="shared" ca="1" si="19"/>
        <v>2331.6913473242712</v>
      </c>
      <c r="K92" s="12">
        <f t="array" aca="1" ref="K92:L92" ca="1">Opt3Spd(H92:J92,$E$3:$G$3,$K$3:$M$3,$N$3:$P$3,$H$3,$I$3,$Q$3,$J$3)</f>
        <v>224.70839077500068</v>
      </c>
      <c r="L92" s="12">
        <f ca="1"/>
        <v>1.0699699048927869E-2</v>
      </c>
      <c r="M92" s="12">
        <f t="array" aca="1" ref="M92:N92" ca="1">Opt3Spd(H92:J92,$E$3:$G$3,$K$3:$M$3,$N$3:$P$3,$H$4,$I$3,$Q$3,$J$3)</f>
        <v>0.25472274016763663</v>
      </c>
      <c r="N92" s="12">
        <f ca="1"/>
        <v>175.55703166421588</v>
      </c>
      <c r="O92" s="12">
        <f t="shared" ca="1" si="20"/>
        <v>0.2654224392165645</v>
      </c>
    </row>
    <row r="93" spans="2:15" x14ac:dyDescent="0.15">
      <c r="B93" s="6">
        <f t="shared" ca="1" si="13"/>
        <v>-1.6016999425037737</v>
      </c>
      <c r="C93" s="6">
        <f t="shared" ca="1" si="13"/>
        <v>0.30630457834268532</v>
      </c>
      <c r="D93" s="6">
        <f t="shared" ca="1" si="13"/>
        <v>-0.82215113393731476</v>
      </c>
      <c r="E93" s="8">
        <f t="shared" ca="1" si="14"/>
        <v>-3.6468143614603162E-2</v>
      </c>
      <c r="F93" s="8">
        <f t="shared" ca="1" si="15"/>
        <v>-5.2371202053959745E-2</v>
      </c>
      <c r="G93" s="8">
        <f t="shared" ca="1" si="16"/>
        <v>-6.6713078634725739E-2</v>
      </c>
      <c r="H93" s="10">
        <f t="shared" ca="1" si="17"/>
        <v>3869.5439352437538</v>
      </c>
      <c r="I93" s="10">
        <f t="shared" ca="1" si="18"/>
        <v>515.51006608264595</v>
      </c>
      <c r="J93" s="10">
        <f t="shared" ca="1" si="19"/>
        <v>2086.8295561727532</v>
      </c>
      <c r="K93" s="12">
        <f t="array" aca="1" ref="K93:L93" ca="1">Opt3Spd(H93:J93,$E$3:$G$3,$K$3:$M$3,$N$3:$P$3,$H$3,$I$3,$Q$3,$J$3)</f>
        <v>176.39996530202529</v>
      </c>
      <c r="L93" s="12">
        <f ca="1"/>
        <v>8.6913876881681063E-2</v>
      </c>
      <c r="M93" s="12">
        <f t="array" aca="1" ref="M93:N93" ca="1">Opt3Spd(H93:J93,$E$3:$G$3,$K$3:$M$3,$N$3:$P$3,$H$4,$I$3,$Q$3,$J$3)</f>
        <v>2.2136909390208181E-2</v>
      </c>
      <c r="N93" s="12">
        <f ca="1"/>
        <v>223.7090854842466</v>
      </c>
      <c r="O93" s="12">
        <f t="shared" ca="1" si="20"/>
        <v>0.10905078627188924</v>
      </c>
    </row>
    <row r="94" spans="2:15" x14ac:dyDescent="0.15">
      <c r="B94" s="6">
        <f t="shared" ca="1" si="13"/>
        <v>6.5888219964993527E-2</v>
      </c>
      <c r="C94" s="6">
        <f t="shared" ca="1" si="13"/>
        <v>0.74515530536814412</v>
      </c>
      <c r="D94" s="6">
        <f t="shared" ca="1" si="13"/>
        <v>-1.1353358586164137</v>
      </c>
      <c r="E94" s="8">
        <f t="shared" ca="1" si="14"/>
        <v>1.5001692916576266E-3</v>
      </c>
      <c r="F94" s="8">
        <f t="shared" ca="1" si="15"/>
        <v>1.95740263983878E-2</v>
      </c>
      <c r="G94" s="8">
        <f t="shared" ca="1" si="16"/>
        <v>-7.5110044240386991E-3</v>
      </c>
      <c r="H94" s="10">
        <f t="shared" ca="1" si="17"/>
        <v>4022.0246798752969</v>
      </c>
      <c r="I94" s="10">
        <f t="shared" ca="1" si="18"/>
        <v>554.64827036072302</v>
      </c>
      <c r="J94" s="10">
        <f t="shared" ca="1" si="19"/>
        <v>2219.2053941078493</v>
      </c>
      <c r="K94" s="12">
        <f t="array" aca="1" ref="K94:L94" ca="1">Opt3Spd(H94:J94,$E$3:$G$3,$K$3:$M$3,$N$3:$P$3,$H$3,$I$3,$Q$3,$J$3)</f>
        <v>200.0173452383101</v>
      </c>
      <c r="L94" s="12">
        <f ca="1"/>
        <v>3.2594994094779395E-2</v>
      </c>
      <c r="M94" s="12">
        <f t="array" aca="1" ref="M94:N94" ca="1">Opt3Spd(H94:J94,$E$3:$G$3,$K$3:$M$3,$N$3:$P$3,$H$4,$I$3,$Q$3,$J$3)</f>
        <v>8.0245261957539782E-2</v>
      </c>
      <c r="N94" s="12">
        <f ca="1"/>
        <v>200.09549501774222</v>
      </c>
      <c r="O94" s="12">
        <f t="shared" ca="1" si="20"/>
        <v>0.11284025605231918</v>
      </c>
    </row>
    <row r="95" spans="2:15" x14ac:dyDescent="0.15">
      <c r="B95" s="6">
        <f t="shared" ca="1" si="13"/>
        <v>-0.40372390247573409</v>
      </c>
      <c r="C95" s="6">
        <f t="shared" ca="1" si="13"/>
        <v>1.5114602806833874</v>
      </c>
      <c r="D95" s="6">
        <f t="shared" ca="1" si="13"/>
        <v>1.9292048142452007</v>
      </c>
      <c r="E95" s="8">
        <f t="shared" ca="1" si="14"/>
        <v>-9.1921469592600828E-3</v>
      </c>
      <c r="F95" s="8">
        <f t="shared" ca="1" si="15"/>
        <v>1.9770660893739786E-2</v>
      </c>
      <c r="G95" s="8">
        <f t="shared" ca="1" si="16"/>
        <v>1.0107489356888159E-2</v>
      </c>
      <c r="H95" s="10">
        <f t="shared" ca="1" si="17"/>
        <v>3979.0843378116115</v>
      </c>
      <c r="I95" s="10">
        <f t="shared" ca="1" si="18"/>
        <v>554.75523952619449</v>
      </c>
      <c r="J95" s="10">
        <f t="shared" ca="1" si="19"/>
        <v>2258.6003462020021</v>
      </c>
      <c r="K95" s="12">
        <f t="array" aca="1" ref="K95:L95" ca="1">Opt3Spd(H95:J95,$E$3:$G$3,$K$3:$M$3,$N$3:$P$3,$H$3,$I$3,$Q$3,$J$3)</f>
        <v>137.71226480925225</v>
      </c>
      <c r="L95" s="12">
        <f ca="1"/>
        <v>0.53648334055310443</v>
      </c>
      <c r="M95" s="12">
        <f t="array" aca="1" ref="M95:N95" ca="1">Opt3Spd(H95:J95,$E$3:$G$3,$K$3:$M$3,$N$3:$P$3,$H$4,$I$3,$Q$3,$J$3)</f>
        <v>3.2617808706026929E-3</v>
      </c>
      <c r="N95" s="12">
        <f ca="1"/>
        <v>262.82748031217147</v>
      </c>
      <c r="O95" s="12">
        <f t="shared" ca="1" si="20"/>
        <v>0.53974512142370712</v>
      </c>
    </row>
    <row r="96" spans="2:15" x14ac:dyDescent="0.15">
      <c r="B96" s="6">
        <f t="shared" ca="1" si="13"/>
        <v>0.31493263170346564</v>
      </c>
      <c r="C96" s="6">
        <f t="shared" ca="1" si="13"/>
        <v>2.0087787143492912</v>
      </c>
      <c r="D96" s="6">
        <f t="shared" ca="1" si="13"/>
        <v>1.2011920811658137</v>
      </c>
      <c r="E96" s="8">
        <f t="shared" ca="1" si="14"/>
        <v>7.1705118649961191E-3</v>
      </c>
      <c r="F96" s="8">
        <f t="shared" ca="1" si="15"/>
        <v>5.7860762610079969E-2</v>
      </c>
      <c r="G96" s="8">
        <f t="shared" ca="1" si="16"/>
        <v>3.0197903434149576E-2</v>
      </c>
      <c r="H96" s="10">
        <f t="shared" ca="1" si="17"/>
        <v>4044.7967756498242</v>
      </c>
      <c r="I96" s="10">
        <f t="shared" ca="1" si="18"/>
        <v>575.47625485988351</v>
      </c>
      <c r="J96" s="10">
        <f t="shared" ca="1" si="19"/>
        <v>2303.5225120787582</v>
      </c>
      <c r="K96" s="12">
        <f t="array" aca="1" ref="K96:L96" ca="1">Opt3Spd(H96:J96,$E$3:$G$3,$K$3:$M$3,$N$3:$P$3,$H$3,$I$3,$Q$3,$J$3)</f>
        <v>147.64962511654926</v>
      </c>
      <c r="L96" s="12">
        <f ca="1"/>
        <v>0.37611328191792381</v>
      </c>
      <c r="M96" s="12">
        <f t="array" aca="1" ref="M96:N96" ca="1">Opt3Spd(H96:J96,$E$3:$G$3,$K$3:$M$3,$N$3:$P$3,$H$4,$I$3,$Q$3,$J$3)</f>
        <v>6.2456044879622974E-3</v>
      </c>
      <c r="N96" s="12">
        <f ca="1"/>
        <v>252.73273376985662</v>
      </c>
      <c r="O96" s="12">
        <f t="shared" ca="1" si="20"/>
        <v>0.38235888640588611</v>
      </c>
    </row>
    <row r="97" spans="2:15" x14ac:dyDescent="0.15">
      <c r="B97" s="6">
        <f t="shared" ca="1" si="13"/>
        <v>0.74013018269703579</v>
      </c>
      <c r="C97" s="6">
        <f t="shared" ca="1" si="13"/>
        <v>0.24531629550036299</v>
      </c>
      <c r="D97" s="6">
        <f t="shared" ca="1" si="13"/>
        <v>-0.57590440918745933</v>
      </c>
      <c r="E97" s="8">
        <f t="shared" ca="1" si="14"/>
        <v>1.685157942498608E-2</v>
      </c>
      <c r="F97" s="8">
        <f t="shared" ca="1" si="15"/>
        <v>3.3093484433346039E-2</v>
      </c>
      <c r="G97" s="8">
        <f t="shared" ca="1" si="16"/>
        <v>2.1768184376810794E-2</v>
      </c>
      <c r="H97" s="10">
        <f t="shared" ca="1" si="17"/>
        <v>4083.6759429707445</v>
      </c>
      <c r="I97" s="10">
        <f t="shared" ca="1" si="18"/>
        <v>562.00285553174035</v>
      </c>
      <c r="J97" s="10">
        <f t="shared" ca="1" si="19"/>
        <v>2284.6736602665487</v>
      </c>
      <c r="K97" s="12">
        <f t="array" aca="1" ref="K97:L97" ca="1">Opt3Spd(H97:J97,$E$3:$G$3,$K$3:$M$3,$N$3:$P$3,$H$3,$I$3,$Q$3,$J$3)</f>
        <v>217.1494294438005</v>
      </c>
      <c r="L97" s="12">
        <f ca="1"/>
        <v>1.48854571150423E-2</v>
      </c>
      <c r="M97" s="12">
        <f t="array" aca="1" ref="M97:N97" ca="1">Opt3Spd(H97:J97,$E$3:$G$3,$K$3:$M$3,$N$3:$P$3,$H$4,$I$3,$Q$3,$J$3)</f>
        <v>0.17998892736225258</v>
      </c>
      <c r="N97" s="12">
        <f ca="1"/>
        <v>183.04544494067679</v>
      </c>
      <c r="O97" s="12">
        <f t="shared" ca="1" si="20"/>
        <v>0.19487438447729488</v>
      </c>
    </row>
    <row r="98" spans="2:15" x14ac:dyDescent="0.15">
      <c r="B98" s="6">
        <f t="shared" ca="1" si="13"/>
        <v>-0.67062841525956707</v>
      </c>
      <c r="C98" s="6">
        <f t="shared" ca="1" si="13"/>
        <v>0.13000606104957874</v>
      </c>
      <c r="D98" s="6">
        <f t="shared" ca="1" si="13"/>
        <v>-0.76860265832860875</v>
      </c>
      <c r="E98" s="8">
        <f t="shared" ca="1" si="14"/>
        <v>-1.5269135442116055E-2</v>
      </c>
      <c r="F98" s="8">
        <f t="shared" ca="1" si="15"/>
        <v>-2.1887322530630256E-2</v>
      </c>
      <c r="G98" s="8">
        <f t="shared" ca="1" si="16"/>
        <v>-3.2448359491054943E-2</v>
      </c>
      <c r="H98" s="10">
        <f t="shared" ca="1" si="17"/>
        <v>3954.679152064462</v>
      </c>
      <c r="I98" s="10">
        <f t="shared" ca="1" si="18"/>
        <v>532.09329654333715</v>
      </c>
      <c r="J98" s="10">
        <f t="shared" ca="1" si="19"/>
        <v>2163.4454681780012</v>
      </c>
      <c r="K98" s="12">
        <f t="array" aca="1" ref="K98:L98" ca="1">Opt3Spd(H98:J98,$E$3:$G$3,$K$3:$M$3,$N$3:$P$3,$H$3,$I$3,$Q$3,$J$3)</f>
        <v>196.64283222665881</v>
      </c>
      <c r="L98" s="12">
        <f ca="1"/>
        <v>3.5688720536882101E-2</v>
      </c>
      <c r="M98" s="12">
        <f t="array" aca="1" ref="M98:N98" ca="1">Opt3Spd(H98:J98,$E$3:$G$3,$K$3:$M$3,$N$3:$P$3,$H$4,$I$3,$Q$3,$J$3)</f>
        <v>6.4907864035485652E-2</v>
      </c>
      <c r="N98" s="12">
        <f ca="1"/>
        <v>203.45776435791356</v>
      </c>
      <c r="O98" s="12">
        <f t="shared" ca="1" si="20"/>
        <v>0.10059658457236775</v>
      </c>
    </row>
    <row r="99" spans="2:15" x14ac:dyDescent="0.15">
      <c r="B99" s="6">
        <f t="shared" ca="1" si="13"/>
        <v>1.7668435702906942</v>
      </c>
      <c r="C99" s="6">
        <f t="shared" ca="1" si="13"/>
        <v>0.3939650093525649</v>
      </c>
      <c r="D99" s="6">
        <f t="shared" ca="1" si="13"/>
        <v>-0.68173867643612762</v>
      </c>
      <c r="E99" s="8">
        <f t="shared" ca="1" si="14"/>
        <v>4.0228199649665293E-2</v>
      </c>
      <c r="F99" s="8">
        <f t="shared" ca="1" si="15"/>
        <v>7.4595105413531745E-2</v>
      </c>
      <c r="G99" s="8">
        <f t="shared" ca="1" si="16"/>
        <v>5.8792029262141672E-2</v>
      </c>
      <c r="H99" s="10">
        <f t="shared" ca="1" si="17"/>
        <v>4177.5564497930563</v>
      </c>
      <c r="I99" s="10">
        <f t="shared" ca="1" si="18"/>
        <v>584.57973734496125</v>
      </c>
      <c r="J99" s="10">
        <f t="shared" ca="1" si="19"/>
        <v>2367.4589774301489</v>
      </c>
      <c r="K99" s="12">
        <f t="array" aca="1" ref="K99:L99" ca="1">Opt3Spd(H99:J99,$E$3:$G$3,$K$3:$M$3,$N$3:$P$3,$H$3,$I$3,$Q$3,$J$3)</f>
        <v>233.50659050196396</v>
      </c>
      <c r="L99" s="12">
        <f ca="1"/>
        <v>7.209175920479538E-3</v>
      </c>
      <c r="M99" s="12">
        <f t="array" aca="1" ref="M99:N99" ca="1">Opt3Spd(H99:J99,$E$3:$G$3,$K$3:$M$3,$N$3:$P$3,$H$4,$I$3,$Q$3,$J$3)</f>
        <v>0.37220198429348983</v>
      </c>
      <c r="N99" s="12">
        <f ca="1"/>
        <v>166.87282065825002</v>
      </c>
      <c r="O99" s="12">
        <f t="shared" ca="1" si="20"/>
        <v>0.37941116021396937</v>
      </c>
    </row>
    <row r="100" spans="2:15" x14ac:dyDescent="0.15">
      <c r="B100" s="6">
        <f t="shared" ca="1" si="13"/>
        <v>0.97396848252278623</v>
      </c>
      <c r="C100" s="6">
        <f t="shared" ca="1" si="13"/>
        <v>-1.0368259807659281</v>
      </c>
      <c r="D100" s="6">
        <f t="shared" ca="1" si="13"/>
        <v>0.5524094658509956</v>
      </c>
      <c r="E100" s="8">
        <f t="shared" ca="1" si="14"/>
        <v>2.2175703172727303E-2</v>
      </c>
      <c r="F100" s="8">
        <f t="shared" ca="1" si="15"/>
        <v>1.2292845342430095E-2</v>
      </c>
      <c r="G100" s="8">
        <f t="shared" ca="1" si="16"/>
        <v>3.8656990598333274E-2</v>
      </c>
      <c r="H100" s="10">
        <f t="shared" ca="1" si="17"/>
        <v>4105.0576239416723</v>
      </c>
      <c r="I100" s="10">
        <f t="shared" ca="1" si="18"/>
        <v>550.68730786628191</v>
      </c>
      <c r="J100" s="10">
        <f t="shared" ca="1" si="19"/>
        <v>2322.4370309778728</v>
      </c>
      <c r="K100" s="12">
        <f t="array" aca="1" ref="K100:L100" ca="1">Opt3Spd(H100:J100,$E$3:$G$3,$K$3:$M$3,$N$3:$P$3,$H$3,$I$3,$Q$3,$J$3)</f>
        <v>237.74458833025642</v>
      </c>
      <c r="L100" s="12">
        <f ca="1"/>
        <v>5.1724635716254852E-3</v>
      </c>
      <c r="M100" s="12">
        <f t="array" aca="1" ref="M100:N100" ca="1">Opt3Spd(H100:J100,$E$3:$G$3,$K$3:$M$3,$N$3:$P$3,$H$4,$I$3,$Q$3,$J$3)</f>
        <v>0.42165918595253515</v>
      </c>
      <c r="N100" s="12">
        <f ca="1"/>
        <v>162.68224331926774</v>
      </c>
      <c r="O100" s="12">
        <f t="shared" ca="1" si="20"/>
        <v>0.42683164952416064</v>
      </c>
    </row>
    <row r="101" spans="2:15" x14ac:dyDescent="0.15">
      <c r="B101" s="6">
        <f t="shared" ca="1" si="13"/>
        <v>0.44369800650055624</v>
      </c>
      <c r="C101" s="6">
        <f t="shared" ca="1" si="13"/>
        <v>1.9484764279627849</v>
      </c>
      <c r="D101" s="6">
        <f t="shared" ca="1" si="13"/>
        <v>0.22450016629072542</v>
      </c>
      <c r="E101" s="8">
        <f t="shared" ca="1" si="14"/>
        <v>1.0102293315489265E-2</v>
      </c>
      <c r="F101" s="8">
        <f t="shared" ca="1" si="15"/>
        <v>6.1250864286034656E-2</v>
      </c>
      <c r="G101" s="8">
        <f t="shared" ca="1" si="16"/>
        <v>2.434872604233624E-2</v>
      </c>
      <c r="H101" s="10">
        <f t="shared" ca="1" si="17"/>
        <v>4056.5708099550052</v>
      </c>
      <c r="I101" s="10">
        <f t="shared" ca="1" si="18"/>
        <v>577.32047017160278</v>
      </c>
      <c r="J101" s="10">
        <f t="shared" ca="1" si="19"/>
        <v>2290.4437514306637</v>
      </c>
      <c r="K101" s="12">
        <f t="array" aca="1" ref="K101:L101" ca="1">Opt3Spd(H101:J101,$E$3:$G$3,$K$3:$M$3,$N$3:$P$3,$H$3,$I$3,$Q$3,$J$3)</f>
        <v>162.83382996512</v>
      </c>
      <c r="L101" s="12">
        <f ca="1"/>
        <v>0.1976480000112133</v>
      </c>
      <c r="M101" s="12">
        <f t="array" aca="1" ref="M101:N101" ca="1">Opt3Spd(H101:J101,$E$3:$G$3,$K$3:$M$3,$N$3:$P$3,$H$4,$I$3,$Q$3,$J$3)</f>
        <v>1.4039486845316418E-2</v>
      </c>
      <c r="N101" s="12">
        <f ca="1"/>
        <v>237.37785752173653</v>
      </c>
      <c r="O101" s="12">
        <f t="shared" ca="1" si="20"/>
        <v>0.21168748685652972</v>
      </c>
    </row>
    <row r="102" spans="2:15" x14ac:dyDescent="0.15">
      <c r="B102" s="6">
        <f t="shared" ca="1" si="13"/>
        <v>-0.99728839980042427</v>
      </c>
      <c r="C102" s="6">
        <f t="shared" ca="1" si="13"/>
        <v>1.5350654062166971</v>
      </c>
      <c r="D102" s="6">
        <f t="shared" ca="1" si="13"/>
        <v>2.1430133511013456</v>
      </c>
      <c r="E102" s="8">
        <f t="shared" ca="1" si="14"/>
        <v>-2.2706660357524461E-2</v>
      </c>
      <c r="F102" s="8">
        <f t="shared" ca="1" si="15"/>
        <v>-1.7040874905088002E-3</v>
      </c>
      <c r="G102" s="8">
        <f t="shared" ca="1" si="16"/>
        <v>-9.3528660474414688E-3</v>
      </c>
      <c r="H102" s="10">
        <f t="shared" ca="1" si="17"/>
        <v>3924.8100520041817</v>
      </c>
      <c r="I102" s="10">
        <f t="shared" ca="1" si="18"/>
        <v>543.07297640516322</v>
      </c>
      <c r="J102" s="10">
        <f t="shared" ca="1" si="19"/>
        <v>2215.086991517921</v>
      </c>
      <c r="K102" s="12">
        <f t="array" aca="1" ref="K102:L102" ca="1">Opt3Spd(H102:J102,$E$3:$G$3,$K$3:$M$3,$N$3:$P$3,$H$3,$I$3,$Q$3,$J$3)</f>
        <v>124.22773188263614</v>
      </c>
      <c r="L102" s="12">
        <f ca="1"/>
        <v>0.87793788567591946</v>
      </c>
      <c r="M102" s="12">
        <f t="array" aca="1" ref="M102:N102" ca="1">Opt3Spd(H102:J102,$E$3:$G$3,$K$3:$M$3,$N$3:$P$3,$H$4,$I$3,$Q$3,$J$3)</f>
        <v>1.3285330211382507E-3</v>
      </c>
      <c r="N102" s="12">
        <f ca="1"/>
        <v>276.65153453606092</v>
      </c>
      <c r="O102" s="12">
        <f t="shared" ca="1" si="20"/>
        <v>0.87926641869705768</v>
      </c>
    </row>
    <row r="103" spans="2:15" x14ac:dyDescent="0.15">
      <c r="B103" s="6">
        <f t="shared" ca="1" si="13"/>
        <v>0.15054436071770591</v>
      </c>
      <c r="C103" s="6">
        <f t="shared" ca="1" si="13"/>
        <v>0.21749200498070462</v>
      </c>
      <c r="D103" s="6">
        <f t="shared" ca="1" si="13"/>
        <v>-0.40338356534075298</v>
      </c>
      <c r="E103" s="8">
        <f t="shared" ca="1" si="14"/>
        <v>3.4276540950859071E-3</v>
      </c>
      <c r="F103" s="8">
        <f t="shared" ca="1" si="15"/>
        <v>1.058403412747403E-2</v>
      </c>
      <c r="G103" s="8">
        <f t="shared" ca="1" si="16"/>
        <v>1.8648608979316707E-3</v>
      </c>
      <c r="H103" s="10">
        <f t="shared" ca="1" si="17"/>
        <v>4029.7654588458649</v>
      </c>
      <c r="I103" s="10">
        <f t="shared" ca="1" si="18"/>
        <v>549.75771456534596</v>
      </c>
      <c r="J103" s="10">
        <f t="shared" ca="1" si="19"/>
        <v>2240.1698289677752</v>
      </c>
      <c r="K103" s="12">
        <f t="array" aca="1" ref="K103:L103" ca="1">Opt3Spd(H103:J103,$E$3:$G$3,$K$3:$M$3,$N$3:$P$3,$H$3,$I$3,$Q$3,$J$3)</f>
        <v>205.09399280210459</v>
      </c>
      <c r="L103" s="12">
        <f ca="1"/>
        <v>2.5791744680873308E-2</v>
      </c>
      <c r="M103" s="12">
        <f t="array" aca="1" ref="M103:N103" ca="1">Opt3Spd(H103:J103,$E$3:$G$3,$K$3:$M$3,$N$3:$P$3,$H$4,$I$3,$Q$3,$J$3)</f>
        <v>0.1025555996393539</v>
      </c>
      <c r="N103" s="12">
        <f ca="1"/>
        <v>195.03435454221562</v>
      </c>
      <c r="O103" s="12">
        <f t="shared" ca="1" si="20"/>
        <v>0.12834734432022721</v>
      </c>
    </row>
    <row r="104" spans="2:15" x14ac:dyDescent="0.15">
      <c r="B104" s="6">
        <f t="shared" ca="1" si="13"/>
        <v>0.64081531147647042</v>
      </c>
      <c r="C104" s="6">
        <f t="shared" ca="1" si="13"/>
        <v>-0.51531312549549624</v>
      </c>
      <c r="D104" s="6">
        <f t="shared" ca="1" si="13"/>
        <v>0.9022427415462666</v>
      </c>
      <c r="E104" s="8">
        <f t="shared" ca="1" si="14"/>
        <v>1.4590338795186366E-2</v>
      </c>
      <c r="F104" s="8">
        <f t="shared" ca="1" si="15"/>
        <v>1.1923819317304369E-2</v>
      </c>
      <c r="G104" s="8">
        <f t="shared" ca="1" si="16"/>
        <v>3.1658214421619799E-2</v>
      </c>
      <c r="H104" s="10">
        <f t="shared" ca="1" si="17"/>
        <v>4074.5948006014687</v>
      </c>
      <c r="I104" s="10">
        <f t="shared" ca="1" si="18"/>
        <v>550.48655770861353</v>
      </c>
      <c r="J104" s="10">
        <f t="shared" ca="1" si="19"/>
        <v>2306.7877674467418</v>
      </c>
      <c r="K104" s="12">
        <f t="array" aca="1" ref="K104:L104" ca="1">Opt3Spd(H104:J104,$E$3:$G$3,$K$3:$M$3,$N$3:$P$3,$H$3,$I$3,$Q$3,$J$3)</f>
        <v>215.4389154432165</v>
      </c>
      <c r="L104" s="12">
        <f ca="1"/>
        <v>1.6490898900428874E-2</v>
      </c>
      <c r="M104" s="12">
        <f t="array" aca="1" ref="M104:N104" ca="1">Opt3Spd(H104:J104,$E$3:$G$3,$K$3:$M$3,$N$3:$P$3,$H$4,$I$3,$Q$3,$J$3)</f>
        <v>0.16946264698368729</v>
      </c>
      <c r="N104" s="12">
        <f ca="1"/>
        <v>184.7470381026676</v>
      </c>
      <c r="O104" s="12">
        <f t="shared" ca="1" si="20"/>
        <v>0.18595354588411617</v>
      </c>
    </row>
    <row r="105" spans="2:15" x14ac:dyDescent="0.15">
      <c r="B105" s="6">
        <f t="shared" ca="1" si="13"/>
        <v>-1.1739900222851862</v>
      </c>
      <c r="C105" s="6">
        <f t="shared" ca="1" si="13"/>
        <v>0.66432888095270248</v>
      </c>
      <c r="D105" s="6">
        <f t="shared" ca="1" si="13"/>
        <v>1.0461255833576864</v>
      </c>
      <c r="E105" s="8">
        <f t="shared" ca="1" si="14"/>
        <v>-2.672987342927776E-2</v>
      </c>
      <c r="F105" s="8">
        <f t="shared" ca="1" si="15"/>
        <v>-2.8275496226318253E-2</v>
      </c>
      <c r="G105" s="8">
        <f t="shared" ca="1" si="16"/>
        <v>-3.0057524125218237E-2</v>
      </c>
      <c r="H105" s="10">
        <f t="shared" ca="1" si="17"/>
        <v>3908.6528283080202</v>
      </c>
      <c r="I105" s="10">
        <f t="shared" ca="1" si="18"/>
        <v>528.61813005288286</v>
      </c>
      <c r="J105" s="10">
        <f t="shared" ca="1" si="19"/>
        <v>2168.7913760560123</v>
      </c>
      <c r="K105" s="12">
        <f t="array" aca="1" ref="K105:L105" ca="1">Opt3Spd(H105:J105,$E$3:$G$3,$K$3:$M$3,$N$3:$P$3,$H$3,$I$3,$Q$3,$J$3)</f>
        <v>153.7253886561025</v>
      </c>
      <c r="L105" s="12">
        <f ca="1"/>
        <v>0.25725646070122821</v>
      </c>
      <c r="M105" s="12">
        <f t="array" aca="1" ref="M105:N105" ca="1">Opt3Spd(H105:J105,$E$3:$G$3,$K$3:$M$3,$N$3:$P$3,$H$4,$I$3,$Q$3,$J$3)</f>
        <v>7.1789691490491414E-3</v>
      </c>
      <c r="N105" s="12">
        <f ca="1"/>
        <v>246.53904677374777</v>
      </c>
      <c r="O105" s="12">
        <f t="shared" ca="1" si="20"/>
        <v>0.26443542985027735</v>
      </c>
    </row>
    <row r="106" spans="2:15" x14ac:dyDescent="0.15">
      <c r="B106" s="6">
        <f t="shared" ca="1" si="13"/>
        <v>-0.39712013341147301</v>
      </c>
      <c r="C106" s="6">
        <f t="shared" ca="1" si="13"/>
        <v>-0.39248983168778628</v>
      </c>
      <c r="D106" s="6">
        <f t="shared" ca="1" si="13"/>
        <v>0.29438702478659312</v>
      </c>
      <c r="E106" s="8">
        <f t="shared" ca="1" si="14"/>
        <v>-9.0417897092893492E-3</v>
      </c>
      <c r="F106" s="8">
        <f t="shared" ca="1" si="15"/>
        <v>-2.3753333768165751E-2</v>
      </c>
      <c r="G106" s="8">
        <f t="shared" ca="1" si="16"/>
        <v>-1.2592813471184298E-2</v>
      </c>
      <c r="H106" s="10">
        <f t="shared" ca="1" si="17"/>
        <v>3979.6881725274939</v>
      </c>
      <c r="I106" s="10">
        <f t="shared" ca="1" si="18"/>
        <v>531.07818643011785</v>
      </c>
      <c r="J106" s="10">
        <f t="shared" ca="1" si="19"/>
        <v>2207.8424690784318</v>
      </c>
      <c r="K106" s="12">
        <f t="array" aca="1" ref="K106:L106" ca="1">Opt3Spd(H106:J106,$E$3:$G$3,$K$3:$M$3,$N$3:$P$3,$H$3,$I$3,$Q$3,$J$3)</f>
        <v>201.07185064281907</v>
      </c>
      <c r="L106" s="12">
        <f ca="1"/>
        <v>3.001094272985938E-2</v>
      </c>
      <c r="M106" s="12">
        <f t="array" aca="1" ref="M106:N106" ca="1">Opt3Spd(H106:J106,$E$3:$G$3,$K$3:$M$3,$N$3:$P$3,$H$4,$I$3,$Q$3,$J$3)</f>
        <v>8.2779438803543215E-2</v>
      </c>
      <c r="N106" s="12">
        <f ca="1"/>
        <v>199.04093973871434</v>
      </c>
      <c r="O106" s="12">
        <f t="shared" ca="1" si="20"/>
        <v>0.11279038153340259</v>
      </c>
    </row>
    <row r="107" spans="2:15" x14ac:dyDescent="0.15">
      <c r="B107" s="6">
        <f t="shared" ref="B107:D138" ca="1" si="21">NORMINV(RAND(),0,1)</f>
        <v>-0.47834834915400642</v>
      </c>
      <c r="C107" s="6">
        <f t="shared" ca="1" si="21"/>
        <v>4.4829609580412072E-2</v>
      </c>
      <c r="D107" s="6">
        <f t="shared" ca="1" si="21"/>
        <v>0.56750376327994378</v>
      </c>
      <c r="E107" s="8">
        <f t="shared" ca="1" si="14"/>
        <v>-1.0891226147818598E-2</v>
      </c>
      <c r="F107" s="8">
        <f t="shared" ca="1" si="15"/>
        <v>-1.6713057248264773E-2</v>
      </c>
      <c r="G107" s="8">
        <f t="shared" ca="1" si="16"/>
        <v>-1.1397952947669904E-2</v>
      </c>
      <c r="H107" s="10">
        <f t="shared" ca="1" si="17"/>
        <v>3972.2608357903605</v>
      </c>
      <c r="I107" s="10">
        <f t="shared" ca="1" si="18"/>
        <v>534.90809685694398</v>
      </c>
      <c r="J107" s="10">
        <f t="shared" ca="1" si="19"/>
        <v>2210.5141772090101</v>
      </c>
      <c r="K107" s="12">
        <f t="array" aca="1" ref="K107:L107" ca="1">Opt3Spd(H107:J107,$E$3:$G$3,$K$3:$M$3,$N$3:$P$3,$H$3,$I$3,$Q$3,$J$3)</f>
        <v>186.21284754549288</v>
      </c>
      <c r="L107" s="12">
        <f ca="1"/>
        <v>6.2055330748080451E-2</v>
      </c>
      <c r="M107" s="12">
        <f t="array" aca="1" ref="M107:N107" ca="1">Opt3Spd(H107:J107,$E$3:$G$3,$K$3:$M$3,$N$3:$P$3,$H$4,$I$3,$Q$3,$J$3)</f>
        <v>4.1172893107854769E-2</v>
      </c>
      <c r="N107" s="12">
        <f ca="1"/>
        <v>213.89038067836304</v>
      </c>
      <c r="O107" s="12">
        <f t="shared" ca="1" si="20"/>
        <v>0.10322822385593522</v>
      </c>
    </row>
    <row r="108" spans="2:15" x14ac:dyDescent="0.15">
      <c r="B108" s="6">
        <f t="shared" ca="1" si="21"/>
        <v>-0.91704476998906181</v>
      </c>
      <c r="C108" s="6">
        <f t="shared" ca="1" si="21"/>
        <v>-1.1743691320015412</v>
      </c>
      <c r="D108" s="6">
        <f t="shared" ca="1" si="21"/>
        <v>-0.5189442270867296</v>
      </c>
      <c r="E108" s="8">
        <f t="shared" ca="1" si="14"/>
        <v>-2.0879641364476752E-2</v>
      </c>
      <c r="F108" s="8">
        <f t="shared" ca="1" si="15"/>
        <v>-6.1013397135977018E-2</v>
      </c>
      <c r="G108" s="8">
        <f t="shared" ca="1" si="16"/>
        <v>-4.2628234010904598E-2</v>
      </c>
      <c r="H108" s="10">
        <f t="shared" ca="1" si="17"/>
        <v>3932.1473602802616</v>
      </c>
      <c r="I108" s="10">
        <f t="shared" ca="1" si="18"/>
        <v>510.80871195802854</v>
      </c>
      <c r="J108" s="10">
        <f t="shared" ca="1" si="19"/>
        <v>2140.6832687516176</v>
      </c>
      <c r="K108" s="12">
        <f t="array" aca="1" ref="K108:L108" ca="1">Opt3Spd(H108:J108,$E$3:$G$3,$K$3:$M$3,$N$3:$P$3,$H$3,$I$3,$Q$3,$J$3)</f>
        <v>219.52240705124404</v>
      </c>
      <c r="L108" s="12">
        <f ca="1"/>
        <v>1.0620279636668783E-2</v>
      </c>
      <c r="M108" s="12">
        <f t="array" aca="1" ref="M108:N108" ca="1">Opt3Spd(H108:J108,$E$3:$G$3,$K$3:$M$3,$N$3:$P$3,$H$4,$I$3,$Q$3,$J$3)</f>
        <v>0.17756379877879169</v>
      </c>
      <c r="N108" s="12">
        <f ca="1"/>
        <v>180.66577702717143</v>
      </c>
      <c r="O108" s="12">
        <f t="shared" ca="1" si="20"/>
        <v>0.18818407841546048</v>
      </c>
    </row>
    <row r="109" spans="2:15" x14ac:dyDescent="0.15">
      <c r="B109" s="6">
        <f t="shared" ca="1" si="21"/>
        <v>-0.90780273150080493</v>
      </c>
      <c r="C109" s="6">
        <f t="shared" ca="1" si="21"/>
        <v>0.89325159976333246</v>
      </c>
      <c r="D109" s="6">
        <f t="shared" ca="1" si="21"/>
        <v>1.279585605182034</v>
      </c>
      <c r="E109" s="8">
        <f t="shared" ca="1" si="14"/>
        <v>-2.066921494318677E-2</v>
      </c>
      <c r="F109" s="8">
        <f t="shared" ca="1" si="15"/>
        <v>-1.3139084179832276E-2</v>
      </c>
      <c r="G109" s="8">
        <f t="shared" ca="1" si="16"/>
        <v>-1.7126617643827349E-2</v>
      </c>
      <c r="H109" s="10">
        <f t="shared" ca="1" si="17"/>
        <v>3932.9924327881622</v>
      </c>
      <c r="I109" s="10">
        <f t="shared" ca="1" si="18"/>
        <v>536.85233820617123</v>
      </c>
      <c r="J109" s="10">
        <f t="shared" ca="1" si="19"/>
        <v>2197.704882948402</v>
      </c>
      <c r="K109" s="12">
        <f t="array" aca="1" ref="K109:L109" ca="1">Opt3Spd(H109:J109,$E$3:$G$3,$K$3:$M$3,$N$3:$P$3,$H$3,$I$3,$Q$3,$J$3)</f>
        <v>150.47889257132874</v>
      </c>
      <c r="L109" s="12">
        <f ca="1"/>
        <v>0.30264238724157622</v>
      </c>
      <c r="M109" s="12">
        <f t="array" aca="1" ref="M109:N109" ca="1">Opt3Spd(H109:J109,$E$3:$G$3,$K$3:$M$3,$N$3:$P$3,$H$4,$I$3,$Q$3,$J$3)</f>
        <v>6.2223463063010298E-3</v>
      </c>
      <c r="N109" s="12">
        <f ca="1"/>
        <v>249.82997216221912</v>
      </c>
      <c r="O109" s="12">
        <f t="shared" ca="1" si="20"/>
        <v>0.30886473354787725</v>
      </c>
    </row>
    <row r="110" spans="2:15" x14ac:dyDescent="0.15">
      <c r="B110" s="6">
        <f t="shared" ca="1" si="21"/>
        <v>0.5601963730971713</v>
      </c>
      <c r="C110" s="6">
        <f t="shared" ca="1" si="21"/>
        <v>-0.25512459202304244</v>
      </c>
      <c r="D110" s="6">
        <f t="shared" ca="1" si="21"/>
        <v>1.708088215399743</v>
      </c>
      <c r="E110" s="8">
        <f t="shared" ca="1" si="14"/>
        <v>1.2754774626858255E-2</v>
      </c>
      <c r="F110" s="8">
        <f t="shared" ca="1" si="15"/>
        <v>1.4914722713051699E-2</v>
      </c>
      <c r="G110" s="8">
        <f t="shared" ca="1" si="16"/>
        <v>3.8036441121418699E-2</v>
      </c>
      <c r="H110" s="10">
        <f t="shared" ca="1" si="17"/>
        <v>4067.2231749014622</v>
      </c>
      <c r="I110" s="10">
        <f t="shared" ca="1" si="18"/>
        <v>552.11360915590012</v>
      </c>
      <c r="J110" s="10">
        <f t="shared" ca="1" si="19"/>
        <v>2321.0494823474924</v>
      </c>
      <c r="K110" s="12">
        <f t="array" aca="1" ref="K110:L110" ca="1">Opt3Spd(H110:J110,$E$3:$G$3,$K$3:$M$3,$N$3:$P$3,$H$3,$I$3,$Q$3,$J$3)</f>
        <v>198.35591504882973</v>
      </c>
      <c r="L110" s="12">
        <f ca="1"/>
        <v>3.9255970553767838E-2</v>
      </c>
      <c r="M110" s="12">
        <f t="array" aca="1" ref="M110:N110" ca="1">Opt3Spd(H110:J110,$E$3:$G$3,$K$3:$M$3,$N$3:$P$3,$H$4,$I$3,$Q$3,$J$3)</f>
        <v>8.0996340694294844E-2</v>
      </c>
      <c r="N110" s="12">
        <f ca="1"/>
        <v>201.76433726241834</v>
      </c>
      <c r="O110" s="12">
        <f t="shared" ca="1" si="20"/>
        <v>0.12025231124806268</v>
      </c>
    </row>
    <row r="111" spans="2:15" x14ac:dyDescent="0.15">
      <c r="B111" s="6">
        <f t="shared" ca="1" si="21"/>
        <v>-0.70244941915419978</v>
      </c>
      <c r="C111" s="6">
        <f t="shared" ca="1" si="21"/>
        <v>0.51468764218084606</v>
      </c>
      <c r="D111" s="6">
        <f t="shared" ca="1" si="21"/>
        <v>-1.9091604582323045</v>
      </c>
      <c r="E111" s="8">
        <f t="shared" ca="1" si="14"/>
        <v>-1.5993648760244977E-2</v>
      </c>
      <c r="F111" s="8">
        <f t="shared" ca="1" si="15"/>
        <v>-1.4224424056758691E-2</v>
      </c>
      <c r="G111" s="8">
        <f t="shared" ca="1" si="16"/>
        <v>-4.465111625643927E-2</v>
      </c>
      <c r="H111" s="10">
        <f t="shared" ca="1" si="17"/>
        <v>3951.7695065788562</v>
      </c>
      <c r="I111" s="10">
        <f t="shared" ca="1" si="18"/>
        <v>536.26191331312327</v>
      </c>
      <c r="J111" s="10">
        <f t="shared" ca="1" si="19"/>
        <v>2136.1601040506021</v>
      </c>
      <c r="K111" s="12">
        <f t="array" aca="1" ref="K111:L111" ca="1">Opt3Spd(H111:J111,$E$3:$G$3,$K$3:$M$3,$N$3:$P$3,$H$3,$I$3,$Q$3,$J$3)</f>
        <v>200.69880056171382</v>
      </c>
      <c r="L111" s="12">
        <f ca="1"/>
        <v>2.8407309155909388E-2</v>
      </c>
      <c r="M111" s="12">
        <f t="array" aca="1" ref="M111:N111" ca="1">Opt3Spd(H111:J111,$E$3:$G$3,$K$3:$M$3,$N$3:$P$3,$H$4,$I$3,$Q$3,$J$3)</f>
        <v>7.6697056643379113E-2</v>
      </c>
      <c r="N111" s="12">
        <f ca="1"/>
        <v>199.40630380408547</v>
      </c>
      <c r="O111" s="12">
        <f t="shared" ca="1" si="20"/>
        <v>0.1051043657992885</v>
      </c>
    </row>
    <row r="112" spans="2:15" x14ac:dyDescent="0.15">
      <c r="B112" s="6">
        <f t="shared" ca="1" si="21"/>
        <v>0.57723352078138923</v>
      </c>
      <c r="C112" s="6">
        <f t="shared" ca="1" si="21"/>
        <v>-0.6758425441815743</v>
      </c>
      <c r="D112" s="6">
        <f t="shared" ca="1" si="21"/>
        <v>-0.53858406683599391</v>
      </c>
      <c r="E112" s="8">
        <f t="shared" ca="1" si="14"/>
        <v>1.3142683205764755E-2</v>
      </c>
      <c r="F112" s="8">
        <f t="shared" ca="1" si="15"/>
        <v>5.8750170064930688E-3</v>
      </c>
      <c r="G112" s="8">
        <f t="shared" ca="1" si="16"/>
        <v>1.3507104261513431E-2</v>
      </c>
      <c r="H112" s="10">
        <f t="shared" ca="1" si="17"/>
        <v>4068.7810157543518</v>
      </c>
      <c r="I112" s="10">
        <f t="shared" ca="1" si="18"/>
        <v>547.19600925153225</v>
      </c>
      <c r="J112" s="10">
        <f t="shared" ca="1" si="19"/>
        <v>2266.2018851287439</v>
      </c>
      <c r="K112" s="12">
        <f t="array" aca="1" ref="K112:L112" ca="1">Opt3Spd(H112:J112,$E$3:$G$3,$K$3:$M$3,$N$3:$P$3,$H$3,$I$3,$Q$3,$J$3)</f>
        <v>235.17195498796491</v>
      </c>
      <c r="L112" s="12">
        <f ca="1"/>
        <v>5.4966004367997812E-3</v>
      </c>
      <c r="M112" s="12">
        <f t="array" aca="1" ref="M112:N112" ca="1">Opt3Spd(H112:J112,$E$3:$G$3,$K$3:$M$3,$N$3:$P$3,$H$4,$I$3,$Q$3,$J$3)</f>
        <v>0.36846610120624135</v>
      </c>
      <c r="N112" s="12">
        <f ca="1"/>
        <v>165.20200771367814</v>
      </c>
      <c r="O112" s="12">
        <f t="shared" ca="1" si="20"/>
        <v>0.37396270164304113</v>
      </c>
    </row>
    <row r="113" spans="2:15" x14ac:dyDescent="0.15">
      <c r="B113" s="6">
        <f t="shared" ca="1" si="21"/>
        <v>0.35720105294358534</v>
      </c>
      <c r="C113" s="6">
        <f t="shared" ca="1" si="21"/>
        <v>-0.72604143276601241</v>
      </c>
      <c r="D113" s="6">
        <f t="shared" ca="1" si="21"/>
        <v>-0.59415475777260129</v>
      </c>
      <c r="E113" s="8">
        <f t="shared" ca="1" si="14"/>
        <v>8.1328961513672821E-3</v>
      </c>
      <c r="F113" s="8">
        <f t="shared" ca="1" si="15"/>
        <v>-3.440758075458827E-3</v>
      </c>
      <c r="G113" s="8">
        <f t="shared" ca="1" si="16"/>
        <v>4.6857457093158403E-3</v>
      </c>
      <c r="H113" s="10">
        <f t="shared" ca="1" si="17"/>
        <v>4048.6617109438912</v>
      </c>
      <c r="I113" s="10">
        <f t="shared" ca="1" si="18"/>
        <v>542.12822760695042</v>
      </c>
      <c r="J113" s="10">
        <f t="shared" ca="1" si="19"/>
        <v>2246.4773274060303</v>
      </c>
      <c r="K113" s="12">
        <f t="array" aca="1" ref="K113:L113" ca="1">Opt3Spd(H113:J113,$E$3:$G$3,$K$3:$M$3,$N$3:$P$3,$H$3,$I$3,$Q$3,$J$3)</f>
        <v>233.02387385917041</v>
      </c>
      <c r="L113" s="12">
        <f ca="1"/>
        <v>5.9907894153639063E-3</v>
      </c>
      <c r="M113" s="12">
        <f t="array" aca="1" ref="M113:N113" ca="1">Opt3Spd(H113:J113,$E$3:$G$3,$K$3:$M$3,$N$3:$P$3,$H$4,$I$3,$Q$3,$J$3)</f>
        <v>0.33403416886697457</v>
      </c>
      <c r="N113" s="12">
        <f ca="1"/>
        <v>167.31615109911192</v>
      </c>
      <c r="O113" s="12">
        <f t="shared" ca="1" si="20"/>
        <v>0.34002495828233847</v>
      </c>
    </row>
    <row r="114" spans="2:15" x14ac:dyDescent="0.15">
      <c r="B114" s="6">
        <f t="shared" ca="1" si="21"/>
        <v>-1.0779306923793432</v>
      </c>
      <c r="C114" s="6">
        <f t="shared" ca="1" si="21"/>
        <v>1.3240554184298987</v>
      </c>
      <c r="D114" s="6">
        <f t="shared" ca="1" si="21"/>
        <v>-2.0002734448557691</v>
      </c>
      <c r="E114" s="8">
        <f t="shared" ca="1" si="14"/>
        <v>-2.4542756263591418E-2</v>
      </c>
      <c r="F114" s="8">
        <f t="shared" ca="1" si="15"/>
        <v>-9.5461962347558049E-3</v>
      </c>
      <c r="G114" s="8">
        <f t="shared" ca="1" si="16"/>
        <v>-5.706674812571666E-2</v>
      </c>
      <c r="H114" s="10">
        <f t="shared" ca="1" si="17"/>
        <v>3917.4362908454173</v>
      </c>
      <c r="I114" s="10">
        <f t="shared" ca="1" si="18"/>
        <v>538.80686924829286</v>
      </c>
      <c r="J114" s="10">
        <f t="shared" ca="1" si="19"/>
        <v>2108.3987511908977</v>
      </c>
      <c r="K114" s="12">
        <f t="array" aca="1" ref="K114:L114" ca="1">Opt3Spd(H114:J114,$E$3:$G$3,$K$3:$M$3,$N$3:$P$3,$H$3,$I$3,$Q$3,$J$3)</f>
        <v>176.23628915416953</v>
      </c>
      <c r="L114" s="12">
        <f ca="1"/>
        <v>9.0364701469752617E-2</v>
      </c>
      <c r="M114" s="12">
        <f t="array" aca="1" ref="M114:N114" ca="1">Opt3Spd(H114:J114,$E$3:$G$3,$K$3:$M$3,$N$3:$P$3,$H$4,$I$3,$Q$3,$J$3)</f>
        <v>2.2603193016545564E-2</v>
      </c>
      <c r="N114" s="12">
        <f ca="1"/>
        <v>223.87667874031678</v>
      </c>
      <c r="O114" s="12">
        <f t="shared" ca="1" si="20"/>
        <v>0.11296789448629818</v>
      </c>
    </row>
    <row r="115" spans="2:15" x14ac:dyDescent="0.15">
      <c r="B115" s="6">
        <f t="shared" ca="1" si="21"/>
        <v>-1.0021524503707262</v>
      </c>
      <c r="C115" s="6">
        <f t="shared" ca="1" si="21"/>
        <v>-0.53800313688956269</v>
      </c>
      <c r="D115" s="6">
        <f t="shared" ca="1" si="21"/>
        <v>-8.8999384245994739E-2</v>
      </c>
      <c r="E115" s="8">
        <f t="shared" ca="1" si="14"/>
        <v>-2.2817407002410507E-2</v>
      </c>
      <c r="F115" s="8">
        <f t="shared" ca="1" si="15"/>
        <v>-4.9541242472946626E-2</v>
      </c>
      <c r="G115" s="8">
        <f t="shared" ca="1" si="16"/>
        <v>-3.9327374033891124E-2</v>
      </c>
      <c r="H115" s="10">
        <f t="shared" ca="1" si="17"/>
        <v>3924.3652934783195</v>
      </c>
      <c r="I115" s="10">
        <f t="shared" ca="1" si="18"/>
        <v>517.04956409471697</v>
      </c>
      <c r="J115" s="10">
        <f t="shared" ca="1" si="19"/>
        <v>2148.0639916602195</v>
      </c>
      <c r="K115" s="12">
        <f t="array" aca="1" ref="K115:L115" ca="1">Opt3Spd(H115:J115,$E$3:$G$3,$K$3:$M$3,$N$3:$P$3,$H$3,$I$3,$Q$3,$J$3)</f>
        <v>198.0864187309719</v>
      </c>
      <c r="L115" s="12">
        <f ca="1"/>
        <v>3.2423634309225235E-2</v>
      </c>
      <c r="M115" s="12">
        <f t="array" aca="1" ref="M115:N115" ca="1">Opt3Spd(H115:J115,$E$3:$G$3,$K$3:$M$3,$N$3:$P$3,$H$4,$I$3,$Q$3,$J$3)</f>
        <v>6.8339297360808793E-2</v>
      </c>
      <c r="N115" s="12">
        <f ca="1"/>
        <v>202.01434420069813</v>
      </c>
      <c r="O115" s="12">
        <f t="shared" ca="1" si="20"/>
        <v>0.10076293167003403</v>
      </c>
    </row>
    <row r="116" spans="2:15" x14ac:dyDescent="0.15">
      <c r="B116" s="6">
        <f t="shared" ca="1" si="21"/>
        <v>-1.590228674429494</v>
      </c>
      <c r="C116" s="6">
        <f t="shared" ca="1" si="21"/>
        <v>-4.7543340724141271E-2</v>
      </c>
      <c r="D116" s="6">
        <f t="shared" ca="1" si="21"/>
        <v>0.32980503785006959</v>
      </c>
      <c r="E116" s="8">
        <f t="shared" ca="1" si="14"/>
        <v>-3.6206961204294459E-2</v>
      </c>
      <c r="F116" s="8">
        <f t="shared" ca="1" si="15"/>
        <v>-6.0080124246811167E-2</v>
      </c>
      <c r="G116" s="8">
        <f t="shared" ca="1" si="16"/>
        <v>-5.5047001371305478E-2</v>
      </c>
      <c r="H116" s="10">
        <f t="shared" ca="1" si="17"/>
        <v>3870.5928438035535</v>
      </c>
      <c r="I116" s="10">
        <f t="shared" ca="1" si="18"/>
        <v>511.31641240973471</v>
      </c>
      <c r="J116" s="10">
        <f t="shared" ca="1" si="19"/>
        <v>2112.9149049337611</v>
      </c>
      <c r="K116" s="12">
        <f t="array" aca="1" ref="K116:L116" ca="1">Opt3Spd(H116:J116,$E$3:$G$3,$K$3:$M$3,$N$3:$P$3,$H$3,$I$3,$Q$3,$J$3)</f>
        <v>171.1423332647762</v>
      </c>
      <c r="L116" s="12">
        <f ca="1"/>
        <v>0.11320178367873268</v>
      </c>
      <c r="M116" s="12">
        <f t="array" aca="1" ref="M116:N116" ca="1">Opt3Spd(H116:J116,$E$3:$G$3,$K$3:$M$3,$N$3:$P$3,$H$4,$I$3,$Q$3,$J$3)</f>
        <v>1.7276103490739381E-2</v>
      </c>
      <c r="N116" s="12">
        <f ca="1"/>
        <v>228.98814462239326</v>
      </c>
      <c r="O116" s="12">
        <f t="shared" ca="1" si="20"/>
        <v>0.13047788716947206</v>
      </c>
    </row>
    <row r="117" spans="2:15" x14ac:dyDescent="0.15">
      <c r="B117" s="6">
        <f t="shared" ca="1" si="21"/>
        <v>-9.4406881639991877E-2</v>
      </c>
      <c r="C117" s="6">
        <f t="shared" ca="1" si="21"/>
        <v>-0.72230309446480201</v>
      </c>
      <c r="D117" s="6">
        <f t="shared" ca="1" si="21"/>
        <v>-1.0895188415583832</v>
      </c>
      <c r="E117" s="8">
        <f t="shared" ca="1" si="14"/>
        <v>-2.1494935639894078E-3</v>
      </c>
      <c r="F117" s="8">
        <f t="shared" ca="1" si="15"/>
        <v>-2.0106545874109826E-2</v>
      </c>
      <c r="G117" s="8">
        <f t="shared" ca="1" si="16"/>
        <v>-1.7171883628001577E-2</v>
      </c>
      <c r="H117" s="10">
        <f t="shared" ca="1" si="17"/>
        <v>4007.3676338470186</v>
      </c>
      <c r="I117" s="10">
        <f t="shared" ca="1" si="18"/>
        <v>533.06203904448421</v>
      </c>
      <c r="J117" s="10">
        <f t="shared" ca="1" si="19"/>
        <v>2197.6036682077884</v>
      </c>
      <c r="K117" s="12">
        <f t="array" aca="1" ref="K117:L117" ca="1">Opt3Spd(H117:J117,$E$3:$G$3,$K$3:$M$3,$N$3:$P$3,$H$3,$I$3,$Q$3,$J$3)</f>
        <v>230.67287323289361</v>
      </c>
      <c r="L117" s="12">
        <f ca="1"/>
        <v>6.3359609437156905E-3</v>
      </c>
      <c r="M117" s="12">
        <f t="array" aca="1" ref="M117:N117" ca="1">Opt3Spd(H117:J117,$E$3:$G$3,$K$3:$M$3,$N$3:$P$3,$H$4,$I$3,$Q$3,$J$3)</f>
        <v>0.29420520671833472</v>
      </c>
      <c r="N117" s="12">
        <f ca="1"/>
        <v>169.62766793476845</v>
      </c>
      <c r="O117" s="12">
        <f t="shared" ca="1" si="20"/>
        <v>0.30054116766205041</v>
      </c>
    </row>
    <row r="118" spans="2:15" x14ac:dyDescent="0.15">
      <c r="B118" s="6">
        <f t="shared" ca="1" si="21"/>
        <v>-0.81932788537427115</v>
      </c>
      <c r="C118" s="6">
        <f t="shared" ca="1" si="21"/>
        <v>0.70108420751331735</v>
      </c>
      <c r="D118" s="6">
        <f t="shared" ca="1" si="21"/>
        <v>-0.53900605140021329</v>
      </c>
      <c r="E118" s="8">
        <f t="shared" ca="1" si="14"/>
        <v>-1.8654784331558805E-2</v>
      </c>
      <c r="F118" s="8">
        <f t="shared" ca="1" si="15"/>
        <v>-1.4274880519036861E-2</v>
      </c>
      <c r="G118" s="8">
        <f t="shared" ca="1" si="16"/>
        <v>-3.3807607830504627E-2</v>
      </c>
      <c r="H118" s="10">
        <f t="shared" ca="1" si="17"/>
        <v>3941.0823861244598</v>
      </c>
      <c r="I118" s="10">
        <f t="shared" ca="1" si="18"/>
        <v>536.23446499764395</v>
      </c>
      <c r="J118" s="10">
        <f t="shared" ca="1" si="19"/>
        <v>2160.4061888909919</v>
      </c>
      <c r="K118" s="12">
        <f t="array" aca="1" ref="K118:L118" ca="1">Opt3Spd(H118:J118,$E$3:$G$3,$K$3:$M$3,$N$3:$P$3,$H$3,$I$3,$Q$3,$J$3)</f>
        <v>177.99129440849651</v>
      </c>
      <c r="L118" s="12">
        <f ca="1"/>
        <v>8.7146725762750066E-2</v>
      </c>
      <c r="M118" s="12">
        <f t="array" aca="1" ref="M118:N118" ca="1">Opt3Spd(H118:J118,$E$3:$G$3,$K$3:$M$3,$N$3:$P$3,$H$4,$I$3,$Q$3,$J$3)</f>
        <v>2.6058538854575097E-2</v>
      </c>
      <c r="N118" s="12">
        <f ca="1"/>
        <v>222.12191085612082</v>
      </c>
      <c r="O118" s="12">
        <f t="shared" ca="1" si="20"/>
        <v>0.11320526461732516</v>
      </c>
    </row>
    <row r="119" spans="2:15" x14ac:dyDescent="0.15">
      <c r="B119" s="6">
        <f t="shared" ca="1" si="21"/>
        <v>-1.0200832007282581</v>
      </c>
      <c r="C119" s="6">
        <f t="shared" ca="1" si="21"/>
        <v>0.66485375099020882</v>
      </c>
      <c r="D119" s="6">
        <f t="shared" ca="1" si="21"/>
        <v>1.4174343909509564</v>
      </c>
      <c r="E119" s="8">
        <f t="shared" ca="1" si="14"/>
        <v>-2.3225661483667396E-2</v>
      </c>
      <c r="F119" s="8">
        <f t="shared" ca="1" si="15"/>
        <v>-2.2554484958247242E-2</v>
      </c>
      <c r="G119" s="8">
        <f t="shared" ca="1" si="16"/>
        <v>-2.0446141186804621E-2</v>
      </c>
      <c r="H119" s="10">
        <f t="shared" ca="1" si="17"/>
        <v>3922.7257434815915</v>
      </c>
      <c r="I119" s="10">
        <f t="shared" ca="1" si="18"/>
        <v>531.73036018271353</v>
      </c>
      <c r="J119" s="10">
        <f t="shared" ca="1" si="19"/>
        <v>2190.2824283063046</v>
      </c>
      <c r="K119" s="12">
        <f t="array" aca="1" ref="K119:L119" ca="1">Opt3Spd(H119:J119,$E$3:$G$3,$K$3:$M$3,$N$3:$P$3,$H$3,$I$3,$Q$3,$J$3)</f>
        <v>152.0964234163539</v>
      </c>
      <c r="L119" s="12">
        <f ca="1"/>
        <v>0.28047038025624715</v>
      </c>
      <c r="M119" s="12">
        <f t="array" aca="1" ref="M119:N119" ca="1">Opt3Spd(H119:J119,$E$3:$G$3,$K$3:$M$3,$N$3:$P$3,$H$4,$I$3,$Q$3,$J$3)</f>
        <v>6.7361611905358831E-3</v>
      </c>
      <c r="N119" s="12">
        <f ca="1"/>
        <v>248.19078312509288</v>
      </c>
      <c r="O119" s="12">
        <f t="shared" ca="1" si="20"/>
        <v>0.28720654144678304</v>
      </c>
    </row>
    <row r="120" spans="2:15" x14ac:dyDescent="0.15">
      <c r="B120" s="6">
        <f t="shared" ca="1" si="21"/>
        <v>-0.55213027718161267</v>
      </c>
      <c r="C120" s="6">
        <f t="shared" ca="1" si="21"/>
        <v>1.7744626268895491</v>
      </c>
      <c r="D120" s="6">
        <f t="shared" ca="1" si="21"/>
        <v>-0.33352854352582667</v>
      </c>
      <c r="E120" s="8">
        <f t="shared" ca="1" si="14"/>
        <v>-1.257112253544472E-2</v>
      </c>
      <c r="F120" s="8">
        <f t="shared" ca="1" si="15"/>
        <v>2.0311775196789283E-2</v>
      </c>
      <c r="G120" s="8">
        <f t="shared" ca="1" si="16"/>
        <v>-1.8686252854900835E-2</v>
      </c>
      <c r="H120" s="10">
        <f t="shared" ca="1" si="17"/>
        <v>3965.5143718976542</v>
      </c>
      <c r="I120" s="10">
        <f t="shared" ca="1" si="18"/>
        <v>555.04960570705339</v>
      </c>
      <c r="J120" s="10">
        <f t="shared" ca="1" si="19"/>
        <v>2194.2175386164417</v>
      </c>
      <c r="K120" s="12">
        <f t="array" aca="1" ref="K120:L120" ca="1">Opt3Spd(H120:J120,$E$3:$G$3,$K$3:$M$3,$N$3:$P$3,$H$3,$I$3,$Q$3,$J$3)</f>
        <v>155.57231197326314</v>
      </c>
      <c r="L120" s="12">
        <f ca="1"/>
        <v>0.24607851511541412</v>
      </c>
      <c r="M120" s="12">
        <f t="array" aca="1" ref="M120:N120" ca="1">Opt3Spd(H120:J120,$E$3:$G$3,$K$3:$M$3,$N$3:$P$3,$H$4,$I$3,$Q$3,$J$3)</f>
        <v>8.3353232933260912E-3</v>
      </c>
      <c r="N120" s="12">
        <f ca="1"/>
        <v>244.6821018651456</v>
      </c>
      <c r="O120" s="12">
        <f t="shared" ca="1" si="20"/>
        <v>0.25441383840874021</v>
      </c>
    </row>
    <row r="121" spans="2:15" x14ac:dyDescent="0.15">
      <c r="B121" s="6">
        <f t="shared" ca="1" si="21"/>
        <v>0.1054202173698071</v>
      </c>
      <c r="C121" s="6">
        <f t="shared" ca="1" si="21"/>
        <v>0.31931644141274368</v>
      </c>
      <c r="D121" s="6">
        <f t="shared" ca="1" si="21"/>
        <v>-9.584043313150141E-2</v>
      </c>
      <c r="E121" s="8">
        <f t="shared" ca="1" si="14"/>
        <v>2.4002495878941757E-3</v>
      </c>
      <c r="F121" s="8">
        <f t="shared" ca="1" si="15"/>
        <v>1.125101171520038E-2</v>
      </c>
      <c r="G121" s="8">
        <f t="shared" ca="1" si="16"/>
        <v>3.7789403389244113E-3</v>
      </c>
      <c r="H121" s="10">
        <f t="shared" ca="1" si="17"/>
        <v>4025.6394023449825</v>
      </c>
      <c r="I121" s="10">
        <f t="shared" ca="1" si="18"/>
        <v>550.12055037306902</v>
      </c>
      <c r="J121" s="10">
        <f t="shared" ca="1" si="19"/>
        <v>2244.4497105978348</v>
      </c>
      <c r="K121" s="12">
        <f t="array" aca="1" ref="K121:L121" ca="1">Opt3Spd(H121:J121,$E$3:$G$3,$K$3:$M$3,$N$3:$P$3,$H$3,$I$3,$Q$3,$J$3)</f>
        <v>198.25802231734224</v>
      </c>
      <c r="L121" s="12">
        <f ca="1"/>
        <v>3.6355868187683882E-2</v>
      </c>
      <c r="M121" s="12">
        <f t="array" aca="1" ref="M121:N121" ca="1">Opt3Spd(H121:J121,$E$3:$G$3,$K$3:$M$3,$N$3:$P$3,$H$4,$I$3,$Q$3,$J$3)</f>
        <v>7.5486813514627826E-2</v>
      </c>
      <c r="N121" s="12">
        <f ca="1"/>
        <v>201.85382036436008</v>
      </c>
      <c r="O121" s="12">
        <f t="shared" ca="1" si="20"/>
        <v>0.11184268170231171</v>
      </c>
    </row>
    <row r="122" spans="2:15" x14ac:dyDescent="0.15">
      <c r="B122" s="6">
        <f t="shared" ca="1" si="21"/>
        <v>1.0719285109614082E-3</v>
      </c>
      <c r="C122" s="6">
        <f t="shared" ca="1" si="21"/>
        <v>1.2483873970839181</v>
      </c>
      <c r="D122" s="6">
        <f t="shared" ca="1" si="21"/>
        <v>-1.3263709223531559</v>
      </c>
      <c r="E122" s="8">
        <f t="shared" ca="1" si="14"/>
        <v>2.440609620127788E-5</v>
      </c>
      <c r="F122" s="8">
        <f t="shared" ca="1" si="15"/>
        <v>2.8738311685348794E-2</v>
      </c>
      <c r="G122" s="8">
        <f t="shared" ca="1" si="16"/>
        <v>-1.0466488374393176E-2</v>
      </c>
      <c r="H122" s="10">
        <f t="shared" ca="1" si="17"/>
        <v>4016.0980148823446</v>
      </c>
      <c r="I122" s="10">
        <f t="shared" ca="1" si="18"/>
        <v>559.63364155682973</v>
      </c>
      <c r="J122" s="10">
        <f t="shared" ca="1" si="19"/>
        <v>2212.5969319948572</v>
      </c>
      <c r="K122" s="12">
        <f t="array" aca="1" ref="K122:L122" ca="1">Opt3Spd(H122:J122,$E$3:$G$3,$K$3:$M$3,$N$3:$P$3,$H$3,$I$3,$Q$3,$J$3)</f>
        <v>189.44007750133301</v>
      </c>
      <c r="L122" s="12">
        <f ca="1"/>
        <v>5.4355107344463249E-2</v>
      </c>
      <c r="M122" s="12">
        <f t="array" aca="1" ref="M122:N122" ca="1">Opt3Spd(H122:J122,$E$3:$G$3,$K$3:$M$3,$N$3:$P$3,$H$4,$I$3,$Q$3,$J$3)</f>
        <v>4.8717778830105196E-2</v>
      </c>
      <c r="N122" s="12">
        <f ca="1"/>
        <v>210.66299538484157</v>
      </c>
      <c r="O122" s="12">
        <f t="shared" ca="1" si="20"/>
        <v>0.10307288617456845</v>
      </c>
    </row>
    <row r="123" spans="2:15" x14ac:dyDescent="0.15">
      <c r="B123" s="6">
        <f t="shared" ca="1" si="21"/>
        <v>0.43480330742666584</v>
      </c>
      <c r="C123" s="6">
        <f t="shared" ca="1" si="21"/>
        <v>-0.48835533315677099</v>
      </c>
      <c r="D123" s="6">
        <f t="shared" ca="1" si="21"/>
        <v>-0.68715731673102065</v>
      </c>
      <c r="E123" s="8">
        <f t="shared" ca="1" si="14"/>
        <v>9.899775256627219E-3</v>
      </c>
      <c r="F123" s="8">
        <f t="shared" ca="1" si="15"/>
        <v>4.901828684038113E-3</v>
      </c>
      <c r="G123" s="8">
        <f t="shared" ca="1" si="16"/>
        <v>7.2359608515878372E-3</v>
      </c>
      <c r="H123" s="10">
        <f t="shared" ca="1" si="17"/>
        <v>4055.7574974306149</v>
      </c>
      <c r="I123" s="10">
        <f t="shared" ca="1" si="18"/>
        <v>546.6665948041167</v>
      </c>
      <c r="J123" s="10">
        <f t="shared" ca="1" si="19"/>
        <v>2252.1796084641501</v>
      </c>
      <c r="K123" s="12">
        <f t="array" aca="1" ref="K123:L123" ca="1">Opt3Spd(H123:J123,$E$3:$G$3,$K$3:$M$3,$N$3:$P$3,$H$3,$I$3,$Q$3,$J$3)</f>
        <v>230.00828048178278</v>
      </c>
      <c r="L123" s="12">
        <f ca="1"/>
        <v>7.1389698298389703E-3</v>
      </c>
      <c r="M123" s="12">
        <f t="array" aca="1" ref="M123:N123" ca="1">Opt3Spd(H123:J123,$E$3:$G$3,$K$3:$M$3,$N$3:$P$3,$H$4,$I$3,$Q$3,$J$3)</f>
        <v>0.29750554357261194</v>
      </c>
      <c r="N123" s="12">
        <f ca="1"/>
        <v>170.29636403161967</v>
      </c>
      <c r="O123" s="12">
        <f t="shared" ca="1" si="20"/>
        <v>0.30464451340245091</v>
      </c>
    </row>
    <row r="124" spans="2:15" x14ac:dyDescent="0.15">
      <c r="B124" s="6">
        <f t="shared" ca="1" si="21"/>
        <v>-1.4535285921331278</v>
      </c>
      <c r="C124" s="6">
        <f t="shared" ca="1" si="21"/>
        <v>0.17730122727516606</v>
      </c>
      <c r="D124" s="6">
        <f t="shared" ca="1" si="21"/>
        <v>1.6629470206090351</v>
      </c>
      <c r="E124" s="8">
        <f t="shared" ca="1" si="14"/>
        <v>-3.3094519166293822E-2</v>
      </c>
      <c r="F124" s="8">
        <f t="shared" ca="1" si="15"/>
        <v>-4.9840598721867919E-2</v>
      </c>
      <c r="G124" s="8">
        <f t="shared" ca="1" si="16"/>
        <v>-3.517011138069874E-2</v>
      </c>
      <c r="H124" s="10">
        <f t="shared" ca="1" si="17"/>
        <v>3883.092411028164</v>
      </c>
      <c r="I124" s="10">
        <f t="shared" ca="1" si="18"/>
        <v>516.88671429530382</v>
      </c>
      <c r="J124" s="10">
        <f t="shared" ca="1" si="19"/>
        <v>2157.3596309527579</v>
      </c>
      <c r="K124" s="12">
        <f t="array" aca="1" ref="K124:L124" ca="1">Opt3Spd(H124:J124,$E$3:$G$3,$K$3:$M$3,$N$3:$P$3,$H$3,$I$3,$Q$3,$J$3)</f>
        <v>152.65946164426282</v>
      </c>
      <c r="L124" s="12">
        <f ca="1"/>
        <v>0.26560896496403075</v>
      </c>
      <c r="M124" s="12">
        <f t="array" aca="1" ref="M124:N124" ca="1">Opt3Spd(H124:J124,$E$3:$G$3,$K$3:$M$3,$N$3:$P$3,$H$4,$I$3,$Q$3,$J$3)</f>
        <v>6.6355721383996036E-3</v>
      </c>
      <c r="N124" s="12">
        <f ca="1"/>
        <v>247.61278289283962</v>
      </c>
      <c r="O124" s="12">
        <f t="shared" ca="1" si="20"/>
        <v>0.27224453710243035</v>
      </c>
    </row>
    <row r="125" spans="2:15" x14ac:dyDescent="0.15">
      <c r="B125" s="6">
        <f t="shared" ca="1" si="21"/>
        <v>0.79032430159584244</v>
      </c>
      <c r="C125" s="6">
        <f t="shared" ca="1" si="21"/>
        <v>2.1420300893095634</v>
      </c>
      <c r="D125" s="6">
        <f t="shared" ca="1" si="21"/>
        <v>5.0291919616782133E-3</v>
      </c>
      <c r="E125" s="8">
        <f t="shared" ca="1" si="14"/>
        <v>1.7994419159217907E-2</v>
      </c>
      <c r="F125" s="8">
        <f t="shared" ca="1" si="15"/>
        <v>7.8557960426901149E-2</v>
      </c>
      <c r="G125" s="8">
        <f t="shared" ca="1" si="16"/>
        <v>3.5307056855189138E-2</v>
      </c>
      <c r="H125" s="10">
        <f t="shared" ca="1" si="17"/>
        <v>4088.2655873434187</v>
      </c>
      <c r="I125" s="10">
        <f t="shared" ca="1" si="18"/>
        <v>586.73553047223425</v>
      </c>
      <c r="J125" s="10">
        <f t="shared" ca="1" si="19"/>
        <v>2314.9465791282032</v>
      </c>
      <c r="K125" s="12">
        <f t="array" aca="1" ref="K125:L125" ca="1">Opt3Spd(H125:J125,$E$3:$G$3,$K$3:$M$3,$N$3:$P$3,$H$3,$I$3,$Q$3,$J$3)</f>
        <v>167.18398996582641</v>
      </c>
      <c r="L125" s="12">
        <f ca="1"/>
        <v>0.1685409420842916</v>
      </c>
      <c r="M125" s="12">
        <f t="array" aca="1" ref="M125:N125" ca="1">Opt3Spd(H125:J125,$E$3:$G$3,$K$3:$M$3,$N$3:$P$3,$H$4,$I$3,$Q$3,$J$3)</f>
        <v>1.8238260074361801E-2</v>
      </c>
      <c r="N125" s="12">
        <f ca="1"/>
        <v>233.00278923633223</v>
      </c>
      <c r="O125" s="12">
        <f t="shared" ca="1" si="20"/>
        <v>0.1867792021586534</v>
      </c>
    </row>
    <row r="126" spans="2:15" x14ac:dyDescent="0.15">
      <c r="B126" s="6">
        <f t="shared" ca="1" si="21"/>
        <v>-0.50029994828869273</v>
      </c>
      <c r="C126" s="6">
        <f t="shared" ca="1" si="21"/>
        <v>-0.31606619861773416</v>
      </c>
      <c r="D126" s="6">
        <f t="shared" ca="1" si="21"/>
        <v>-0.52420052811759599</v>
      </c>
      <c r="E126" s="8">
        <f t="shared" ca="1" si="14"/>
        <v>-1.1391028918968446E-2</v>
      </c>
      <c r="F126" s="8">
        <f t="shared" ca="1" si="15"/>
        <v>-2.5823771511598263E-2</v>
      </c>
      <c r="G126" s="8">
        <f t="shared" ca="1" si="16"/>
        <v>-2.4882074208322745E-2</v>
      </c>
      <c r="H126" s="10">
        <f t="shared" ca="1" si="17"/>
        <v>3970.2536278614225</v>
      </c>
      <c r="I126" s="10">
        <f t="shared" ca="1" si="18"/>
        <v>529.95186829769057</v>
      </c>
      <c r="J126" s="10">
        <f t="shared" ca="1" si="19"/>
        <v>2180.3636820701904</v>
      </c>
      <c r="K126" s="12">
        <f t="array" aca="1" ref="K126:L126" ca="1">Opt3Spd(H126:J126,$E$3:$G$3,$K$3:$M$3,$N$3:$P$3,$H$3,$I$3,$Q$3,$J$3)</f>
        <v>207.17020336387986</v>
      </c>
      <c r="L126" s="12">
        <f ca="1"/>
        <v>2.1405813857654721E-2</v>
      </c>
      <c r="M126" s="12">
        <f t="array" aca="1" ref="M126:N126" ca="1">Opt3Spd(H126:J126,$E$3:$G$3,$K$3:$M$3,$N$3:$P$3,$H$4,$I$3,$Q$3,$J$3)</f>
        <v>0.10668533944863334</v>
      </c>
      <c r="N126" s="12">
        <f ca="1"/>
        <v>192.95788778942642</v>
      </c>
      <c r="O126" s="12">
        <f t="shared" ca="1" si="20"/>
        <v>0.12809115330628806</v>
      </c>
    </row>
    <row r="127" spans="2:15" x14ac:dyDescent="0.15">
      <c r="B127" s="6">
        <f t="shared" ca="1" si="21"/>
        <v>-1.9414589726591778</v>
      </c>
      <c r="C127" s="6">
        <f t="shared" ca="1" si="21"/>
        <v>0.16468498521959915</v>
      </c>
      <c r="D127" s="6">
        <f t="shared" ca="1" si="21"/>
        <v>1.4837074355357813</v>
      </c>
      <c r="E127" s="8">
        <f t="shared" ca="1" si="14"/>
        <v>-4.4203912829089712E-2</v>
      </c>
      <c r="F127" s="8">
        <f t="shared" ca="1" si="15"/>
        <v>-6.8229681008377452E-2</v>
      </c>
      <c r="G127" s="8">
        <f t="shared" ca="1" si="16"/>
        <v>-5.5041953709626848E-2</v>
      </c>
      <c r="H127" s="10">
        <f t="shared" ca="1" si="17"/>
        <v>3838.4770860783756</v>
      </c>
      <c r="I127" s="10">
        <f t="shared" ca="1" si="18"/>
        <v>506.88305353144267</v>
      </c>
      <c r="J127" s="10">
        <f t="shared" ca="1" si="19"/>
        <v>2112.9261915052743</v>
      </c>
      <c r="K127" s="12">
        <f t="array" aca="1" ref="K127:L127" ca="1">Opt3Spd(H127:J127,$E$3:$G$3,$K$3:$M$3,$N$3:$P$3,$H$3,$I$3,$Q$3,$J$3)</f>
        <v>146.33609513387796</v>
      </c>
      <c r="L127" s="12">
        <f ca="1"/>
        <v>0.33499045844791908</v>
      </c>
      <c r="M127" s="12">
        <f t="array" aca="1" ref="M127:N127" ca="1">Opt3Spd(H127:J127,$E$3:$G$3,$K$3:$M$3,$N$3:$P$3,$H$4,$I$3,$Q$3,$J$3)</f>
        <v>4.34538057049072E-3</v>
      </c>
      <c r="N127" s="12">
        <f ca="1"/>
        <v>254.00324070514046</v>
      </c>
      <c r="O127" s="12">
        <f t="shared" ca="1" si="20"/>
        <v>0.3393358390184098</v>
      </c>
    </row>
    <row r="128" spans="2:15" x14ac:dyDescent="0.15">
      <c r="B128" s="6">
        <f t="shared" ca="1" si="21"/>
        <v>-0.92574498970658115</v>
      </c>
      <c r="C128" s="6">
        <f t="shared" ca="1" si="21"/>
        <v>0.71012554645418757</v>
      </c>
      <c r="D128" s="6">
        <f t="shared" ca="1" si="21"/>
        <v>0.17540517551791723</v>
      </c>
      <c r="E128" s="8">
        <f t="shared" ca="1" si="14"/>
        <v>-2.107773143972588E-2</v>
      </c>
      <c r="F128" s="8">
        <f t="shared" ca="1" si="15"/>
        <v>-1.8014418388523711E-2</v>
      </c>
      <c r="G128" s="8">
        <f t="shared" ca="1" si="16"/>
        <v>-3.0080290794263241E-2</v>
      </c>
      <c r="H128" s="10">
        <f t="shared" ca="1" si="17"/>
        <v>3931.3518305380608</v>
      </c>
      <c r="I128" s="10">
        <f t="shared" ca="1" si="18"/>
        <v>534.20015639664314</v>
      </c>
      <c r="J128" s="10">
        <f t="shared" ca="1" si="19"/>
        <v>2168.7404697840275</v>
      </c>
      <c r="K128" s="12">
        <f t="array" aca="1" ref="K128:L128" ca="1">Opt3Spd(H128:J128,$E$3:$G$3,$K$3:$M$3,$N$3:$P$3,$H$3,$I$3,$Q$3,$J$3)</f>
        <v>167.40334682435673</v>
      </c>
      <c r="L128" s="12">
        <f ca="1"/>
        <v>0.14200141293872548</v>
      </c>
      <c r="M128" s="12">
        <f t="array" aca="1" ref="M128:N128" ca="1">Opt3Spd(H128:J128,$E$3:$G$3,$K$3:$M$3,$N$3:$P$3,$H$4,$I$3,$Q$3,$J$3)</f>
        <v>1.5170764164001316E-2</v>
      </c>
      <c r="N128" s="12">
        <f ca="1"/>
        <v>232.75382535274599</v>
      </c>
      <c r="O128" s="12">
        <f t="shared" ca="1" si="20"/>
        <v>0.1571721771027268</v>
      </c>
    </row>
    <row r="129" spans="2:15" x14ac:dyDescent="0.15">
      <c r="B129" s="6">
        <f t="shared" ca="1" si="21"/>
        <v>5.6788282987051922E-2</v>
      </c>
      <c r="C129" s="6">
        <f t="shared" ca="1" si="21"/>
        <v>-1.1829348969861273</v>
      </c>
      <c r="D129" s="6">
        <f t="shared" ca="1" si="21"/>
        <v>-0.39392375953018449</v>
      </c>
      <c r="E129" s="8">
        <f t="shared" ca="1" si="14"/>
        <v>1.2929782942747753E-3</v>
      </c>
      <c r="F129" s="8">
        <f t="shared" ca="1" si="15"/>
        <v>-2.5087418338970248E-2</v>
      </c>
      <c r="G129" s="8">
        <f t="shared" ca="1" si="16"/>
        <v>-5.5442076371554211E-3</v>
      </c>
      <c r="H129" s="10">
        <f t="shared" ca="1" si="17"/>
        <v>4021.1926008298074</v>
      </c>
      <c r="I129" s="10">
        <f t="shared" ca="1" si="18"/>
        <v>530.35244442360022</v>
      </c>
      <c r="J129" s="10">
        <f t="shared" ca="1" si="19"/>
        <v>2223.6031517233205</v>
      </c>
      <c r="K129" s="12">
        <f t="array" aca="1" ref="K129:L129" ca="1">Opt3Spd(H129:J129,$E$3:$G$3,$K$3:$M$3,$N$3:$P$3,$H$3,$I$3,$Q$3,$J$3)</f>
        <v>235.8320453653464</v>
      </c>
      <c r="L129" s="12">
        <f ca="1"/>
        <v>4.9314749599034258E-3</v>
      </c>
      <c r="M129" s="12">
        <f t="array" aca="1" ref="M129:N129" ca="1">Opt3Spd(H129:J129,$E$3:$G$3,$K$3:$M$3,$N$3:$P$3,$H$4,$I$3,$Q$3,$J$3)</f>
        <v>0.36728902194104052</v>
      </c>
      <c r="N129" s="12">
        <f ca="1"/>
        <v>164.54017513155455</v>
      </c>
      <c r="O129" s="12">
        <f t="shared" ca="1" si="20"/>
        <v>0.37222049690094394</v>
      </c>
    </row>
    <row r="130" spans="2:15" x14ac:dyDescent="0.15">
      <c r="B130" s="6">
        <f t="shared" ca="1" si="21"/>
        <v>0.65784787745948425</v>
      </c>
      <c r="C130" s="6">
        <f t="shared" ca="1" si="21"/>
        <v>-0.28526329048113791</v>
      </c>
      <c r="D130" s="6">
        <f t="shared" ca="1" si="21"/>
        <v>-0.86229301270596215</v>
      </c>
      <c r="E130" s="8">
        <f t="shared" ca="1" si="14"/>
        <v>1.4978143056091051E-2</v>
      </c>
      <c r="F130" s="8">
        <f t="shared" ca="1" si="15"/>
        <v>1.784411706286498E-2</v>
      </c>
      <c r="G130" s="8">
        <f t="shared" ca="1" si="16"/>
        <v>1.415409583103275E-2</v>
      </c>
      <c r="H130" s="10">
        <f t="shared" ca="1" si="17"/>
        <v>4076.1522225132621</v>
      </c>
      <c r="I130" s="10">
        <f t="shared" ca="1" si="18"/>
        <v>553.70719968219851</v>
      </c>
      <c r="J130" s="10">
        <f t="shared" ca="1" si="19"/>
        <v>2267.6485582781888</v>
      </c>
      <c r="K130" s="12">
        <f t="array" aca="1" ref="K130:L130" ca="1">Opt3Spd(H130:J130,$E$3:$G$3,$K$3:$M$3,$N$3:$P$3,$H$3,$I$3,$Q$3,$J$3)</f>
        <v>231.40322823398969</v>
      </c>
      <c r="L130" s="12">
        <f ca="1"/>
        <v>6.8043513394968613E-3</v>
      </c>
      <c r="M130" s="12">
        <f t="array" aca="1" ref="M130:N130" ca="1">Opt3Spd(H130:J130,$E$3:$G$3,$K$3:$M$3,$N$3:$P$3,$H$4,$I$3,$Q$3,$J$3)</f>
        <v>0.31829035787345816</v>
      </c>
      <c r="N130" s="12">
        <f ca="1"/>
        <v>168.92186647522325</v>
      </c>
      <c r="O130" s="12">
        <f t="shared" ca="1" si="20"/>
        <v>0.32509470921295502</v>
      </c>
    </row>
    <row r="131" spans="2:15" x14ac:dyDescent="0.15">
      <c r="B131" s="6">
        <f t="shared" ca="1" si="21"/>
        <v>0.28080386692188969</v>
      </c>
      <c r="C131" s="6">
        <f t="shared" ca="1" si="21"/>
        <v>-2.0998592587333764</v>
      </c>
      <c r="D131" s="6">
        <f t="shared" ca="1" si="21"/>
        <v>-2.3494474793362108</v>
      </c>
      <c r="E131" s="8">
        <f t="shared" ca="1" si="14"/>
        <v>6.3934545258431015E-3</v>
      </c>
      <c r="F131" s="8">
        <f t="shared" ca="1" si="15"/>
        <v>-3.7856605530923716E-2</v>
      </c>
      <c r="G131" s="8">
        <f t="shared" ca="1" si="16"/>
        <v>-2.0808344637393367E-2</v>
      </c>
      <c r="H131" s="10">
        <f t="shared" ca="1" si="17"/>
        <v>4041.6761133757859</v>
      </c>
      <c r="I131" s="10">
        <f t="shared" ca="1" si="18"/>
        <v>523.40600659117752</v>
      </c>
      <c r="J131" s="10">
        <f t="shared" ca="1" si="19"/>
        <v>2189.4725413907886</v>
      </c>
      <c r="K131" s="12">
        <f t="array" aca="1" ref="K131:L131" ca="1">Opt3Spd(H131:J131,$E$3:$G$3,$K$3:$M$3,$N$3:$P$3,$H$3,$I$3,$Q$3,$J$3)</f>
        <v>284.49049100404045</v>
      </c>
      <c r="L131" s="12">
        <f ca="1"/>
        <v>2.5886953335430007E-4</v>
      </c>
      <c r="M131" s="12">
        <f t="array" aca="1" ref="M131:N131" ca="1">Opt3Spd(H131:J131,$E$3:$G$3,$K$3:$M$3,$N$3:$P$3,$H$4,$I$3,$Q$3,$J$3)</f>
        <v>2.0200854691508994</v>
      </c>
      <c r="N131" s="12">
        <f ca="1"/>
        <v>117.5298533346438</v>
      </c>
      <c r="O131" s="12">
        <f t="shared" ca="1" si="20"/>
        <v>2.0203443386842537</v>
      </c>
    </row>
    <row r="132" spans="2:15" x14ac:dyDescent="0.15">
      <c r="B132" s="6">
        <f t="shared" ca="1" si="21"/>
        <v>0.47176453546753028</v>
      </c>
      <c r="C132" s="6">
        <f t="shared" ca="1" si="21"/>
        <v>-1.3757091654545517</v>
      </c>
      <c r="D132" s="6">
        <f t="shared" ca="1" si="21"/>
        <v>-0.50631097335698372</v>
      </c>
      <c r="E132" s="8">
        <f t="shared" ca="1" si="14"/>
        <v>1.0741323249854526E-2</v>
      </c>
      <c r="F132" s="8">
        <f t="shared" ca="1" si="15"/>
        <v>-1.4126080398354637E-2</v>
      </c>
      <c r="G132" s="8">
        <f t="shared" ca="1" si="16"/>
        <v>7.9444598465952775E-3</v>
      </c>
      <c r="H132" s="10">
        <f t="shared" ca="1" si="17"/>
        <v>4059.1371541714157</v>
      </c>
      <c r="I132" s="10">
        <f t="shared" ca="1" si="18"/>
        <v>536.31541226329512</v>
      </c>
      <c r="J132" s="10">
        <f t="shared" ca="1" si="19"/>
        <v>2253.7638122169869</v>
      </c>
      <c r="K132" s="12">
        <f t="array" aca="1" ref="K132:L132" ca="1">Opt3Spd(H132:J132,$E$3:$G$3,$K$3:$M$3,$N$3:$P$3,$H$3,$I$3,$Q$3,$J$3)</f>
        <v>249.15303583012997</v>
      </c>
      <c r="L132" s="12">
        <f ca="1"/>
        <v>2.4473884798226209E-3</v>
      </c>
      <c r="M132" s="12">
        <f t="array" aca="1" ref="M132:N132" ca="1">Opt3Spd(H132:J132,$E$3:$G$3,$K$3:$M$3,$N$3:$P$3,$H$4,$I$3,$Q$3,$J$3)</f>
        <v>0.62163796274369076</v>
      </c>
      <c r="N132" s="12">
        <f ca="1"/>
        <v>151.47104952109356</v>
      </c>
      <c r="O132" s="12">
        <f t="shared" ca="1" si="20"/>
        <v>0.62408535122351338</v>
      </c>
    </row>
    <row r="133" spans="2:15" x14ac:dyDescent="0.15">
      <c r="B133" s="6">
        <f t="shared" ca="1" si="21"/>
        <v>0.49071832926666525</v>
      </c>
      <c r="C133" s="6">
        <f t="shared" ca="1" si="21"/>
        <v>1.5992130119161407</v>
      </c>
      <c r="D133" s="6">
        <f t="shared" ca="1" si="21"/>
        <v>-0.882278878199101</v>
      </c>
      <c r="E133" s="8">
        <f t="shared" ca="1" si="14"/>
        <v>1.1172870792540911E-2</v>
      </c>
      <c r="F133" s="8">
        <f t="shared" ca="1" si="15"/>
        <v>5.4965972390577725E-2</v>
      </c>
      <c r="G133" s="8">
        <f t="shared" ca="1" si="16"/>
        <v>1.3271697360304934E-2</v>
      </c>
      <c r="H133" s="10">
        <f t="shared" ca="1" si="17"/>
        <v>4060.8702491028444</v>
      </c>
      <c r="I133" s="10">
        <f t="shared" ca="1" si="18"/>
        <v>573.90148898047426</v>
      </c>
      <c r="J133" s="10">
        <f t="shared" ca="1" si="19"/>
        <v>2265.6755152976416</v>
      </c>
      <c r="K133" s="12">
        <f t="array" aca="1" ref="K133:L133" ca="1">Opt3Spd(H133:J133,$E$3:$G$3,$K$3:$M$3,$N$3:$P$3,$H$3,$I$3,$Q$3,$J$3)</f>
        <v>184.86207015655918</v>
      </c>
      <c r="L133" s="12">
        <f ca="1"/>
        <v>7.1961071294253998E-2</v>
      </c>
      <c r="M133" s="12">
        <f t="array" aca="1" ref="M133:N133" ca="1">Opt3Spd(H133:J133,$E$3:$G$3,$K$3:$M$3,$N$3:$P$3,$H$4,$I$3,$Q$3,$J$3)</f>
        <v>4.1433376373200659E-2</v>
      </c>
      <c r="N133" s="12">
        <f ca="1"/>
        <v>215.25132429110826</v>
      </c>
      <c r="O133" s="12">
        <f t="shared" ca="1" si="20"/>
        <v>0.11339444766745466</v>
      </c>
    </row>
    <row r="134" spans="2:15" x14ac:dyDescent="0.15">
      <c r="B134" s="6">
        <f t="shared" ca="1" si="21"/>
        <v>-4.2774973708955631E-2</v>
      </c>
      <c r="C134" s="6">
        <f t="shared" ca="1" si="21"/>
        <v>-1.5165160464277825</v>
      </c>
      <c r="D134" s="6">
        <f t="shared" ca="1" si="21"/>
        <v>-2.231763265216816</v>
      </c>
      <c r="E134" s="8">
        <f t="shared" ca="1" si="14"/>
        <v>-9.7391767517366517E-4</v>
      </c>
      <c r="F134" s="8">
        <f t="shared" ca="1" si="15"/>
        <v>-3.6449098983610526E-2</v>
      </c>
      <c r="G134" s="8">
        <f t="shared" ca="1" si="16"/>
        <v>-2.9748980334505876E-2</v>
      </c>
      <c r="H134" s="10">
        <f t="shared" ca="1" si="17"/>
        <v>4012.0887466165027</v>
      </c>
      <c r="I134" s="10">
        <f t="shared" ca="1" si="18"/>
        <v>524.17169015291586</v>
      </c>
      <c r="J134" s="10">
        <f t="shared" ca="1" si="19"/>
        <v>2169.4812799720448</v>
      </c>
      <c r="K134" s="12">
        <f t="array" aca="1" ref="K134:L134" ca="1">Opt3Spd(H134:J134,$E$3:$G$3,$K$3:$M$3,$N$3:$P$3,$H$3,$I$3,$Q$3,$J$3)</f>
        <v>263.67430955416216</v>
      </c>
      <c r="L134" s="12">
        <f ca="1"/>
        <v>9.0716834733939322E-4</v>
      </c>
      <c r="M134" s="12">
        <f t="array" aca="1" ref="M134:N134" ca="1">Opt3Spd(H134:J134,$E$3:$G$3,$K$3:$M$3,$N$3:$P$3,$H$4,$I$3,$Q$3,$J$3)</f>
        <v>1.0029861221965888</v>
      </c>
      <c r="N134" s="12">
        <f ca="1"/>
        <v>137.32958373638178</v>
      </c>
      <c r="O134" s="12">
        <f t="shared" ca="1" si="20"/>
        <v>1.0038932905439282</v>
      </c>
    </row>
    <row r="135" spans="2:15" x14ac:dyDescent="0.15">
      <c r="B135" s="6">
        <f t="shared" ca="1" si="21"/>
        <v>1.9792739747780297</v>
      </c>
      <c r="C135" s="6">
        <f t="shared" ca="1" si="21"/>
        <v>-0.45887377623919862</v>
      </c>
      <c r="D135" s="6">
        <f t="shared" ca="1" si="21"/>
        <v>-1.3101591686532967</v>
      </c>
      <c r="E135" s="8">
        <f t="shared" ca="1" si="14"/>
        <v>4.5064899891311301E-2</v>
      </c>
      <c r="F135" s="8">
        <f t="shared" ca="1" si="15"/>
        <v>6.2869414254442008E-2</v>
      </c>
      <c r="G135" s="8">
        <f t="shared" ca="1" si="16"/>
        <v>5.7426013019124561E-2</v>
      </c>
      <c r="H135" s="10">
        <f t="shared" ca="1" si="17"/>
        <v>4196.9806379635056</v>
      </c>
      <c r="I135" s="10">
        <f t="shared" ca="1" si="18"/>
        <v>578.20096135441645</v>
      </c>
      <c r="J135" s="10">
        <f t="shared" ca="1" si="19"/>
        <v>2364.4045651107626</v>
      </c>
      <c r="K135" s="12">
        <f t="array" aca="1" ref="K135:L135" ca="1">Opt3Spd(H135:J135,$E$3:$G$3,$K$3:$M$3,$N$3:$P$3,$H$3,$I$3,$Q$3,$J$3)</f>
        <v>264.65806725920766</v>
      </c>
      <c r="L135" s="12">
        <f ca="1"/>
        <v>1.2500181496761797E-3</v>
      </c>
      <c r="M135" s="12">
        <f t="array" aca="1" ref="M135:N135" ca="1">Opt3Spd(H135:J135,$E$3:$G$3,$K$3:$M$3,$N$3:$P$3,$H$4,$I$3,$Q$3,$J$3)</f>
        <v>1.1457639671325524</v>
      </c>
      <c r="N135" s="12">
        <f ca="1"/>
        <v>136.48894672607457</v>
      </c>
      <c r="O135" s="12">
        <f t="shared" ca="1" si="20"/>
        <v>1.1470139852822285</v>
      </c>
    </row>
    <row r="136" spans="2:15" x14ac:dyDescent="0.15">
      <c r="B136" s="6">
        <f t="shared" ca="1" si="21"/>
        <v>-1.3616544055192634</v>
      </c>
      <c r="C136" s="6">
        <f t="shared" ca="1" si="21"/>
        <v>0.98573123349318481</v>
      </c>
      <c r="D136" s="6">
        <f t="shared" ca="1" si="21"/>
        <v>0.97752348216729779</v>
      </c>
      <c r="E136" s="8">
        <f t="shared" ca="1" si="14"/>
        <v>-3.1002691013592636E-2</v>
      </c>
      <c r="F136" s="8">
        <f t="shared" ca="1" si="15"/>
        <v>-2.784807115054843E-2</v>
      </c>
      <c r="G136" s="8">
        <f t="shared" ca="1" si="16"/>
        <v>-3.6749808622271396E-2</v>
      </c>
      <c r="H136" s="10">
        <f t="shared" ca="1" si="17"/>
        <v>3891.4931928894121</v>
      </c>
      <c r="I136" s="10">
        <f t="shared" ca="1" si="18"/>
        <v>528.85064929410169</v>
      </c>
      <c r="J136" s="10">
        <f t="shared" ca="1" si="19"/>
        <v>2153.8274279206012</v>
      </c>
      <c r="K136" s="12">
        <f t="array" aca="1" ref="K136:L136" ca="1">Opt3Spd(H136:J136,$E$3:$G$3,$K$3:$M$3,$N$3:$P$3,$H$3,$I$3,$Q$3,$J$3)</f>
        <v>143.80437123875663</v>
      </c>
      <c r="L136" s="12">
        <f ca="1"/>
        <v>0.38593118020776274</v>
      </c>
      <c r="M136" s="12">
        <f t="array" aca="1" ref="M136:N136" ca="1">Opt3Spd(H136:J136,$E$3:$G$3,$K$3:$M$3,$N$3:$P$3,$H$4,$I$3,$Q$3,$J$3)</f>
        <v>3.9853163228568134E-3</v>
      </c>
      <c r="N136" s="12">
        <f ca="1"/>
        <v>256.58554525777402</v>
      </c>
      <c r="O136" s="12">
        <f t="shared" ca="1" si="20"/>
        <v>0.38991649653061955</v>
      </c>
    </row>
    <row r="137" spans="2:15" x14ac:dyDescent="0.15">
      <c r="B137" s="6">
        <f t="shared" ca="1" si="21"/>
        <v>1.124070340767388</v>
      </c>
      <c r="C137" s="6">
        <f t="shared" ca="1" si="21"/>
        <v>2.2766592951551075</v>
      </c>
      <c r="D137" s="6">
        <f t="shared" ca="1" si="21"/>
        <v>-1.6731990847236926</v>
      </c>
      <c r="E137" s="8">
        <f t="shared" ca="1" si="14"/>
        <v>2.5593282194879295E-2</v>
      </c>
      <c r="F137" s="8">
        <f t="shared" ca="1" si="15"/>
        <v>9.4032697900493845E-2</v>
      </c>
      <c r="G137" s="8">
        <f t="shared" ca="1" si="16"/>
        <v>3.0080911166952877E-2</v>
      </c>
      <c r="H137" s="10">
        <f t="shared" ca="1" si="17"/>
        <v>4118.7826212946347</v>
      </c>
      <c r="I137" s="10">
        <f t="shared" ca="1" si="18"/>
        <v>595.15378765786863</v>
      </c>
      <c r="J137" s="10">
        <f t="shared" ca="1" si="19"/>
        <v>2303.2609173693068</v>
      </c>
      <c r="K137" s="12">
        <f t="array" aca="1" ref="K137:L137" ca="1">Opt3Spd(H137:J137,$E$3:$G$3,$K$3:$M$3,$N$3:$P$3,$H$3,$I$3,$Q$3,$J$3)</f>
        <v>189.96630423863371</v>
      </c>
      <c r="L137" s="12">
        <f ca="1"/>
        <v>6.0201881242164745E-2</v>
      </c>
      <c r="M137" s="12">
        <f t="array" aca="1" ref="M137:N137" ca="1">Opt3Spd(H137:J137,$E$3:$G$3,$K$3:$M$3,$N$3:$P$3,$H$4,$I$3,$Q$3,$J$3)</f>
        <v>5.5550664171954978E-2</v>
      </c>
      <c r="N137" s="12">
        <f ca="1"/>
        <v>210.14944830678041</v>
      </c>
      <c r="O137" s="12">
        <f t="shared" ca="1" si="20"/>
        <v>0.11575254541411972</v>
      </c>
    </row>
    <row r="138" spans="2:15" x14ac:dyDescent="0.15">
      <c r="B138" s="6">
        <f t="shared" ca="1" si="21"/>
        <v>-0.94621832360793756</v>
      </c>
      <c r="C138" s="6">
        <f t="shared" ca="1" si="21"/>
        <v>0.42128923226670523</v>
      </c>
      <c r="D138" s="6">
        <f t="shared" ca="1" si="21"/>
        <v>-0.10299719168019643</v>
      </c>
      <c r="E138" s="8">
        <f t="shared" ca="1" si="14"/>
        <v>-2.1543876477988957E-2</v>
      </c>
      <c r="F138" s="8">
        <f t="shared" ca="1" si="15"/>
        <v>-2.5413759124573047E-2</v>
      </c>
      <c r="G138" s="8">
        <f t="shared" ca="1" si="16"/>
        <v>-3.4636766756888052E-2</v>
      </c>
      <c r="H138" s="10">
        <f t="shared" ca="1" si="17"/>
        <v>3929.4797920643964</v>
      </c>
      <c r="I138" s="10">
        <f t="shared" ca="1" si="18"/>
        <v>530.17491503623228</v>
      </c>
      <c r="J138" s="10">
        <f t="shared" ca="1" si="19"/>
        <v>2158.5521895315983</v>
      </c>
      <c r="K138" s="12">
        <f t="array" aca="1" ref="K138:L138" ca="1">Opt3Spd(H138:J138,$E$3:$G$3,$K$3:$M$3,$N$3:$P$3,$H$3,$I$3,$Q$3,$J$3)</f>
        <v>177.01454150956101</v>
      </c>
      <c r="L138" s="12">
        <f ca="1"/>
        <v>9.0708268935486558E-2</v>
      </c>
      <c r="M138" s="12">
        <f t="array" aca="1" ref="M138:N138" ca="1">Opt3Spd(H138:J138,$E$3:$G$3,$K$3:$M$3,$N$3:$P$3,$H$4,$I$3,$Q$3,$J$3)</f>
        <v>2.4695175249935808E-2</v>
      </c>
      <c r="N138" s="12">
        <f ca="1"/>
        <v>223.10086193462442</v>
      </c>
      <c r="O138" s="12">
        <f t="shared" ca="1" si="20"/>
        <v>0.11540344418542237</v>
      </c>
    </row>
    <row r="139" spans="2:15" x14ac:dyDescent="0.15">
      <c r="B139" s="6">
        <f t="shared" ref="B139:D170" ca="1" si="22">NORMINV(RAND(),0,1)</f>
        <v>-1.3608213765295225</v>
      </c>
      <c r="C139" s="6">
        <f t="shared" ca="1" si="22"/>
        <v>0.35082242381371792</v>
      </c>
      <c r="D139" s="6">
        <f t="shared" ca="1" si="22"/>
        <v>0.59793454872345531</v>
      </c>
      <c r="E139" s="8">
        <f t="shared" ref="E139:E202" ca="1" si="23">B139*$U$3*$C$6</f>
        <v>-3.0983724277048021E-2</v>
      </c>
      <c r="F139" s="8">
        <f t="shared" ref="F139:F202" ca="1" si="24">($N$3*B139+C139*SQRT(1-$N$3^2))*$V$3*$C$6</f>
        <v>-4.2412770520634829E-2</v>
      </c>
      <c r="G139" s="8">
        <f t="shared" ref="G139:G202" ca="1" si="25">(D139/$T$3+($P$3-$N$3*$O$3)*C139+$O$3*B139*SQRT(1/(1-$N$3^2)))*$W$3*$C$6</f>
        <v>-4.2606107834502929E-2</v>
      </c>
      <c r="H139" s="10">
        <f t="shared" ref="H139:H202" ca="1" si="26">B$3*(1+E139)</f>
        <v>3891.5693633033752</v>
      </c>
      <c r="I139" s="10">
        <f t="shared" ref="I139:I202" ca="1" si="27">C$3*(1+F139)</f>
        <v>520.92745283677459</v>
      </c>
      <c r="J139" s="10">
        <f t="shared" ref="J139:J202" ca="1" si="28">D$3*(1+G139)</f>
        <v>2140.7327428820513</v>
      </c>
      <c r="K139" s="12">
        <f t="array" aca="1" ref="K139:L139" ca="1">Opt3Spd(H139:J139,$E$3:$G$3,$K$3:$M$3,$N$3:$P$3,$H$3,$I$3,$Q$3,$J$3)</f>
        <v>162.88760824316114</v>
      </c>
      <c r="L139" s="12">
        <f ca="1"/>
        <v>0.16854091965092266</v>
      </c>
      <c r="M139" s="12">
        <f t="array" aca="1" ref="M139:N139" ca="1">Opt3Spd(H139:J139,$E$3:$G$3,$K$3:$M$3,$N$3:$P$3,$H$4,$I$3,$Q$3,$J$3)</f>
        <v>1.1482231181754399E-2</v>
      </c>
      <c r="N139" s="12">
        <f ca="1"/>
        <v>237.29241490767154</v>
      </c>
      <c r="O139" s="12">
        <f t="shared" ref="O139:O202" ca="1" si="29">L139+M139</f>
        <v>0.18002315083267706</v>
      </c>
    </row>
    <row r="140" spans="2:15" x14ac:dyDescent="0.15">
      <c r="B140" s="6">
        <f t="shared" ca="1" si="22"/>
        <v>-1.582390382715761</v>
      </c>
      <c r="C140" s="6">
        <f t="shared" ca="1" si="22"/>
        <v>-0.67214998202317466</v>
      </c>
      <c r="D140" s="6">
        <f t="shared" ca="1" si="22"/>
        <v>0.57594101864070801</v>
      </c>
      <c r="E140" s="8">
        <f t="shared" ca="1" si="23"/>
        <v>-3.6028495849876871E-2</v>
      </c>
      <c r="F140" s="8">
        <f t="shared" ca="1" si="24"/>
        <v>-7.4148142417099466E-2</v>
      </c>
      <c r="G140" s="8">
        <f t="shared" ca="1" si="25"/>
        <v>-5.395015019158643E-2</v>
      </c>
      <c r="H140" s="10">
        <f t="shared" ca="1" si="26"/>
        <v>3871.3095606668944</v>
      </c>
      <c r="I140" s="10">
        <f t="shared" ca="1" si="27"/>
        <v>503.6634105250979</v>
      </c>
      <c r="J140" s="10">
        <f t="shared" ca="1" si="28"/>
        <v>2115.3674641716129</v>
      </c>
      <c r="K140" s="12">
        <f t="array" aca="1" ref="K140:L140" ca="1">Opt3Spd(H140:J140,$E$3:$G$3,$K$3:$M$3,$N$3:$P$3,$H$3,$I$3,$Q$3,$J$3)</f>
        <v>182.8299837348543</v>
      </c>
      <c r="L140" s="12">
        <f ca="1"/>
        <v>6.561199392308481E-2</v>
      </c>
      <c r="M140" s="12">
        <f t="array" aca="1" ref="M140:N140" ca="1">Opt3Spd(H140:J140,$E$3:$G$3,$K$3:$M$3,$N$3:$P$3,$H$4,$I$3,$Q$3,$J$3)</f>
        <v>3.1585480556340695E-2</v>
      </c>
      <c r="N140" s="12">
        <f ca="1"/>
        <v>217.26721373962513</v>
      </c>
      <c r="O140" s="12">
        <f t="shared" ca="1" si="29"/>
        <v>9.7197474479425505E-2</v>
      </c>
    </row>
    <row r="141" spans="2:15" x14ac:dyDescent="0.15">
      <c r="B141" s="6">
        <f t="shared" ca="1" si="22"/>
        <v>-1.225892985715018</v>
      </c>
      <c r="C141" s="6">
        <f t="shared" ca="1" si="22"/>
        <v>0.65955152521301474</v>
      </c>
      <c r="D141" s="6">
        <f t="shared" ca="1" si="22"/>
        <v>-1.5742940470941174</v>
      </c>
      <c r="E141" s="8">
        <f t="shared" ca="1" si="23"/>
        <v>-2.7911620817882753E-2</v>
      </c>
      <c r="F141" s="8">
        <f t="shared" ca="1" si="24"/>
        <v>-3.031058390893393E-2</v>
      </c>
      <c r="G141" s="8">
        <f t="shared" ca="1" si="25"/>
        <v>-5.9893695935499189E-2</v>
      </c>
      <c r="H141" s="10">
        <f t="shared" ca="1" si="26"/>
        <v>3903.9069307953828</v>
      </c>
      <c r="I141" s="10">
        <f t="shared" ca="1" si="27"/>
        <v>527.51104235353989</v>
      </c>
      <c r="J141" s="10">
        <f t="shared" ca="1" si="28"/>
        <v>2102.0776958882238</v>
      </c>
      <c r="K141" s="12">
        <f t="array" aca="1" ref="K141:L141" ca="1">Opt3Spd(H141:J141,$E$3:$G$3,$K$3:$M$3,$N$3:$P$3,$H$3,$I$3,$Q$3,$J$3)</f>
        <v>183.91256556894109</v>
      </c>
      <c r="L141" s="12">
        <f ca="1"/>
        <v>6.2150483334335149E-2</v>
      </c>
      <c r="M141" s="12">
        <f t="array" aca="1" ref="M141:N141" ca="1">Opt3Spd(H141:J141,$E$3:$G$3,$K$3:$M$3,$N$3:$P$3,$H$4,$I$3,$Q$3,$J$3)</f>
        <v>3.3040627957176216E-2</v>
      </c>
      <c r="N141" s="12">
        <f ca="1"/>
        <v>216.18262554235042</v>
      </c>
      <c r="O141" s="12">
        <f t="shared" ca="1" si="29"/>
        <v>9.5191111291511366E-2</v>
      </c>
    </row>
    <row r="142" spans="2:15" x14ac:dyDescent="0.15">
      <c r="B142" s="6">
        <f t="shared" ca="1" si="22"/>
        <v>1.6014476145944472</v>
      </c>
      <c r="C142" s="6">
        <f t="shared" ca="1" si="22"/>
        <v>0.97934955292616388</v>
      </c>
      <c r="D142" s="6">
        <f t="shared" ca="1" si="22"/>
        <v>-2.1264136444681805</v>
      </c>
      <c r="E142" s="8">
        <f t="shared" ca="1" si="23"/>
        <v>3.6462398512046121E-2</v>
      </c>
      <c r="F142" s="8">
        <f t="shared" ca="1" si="24"/>
        <v>8.1917098622946272E-2</v>
      </c>
      <c r="G142" s="8">
        <f t="shared" ca="1" si="25"/>
        <v>3.9024804118372607E-2</v>
      </c>
      <c r="H142" s="10">
        <f t="shared" ca="1" si="26"/>
        <v>4162.4329924243766</v>
      </c>
      <c r="I142" s="10">
        <f t="shared" ca="1" si="27"/>
        <v>588.56290165088274</v>
      </c>
      <c r="J142" s="10">
        <f t="shared" ca="1" si="28"/>
        <v>2323.2594620086811</v>
      </c>
      <c r="K142" s="12">
        <f t="array" aca="1" ref="K142:L142" ca="1">Opt3Spd(H142:J142,$E$3:$G$3,$K$3:$M$3,$N$3:$P$3,$H$3,$I$3,$Q$3,$J$3)</f>
        <v>234.10924169971872</v>
      </c>
      <c r="L142" s="12">
        <f ca="1"/>
        <v>6.6229210949586559E-3</v>
      </c>
      <c r="M142" s="12">
        <f t="array" aca="1" ref="M142:N142" ca="1">Opt3Spd(H142:J142,$E$3:$G$3,$K$3:$M$3,$N$3:$P$3,$H$4,$I$3,$Q$3,$J$3)</f>
        <v>0.37133963884094001</v>
      </c>
      <c r="N142" s="12">
        <f ca="1"/>
        <v>166.26872086021717</v>
      </c>
      <c r="O142" s="12">
        <f t="shared" ca="1" si="29"/>
        <v>0.37796255993589867</v>
      </c>
    </row>
    <row r="143" spans="2:15" x14ac:dyDescent="0.15">
      <c r="B143" s="6">
        <f t="shared" ca="1" si="22"/>
        <v>-1.3558659883982704</v>
      </c>
      <c r="C143" s="6">
        <f t="shared" ca="1" si="22"/>
        <v>0.23547066315247875</v>
      </c>
      <c r="D143" s="6">
        <f t="shared" ca="1" si="22"/>
        <v>-0.12055806015303558</v>
      </c>
      <c r="E143" s="8">
        <f t="shared" ca="1" si="23"/>
        <v>-3.087089802211658E-2</v>
      </c>
      <c r="F143" s="8">
        <f t="shared" ca="1" si="24"/>
        <v>-4.4880721365134366E-2</v>
      </c>
      <c r="G143" s="8">
        <f t="shared" ca="1" si="25"/>
        <v>-5.0413058568761208E-2</v>
      </c>
      <c r="H143" s="10">
        <f t="shared" ca="1" si="26"/>
        <v>3892.0224735431798</v>
      </c>
      <c r="I143" s="10">
        <f t="shared" ca="1" si="27"/>
        <v>519.58488757736689</v>
      </c>
      <c r="J143" s="10">
        <f t="shared" ca="1" si="28"/>
        <v>2123.2764010402498</v>
      </c>
      <c r="K143" s="12">
        <f t="array" aca="1" ref="K143:L143" ca="1">Opt3Spd(H143:J143,$E$3:$G$3,$K$3:$M$3,$N$3:$P$3,$H$3,$I$3,$Q$3,$J$3)</f>
        <v>174.148283762245</v>
      </c>
      <c r="L143" s="12">
        <f ca="1"/>
        <v>9.9830862977114521E-2</v>
      </c>
      <c r="M143" s="12">
        <f t="array" aca="1" ref="M143:N143" ca="1">Opt3Spd(H143:J143,$E$3:$G$3,$K$3:$M$3,$N$3:$P$3,$H$4,$I$3,$Q$3,$J$3)</f>
        <v>2.0478847465605465E-2</v>
      </c>
      <c r="N143" s="12">
        <f ca="1"/>
        <v>225.97202594819771</v>
      </c>
      <c r="O143" s="12">
        <f t="shared" ca="1" si="29"/>
        <v>0.12030971044271999</v>
      </c>
    </row>
    <row r="144" spans="2:15" x14ac:dyDescent="0.15">
      <c r="B144" s="6">
        <f t="shared" ca="1" si="22"/>
        <v>-0.40920027770525536</v>
      </c>
      <c r="C144" s="6">
        <f t="shared" ca="1" si="22"/>
        <v>-1.7894187578476188</v>
      </c>
      <c r="D144" s="6">
        <f t="shared" ca="1" si="22"/>
        <v>-0.36026731320598532</v>
      </c>
      <c r="E144" s="8">
        <f t="shared" ca="1" si="23"/>
        <v>-9.3168352563985871E-3</v>
      </c>
      <c r="F144" s="8">
        <f t="shared" ca="1" si="24"/>
        <v>-5.6314725406176533E-2</v>
      </c>
      <c r="G144" s="8">
        <f t="shared" ca="1" si="25"/>
        <v>-2.4065930599493985E-2</v>
      </c>
      <c r="H144" s="10">
        <f t="shared" ca="1" si="26"/>
        <v>3978.5835896103031</v>
      </c>
      <c r="I144" s="10">
        <f t="shared" ca="1" si="27"/>
        <v>513.36478937903996</v>
      </c>
      <c r="J144" s="10">
        <f t="shared" ca="1" si="28"/>
        <v>2182.1885791795312</v>
      </c>
      <c r="K144" s="12">
        <f t="array" aca="1" ref="K144:L144" ca="1">Opt3Spd(H144:J144,$E$3:$G$3,$K$3:$M$3,$N$3:$P$3,$H$3,$I$3,$Q$3,$J$3)</f>
        <v>241.10906854680002</v>
      </c>
      <c r="L144" s="12">
        <f ca="1"/>
        <v>3.4315327263811923E-3</v>
      </c>
      <c r="M144" s="12">
        <f t="array" aca="1" ref="M144:N144" ca="1">Opt3Spd(H144:J144,$E$3:$G$3,$K$3:$M$3,$N$3:$P$3,$H$4,$I$3,$Q$3,$J$3)</f>
        <v>0.43976293840210445</v>
      </c>
      <c r="N144" s="12">
        <f ca="1"/>
        <v>159.33412592432848</v>
      </c>
      <c r="O144" s="12">
        <f t="shared" ca="1" si="29"/>
        <v>0.44319447112848565</v>
      </c>
    </row>
    <row r="145" spans="2:15" x14ac:dyDescent="0.15">
      <c r="B145" s="6">
        <f t="shared" ca="1" si="22"/>
        <v>-1.5565601066842512</v>
      </c>
      <c r="C145" s="6">
        <f t="shared" ca="1" si="22"/>
        <v>1.0298465433659458</v>
      </c>
      <c r="D145" s="6">
        <f t="shared" ca="1" si="22"/>
        <v>-0.42216371516270479</v>
      </c>
      <c r="E145" s="8">
        <f t="shared" ca="1" si="23"/>
        <v>-3.5440381814953799E-2</v>
      </c>
      <c r="F145" s="8">
        <f t="shared" ca="1" si="24"/>
        <v>-3.4063664406984329E-2</v>
      </c>
      <c r="G145" s="8">
        <f t="shared" ca="1" si="25"/>
        <v>-5.8693205487848579E-2</v>
      </c>
      <c r="H145" s="10">
        <f t="shared" ca="1" si="26"/>
        <v>3873.6714266311456</v>
      </c>
      <c r="I145" s="10">
        <f t="shared" ca="1" si="27"/>
        <v>525.4693665626005</v>
      </c>
      <c r="J145" s="10">
        <f t="shared" ca="1" si="28"/>
        <v>2104.7619925291706</v>
      </c>
      <c r="K145" s="12">
        <f t="array" aca="1" ref="K145:L145" ca="1">Opt3Spd(H145:J145,$E$3:$G$3,$K$3:$M$3,$N$3:$P$3,$H$3,$I$3,$Q$3,$J$3)</f>
        <v>155.7637730719598</v>
      </c>
      <c r="L145" s="12">
        <f ca="1"/>
        <v>0.22432920556025238</v>
      </c>
      <c r="M145" s="12">
        <f t="array" aca="1" ref="M145:N145" ca="1">Opt3Spd(H145:J145,$E$3:$G$3,$K$3:$M$3,$N$3:$P$3,$H$4,$I$3,$Q$3,$J$3)</f>
        <v>7.4350707169212882E-3</v>
      </c>
      <c r="N145" s="12">
        <f ca="1"/>
        <v>244.46799120431737</v>
      </c>
      <c r="O145" s="12">
        <f t="shared" ca="1" si="29"/>
        <v>0.23176427627717366</v>
      </c>
    </row>
    <row r="146" spans="2:15" x14ac:dyDescent="0.15">
      <c r="B146" s="6">
        <f t="shared" ca="1" si="22"/>
        <v>-0.79864110246825215</v>
      </c>
      <c r="C146" s="6">
        <f t="shared" ca="1" si="22"/>
        <v>-0.47827826264870577</v>
      </c>
      <c r="D146" s="6">
        <f t="shared" ca="1" si="22"/>
        <v>-0.14554558255848063</v>
      </c>
      <c r="E146" s="8">
        <f t="shared" ca="1" si="23"/>
        <v>-1.8183779401158714E-2</v>
      </c>
      <c r="F146" s="8">
        <f t="shared" ca="1" si="24"/>
        <v>-4.0619305739549555E-2</v>
      </c>
      <c r="G146" s="8">
        <f t="shared" ca="1" si="25"/>
        <v>-3.2279708219881992E-2</v>
      </c>
      <c r="H146" s="10">
        <f t="shared" ca="1" si="26"/>
        <v>3942.9739419249468</v>
      </c>
      <c r="I146" s="10">
        <f t="shared" ca="1" si="27"/>
        <v>521.90309767768508</v>
      </c>
      <c r="J146" s="10">
        <f t="shared" ca="1" si="28"/>
        <v>2163.8225724203439</v>
      </c>
      <c r="K146" s="12">
        <f t="array" aca="1" ref="K146:L146" ca="1">Opt3Spd(H146:J146,$E$3:$G$3,$K$3:$M$3,$N$3:$P$3,$H$3,$I$3,$Q$3,$J$3)</f>
        <v>201.04620925014501</v>
      </c>
      <c r="L146" s="12">
        <f ca="1"/>
        <v>2.8509819666624026E-2</v>
      </c>
      <c r="M146" s="12">
        <f t="array" aca="1" ref="M146:N146" ca="1">Opt3Spd(H146:J146,$E$3:$G$3,$K$3:$M$3,$N$3:$P$3,$H$4,$I$3,$Q$3,$J$3)</f>
        <v>7.9540167503353132E-2</v>
      </c>
      <c r="N146" s="12">
        <f ca="1"/>
        <v>199.06184073702497</v>
      </c>
      <c r="O146" s="12">
        <f t="shared" ca="1" si="29"/>
        <v>0.10804998716997716</v>
      </c>
    </row>
    <row r="147" spans="2:15" x14ac:dyDescent="0.15">
      <c r="B147" s="6">
        <f t="shared" ca="1" si="22"/>
        <v>-0.60207147460899446</v>
      </c>
      <c r="C147" s="6">
        <f t="shared" ca="1" si="22"/>
        <v>0.34659298428000018</v>
      </c>
      <c r="D147" s="6">
        <f t="shared" ca="1" si="22"/>
        <v>-0.27183766451372016</v>
      </c>
      <c r="E147" s="8">
        <f t="shared" ca="1" si="23"/>
        <v>-1.370820365266073E-2</v>
      </c>
      <c r="F147" s="8">
        <f t="shared" ca="1" si="24"/>
        <v>-1.4365296628625686E-2</v>
      </c>
      <c r="G147" s="8">
        <f t="shared" ca="1" si="25"/>
        <v>-2.4008878954493468E-2</v>
      </c>
      <c r="H147" s="10">
        <f t="shared" ca="1" si="26"/>
        <v>3960.9478541309145</v>
      </c>
      <c r="I147" s="10">
        <f t="shared" ca="1" si="27"/>
        <v>536.18527863402755</v>
      </c>
      <c r="J147" s="10">
        <f t="shared" ca="1" si="28"/>
        <v>2182.3161466577526</v>
      </c>
      <c r="K147" s="12">
        <f t="array" aca="1" ref="K147:L147" ca="1">Opt3Spd(H147:J147,$E$3:$G$3,$K$3:$M$3,$N$3:$P$3,$H$3,$I$3,$Q$3,$J$3)</f>
        <v>186.95169394537857</v>
      </c>
      <c r="L147" s="12">
        <f ca="1"/>
        <v>5.8358957784548693E-2</v>
      </c>
      <c r="M147" s="12">
        <f t="array" aca="1" ref="M147:N147" ca="1">Opt3Spd(H147:J147,$E$3:$G$3,$K$3:$M$3,$N$3:$P$3,$H$4,$I$3,$Q$3,$J$3)</f>
        <v>4.157619599642981E-2</v>
      </c>
      <c r="N147" s="12">
        <f ca="1"/>
        <v>213.14824120840242</v>
      </c>
      <c r="O147" s="12">
        <f t="shared" ca="1" si="29"/>
        <v>9.9935153780978503E-2</v>
      </c>
    </row>
    <row r="148" spans="2:15" x14ac:dyDescent="0.15">
      <c r="B148" s="6">
        <f t="shared" ca="1" si="22"/>
        <v>-0.15779868800169766</v>
      </c>
      <c r="C148" s="6">
        <f t="shared" ca="1" si="22"/>
        <v>0.32336627373502785</v>
      </c>
      <c r="D148" s="6">
        <f t="shared" ca="1" si="22"/>
        <v>-1.1452743317541496</v>
      </c>
      <c r="E148" s="8">
        <f t="shared" ca="1" si="23"/>
        <v>-3.5928235142758695E-3</v>
      </c>
      <c r="F148" s="8">
        <f t="shared" ca="1" si="24"/>
        <v>1.5803963449400856E-3</v>
      </c>
      <c r="G148" s="8">
        <f t="shared" ca="1" si="25"/>
        <v>-1.7059214035118536E-2</v>
      </c>
      <c r="H148" s="10">
        <f t="shared" ca="1" si="26"/>
        <v>4001.5712207666679</v>
      </c>
      <c r="I148" s="10">
        <f t="shared" ca="1" si="27"/>
        <v>544.85973561164747</v>
      </c>
      <c r="J148" s="10">
        <f t="shared" ca="1" si="28"/>
        <v>2197.8555974174751</v>
      </c>
      <c r="K148" s="12">
        <f t="array" aca="1" ref="K148:L148" ca="1">Opt3Spd(H148:J148,$E$3:$G$3,$K$3:$M$3,$N$3:$P$3,$H$3,$I$3,$Q$3,$J$3)</f>
        <v>205.89139166852829</v>
      </c>
      <c r="L148" s="12">
        <f ca="1"/>
        <v>2.3546589233774284E-2</v>
      </c>
      <c r="M148" s="12">
        <f t="array" aca="1" ref="M148:N148" ca="1">Opt3Spd(H148:J148,$E$3:$G$3,$K$3:$M$3,$N$3:$P$3,$H$4,$I$3,$Q$3,$J$3)</f>
        <v>0.10254980142351755</v>
      </c>
      <c r="N148" s="12">
        <f ca="1"/>
        <v>194.23470472212901</v>
      </c>
      <c r="O148" s="12">
        <f t="shared" ca="1" si="29"/>
        <v>0.12609639065729183</v>
      </c>
    </row>
    <row r="149" spans="2:15" x14ac:dyDescent="0.15">
      <c r="B149" s="6">
        <f t="shared" ca="1" si="22"/>
        <v>0.26878168235580602</v>
      </c>
      <c r="C149" s="6">
        <f t="shared" ca="1" si="22"/>
        <v>-0.13590749840838665</v>
      </c>
      <c r="D149" s="6">
        <f t="shared" ca="1" si="22"/>
        <v>-0.18844236144495011</v>
      </c>
      <c r="E149" s="8">
        <f t="shared" ca="1" si="23"/>
        <v>6.1197286289489195E-3</v>
      </c>
      <c r="F149" s="8">
        <f t="shared" ca="1" si="24"/>
        <v>6.8457487550976324E-3</v>
      </c>
      <c r="G149" s="8">
        <f t="shared" ca="1" si="25"/>
        <v>7.4725796766389047E-3</v>
      </c>
      <c r="H149" s="10">
        <f t="shared" ca="1" si="26"/>
        <v>4040.576830173859</v>
      </c>
      <c r="I149" s="10">
        <f t="shared" ca="1" si="27"/>
        <v>547.72408732277313</v>
      </c>
      <c r="J149" s="10">
        <f t="shared" ca="1" si="28"/>
        <v>2252.7086881569644</v>
      </c>
      <c r="K149" s="12">
        <f t="array" aca="1" ref="K149:L149" ca="1">Opt3Spd(H149:J149,$E$3:$G$3,$K$3:$M$3,$N$3:$P$3,$H$3,$I$3,$Q$3,$J$3)</f>
        <v>212.88154921863429</v>
      </c>
      <c r="L149" s="12">
        <f ca="1"/>
        <v>1.760283969451848E-2</v>
      </c>
      <c r="M149" s="12">
        <f t="array" aca="1" ref="M149:N149" ca="1">Opt3Spd(H149:J149,$E$3:$G$3,$K$3:$M$3,$N$3:$P$3,$H$4,$I$3,$Q$3,$J$3)</f>
        <v>0.14577146368141491</v>
      </c>
      <c r="N149" s="12">
        <f ca="1"/>
        <v>187.28182508474166</v>
      </c>
      <c r="O149" s="12">
        <f t="shared" ca="1" si="29"/>
        <v>0.16337430337593339</v>
      </c>
    </row>
    <row r="150" spans="2:15" x14ac:dyDescent="0.15">
      <c r="B150" s="6">
        <f t="shared" ca="1" si="22"/>
        <v>-1.2142502753675437</v>
      </c>
      <c r="C150" s="6">
        <f t="shared" ca="1" si="22"/>
        <v>0.97846262284289354</v>
      </c>
      <c r="D150" s="6">
        <f t="shared" ca="1" si="22"/>
        <v>-2.1543057337428135</v>
      </c>
      <c r="E150" s="8">
        <f t="shared" ca="1" si="23"/>
        <v>-2.7646534941466225E-2</v>
      </c>
      <c r="F150" s="8">
        <f t="shared" ca="1" si="24"/>
        <v>-2.2547427984735652E-2</v>
      </c>
      <c r="G150" s="8">
        <f t="shared" ca="1" si="25"/>
        <v>-6.4719068094746382E-2</v>
      </c>
      <c r="H150" s="10">
        <f t="shared" ca="1" si="26"/>
        <v>3904.9715156750717</v>
      </c>
      <c r="I150" s="10">
        <f t="shared" ca="1" si="27"/>
        <v>531.73419917630383</v>
      </c>
      <c r="J150" s="10">
        <f t="shared" ca="1" si="28"/>
        <v>2091.288163740147</v>
      </c>
      <c r="K150" s="12">
        <f t="array" aca="1" ref="K150:L150" ca="1">Opt3Spd(H150:J150,$E$3:$G$3,$K$3:$M$3,$N$3:$P$3,$H$3,$I$3,$Q$3,$J$3)</f>
        <v>183.61525802594838</v>
      </c>
      <c r="L150" s="12">
        <f ca="1"/>
        <v>6.2542903036273856E-2</v>
      </c>
      <c r="M150" s="12">
        <f t="array" aca="1" ref="M150:N150" ca="1">Opt3Spd(H150:J150,$E$3:$G$3,$K$3:$M$3,$N$3:$P$3,$H$4,$I$3,$Q$3,$J$3)</f>
        <v>3.22482968888127E-2</v>
      </c>
      <c r="N150" s="12">
        <f ca="1"/>
        <v>216.47953317397671</v>
      </c>
      <c r="O150" s="12">
        <f t="shared" ca="1" si="29"/>
        <v>9.4791199925086556E-2</v>
      </c>
    </row>
    <row r="151" spans="2:15" x14ac:dyDescent="0.15">
      <c r="B151" s="6">
        <f t="shared" ca="1" si="22"/>
        <v>1.7748917408960875E-2</v>
      </c>
      <c r="C151" s="6">
        <f t="shared" ca="1" si="22"/>
        <v>1.5150272280904202</v>
      </c>
      <c r="D151" s="6">
        <f t="shared" ca="1" si="22"/>
        <v>0.18006258490714774</v>
      </c>
      <c r="E151" s="8">
        <f t="shared" ca="1" si="23"/>
        <v>4.0411443610462037E-4</v>
      </c>
      <c r="F151" s="8">
        <f t="shared" ca="1" si="24"/>
        <v>3.5486568843894589E-2</v>
      </c>
      <c r="G151" s="8">
        <f t="shared" ca="1" si="25"/>
        <v>6.968362814122166E-3</v>
      </c>
      <c r="H151" s="10">
        <f t="shared" ca="1" si="26"/>
        <v>4017.6229235753963</v>
      </c>
      <c r="I151" s="10">
        <f t="shared" ca="1" si="27"/>
        <v>563.30469345107861</v>
      </c>
      <c r="J151" s="10">
        <f t="shared" ca="1" si="28"/>
        <v>2251.5812592523771</v>
      </c>
      <c r="K151" s="12">
        <f t="array" aca="1" ref="K151:L151" ca="1">Opt3Spd(H151:J151,$E$3:$G$3,$K$3:$M$3,$N$3:$P$3,$H$3,$I$3,$Q$3,$J$3)</f>
        <v>165.711885654669</v>
      </c>
      <c r="L151" s="12">
        <f ca="1"/>
        <v>0.16710122718723142</v>
      </c>
      <c r="M151" s="12">
        <f t="array" aca="1" ref="M151:N151" ca="1">Opt3Spd(H151:J151,$E$3:$G$3,$K$3:$M$3,$N$3:$P$3,$H$4,$I$3,$Q$3,$J$3)</f>
        <v>1.5463834957451184E-2</v>
      </c>
      <c r="N151" s="12">
        <f ca="1"/>
        <v>234.47067940747567</v>
      </c>
      <c r="O151" s="12">
        <f t="shared" ca="1" si="29"/>
        <v>0.1825650621446826</v>
      </c>
    </row>
    <row r="152" spans="2:15" x14ac:dyDescent="0.15">
      <c r="B152" s="6">
        <f t="shared" ca="1" si="22"/>
        <v>-1.7897748872320107</v>
      </c>
      <c r="C152" s="6">
        <f t="shared" ca="1" si="22"/>
        <v>-1.9562094038610656</v>
      </c>
      <c r="D152" s="6">
        <f t="shared" ca="1" si="22"/>
        <v>-0.55325929689361331</v>
      </c>
      <c r="E152" s="8">
        <f t="shared" ca="1" si="23"/>
        <v>-4.0750309026894013E-2</v>
      </c>
      <c r="F152" s="8">
        <f t="shared" ca="1" si="24"/>
        <v>-0.11135935937672578</v>
      </c>
      <c r="G152" s="8">
        <f t="shared" ca="1" si="25"/>
        <v>-7.7326139124580501E-2</v>
      </c>
      <c r="H152" s="10">
        <f t="shared" ca="1" si="26"/>
        <v>3852.3467589479937</v>
      </c>
      <c r="I152" s="10">
        <f t="shared" ca="1" si="27"/>
        <v>483.42050849906116</v>
      </c>
      <c r="J152" s="10">
        <f t="shared" ca="1" si="28"/>
        <v>2063.0987529174381</v>
      </c>
      <c r="K152" s="12">
        <f t="array" aca="1" ref="K152:L152" ca="1">Opt3Spd(H152:J152,$E$3:$G$3,$K$3:$M$3,$N$3:$P$3,$H$3,$I$3,$Q$3,$J$3)</f>
        <v>222.33281011022882</v>
      </c>
      <c r="L152" s="12">
        <f ca="1"/>
        <v>8.2412194519747572E-3</v>
      </c>
      <c r="M152" s="12">
        <f t="array" aca="1" ref="M152:N152" ca="1">Opt3Spd(H152:J152,$E$3:$G$3,$K$3:$M$3,$N$3:$P$3,$H$4,$I$3,$Q$3,$J$3)</f>
        <v>0.18997066434933885</v>
      </c>
      <c r="N152" s="12">
        <f ca="1"/>
        <v>177.8654017735725</v>
      </c>
      <c r="O152" s="12">
        <f t="shared" ca="1" si="29"/>
        <v>0.1982118838013136</v>
      </c>
    </row>
    <row r="153" spans="2:15" x14ac:dyDescent="0.15">
      <c r="B153" s="6">
        <f t="shared" ca="1" si="22"/>
        <v>-1.3482218099106307</v>
      </c>
      <c r="C153" s="6">
        <f t="shared" ca="1" si="22"/>
        <v>1.2726773417383246</v>
      </c>
      <c r="D153" s="6">
        <f t="shared" ca="1" si="22"/>
        <v>1.7385422520913287</v>
      </c>
      <c r="E153" s="8">
        <f t="shared" ca="1" si="23"/>
        <v>-3.06968523151116E-2</v>
      </c>
      <c r="F153" s="8">
        <f t="shared" ca="1" si="24"/>
        <v>-2.075334915359581E-2</v>
      </c>
      <c r="G153" s="8">
        <f t="shared" ca="1" si="25"/>
        <v>-2.7316146365914673E-2</v>
      </c>
      <c r="H153" s="10">
        <f t="shared" ca="1" si="26"/>
        <v>3892.7214411025116</v>
      </c>
      <c r="I153" s="10">
        <f t="shared" ca="1" si="27"/>
        <v>532.71017806044392</v>
      </c>
      <c r="J153" s="10">
        <f t="shared" ca="1" si="28"/>
        <v>2174.921096725815</v>
      </c>
      <c r="K153" s="12">
        <f t="array" aca="1" ref="K153:L153" ca="1">Opt3Spd(H153:J153,$E$3:$G$3,$K$3:$M$3,$N$3:$P$3,$H$3,$I$3,$Q$3,$J$3)</f>
        <v>128.64445368460292</v>
      </c>
      <c r="L153" s="12">
        <f ca="1"/>
        <v>0.71984584170922972</v>
      </c>
      <c r="M153" s="12">
        <f t="array" aca="1" ref="M153:N153" ca="1">Opt3Spd(H153:J153,$E$3:$G$3,$K$3:$M$3,$N$3:$P$3,$H$4,$I$3,$Q$3,$J$3)</f>
        <v>1.6401882285370095E-3</v>
      </c>
      <c r="N153" s="12">
        <f ca="1"/>
        <v>272.07703234533483</v>
      </c>
      <c r="O153" s="12">
        <f t="shared" ca="1" si="29"/>
        <v>0.72148602993776678</v>
      </c>
    </row>
    <row r="154" spans="2:15" x14ac:dyDescent="0.15">
      <c r="B154" s="6">
        <f t="shared" ca="1" si="22"/>
        <v>-0.81448451077512463</v>
      </c>
      <c r="C154" s="6">
        <f t="shared" ca="1" si="22"/>
        <v>0.42722842712639758</v>
      </c>
      <c r="D154" s="6">
        <f t="shared" ca="1" si="22"/>
        <v>0.34180412487287948</v>
      </c>
      <c r="E154" s="8">
        <f t="shared" ca="1" si="23"/>
        <v>-1.8544508445436907E-2</v>
      </c>
      <c r="F154" s="8">
        <f t="shared" ca="1" si="24"/>
        <v>-2.0390755540925357E-2</v>
      </c>
      <c r="G154" s="8">
        <f t="shared" ca="1" si="25"/>
        <v>-2.5041346779202847E-2</v>
      </c>
      <c r="H154" s="10">
        <f t="shared" ca="1" si="26"/>
        <v>3941.5252540831257</v>
      </c>
      <c r="I154" s="10">
        <f t="shared" ca="1" si="27"/>
        <v>532.9074289857366</v>
      </c>
      <c r="J154" s="10">
        <f t="shared" ca="1" si="28"/>
        <v>2180.0075486017022</v>
      </c>
      <c r="K154" s="12">
        <f t="array" aca="1" ref="K154:L154" ca="1">Opt3Spd(H154:J154,$E$3:$G$3,$K$3:$M$3,$N$3:$P$3,$H$3,$I$3,$Q$3,$J$3)</f>
        <v>173.97605882333164</v>
      </c>
      <c r="L154" s="12">
        <f ca="1"/>
        <v>0.1064654182355298</v>
      </c>
      <c r="M154" s="12">
        <f t="array" aca="1" ref="M154:N154" ca="1">Opt3Spd(H154:J154,$E$3:$G$3,$K$3:$M$3,$N$3:$P$3,$H$4,$I$3,$Q$3,$J$3)</f>
        <v>2.163112787171162E-2</v>
      </c>
      <c r="N154" s="12">
        <f ca="1"/>
        <v>226.15203772277559</v>
      </c>
      <c r="O154" s="12">
        <f t="shared" ca="1" si="29"/>
        <v>0.12809654610724142</v>
      </c>
    </row>
    <row r="155" spans="2:15" x14ac:dyDescent="0.15">
      <c r="B155" s="6">
        <f t="shared" ca="1" si="22"/>
        <v>0.32147397245076015</v>
      </c>
      <c r="C155" s="6">
        <f t="shared" ca="1" si="22"/>
        <v>-1.778393441632987</v>
      </c>
      <c r="D155" s="6">
        <f t="shared" ca="1" si="22"/>
        <v>-2.1445303513510119</v>
      </c>
      <c r="E155" s="8">
        <f t="shared" ca="1" si="23"/>
        <v>7.3194477221276916E-3</v>
      </c>
      <c r="F155" s="8">
        <f t="shared" ca="1" si="24"/>
        <v>-2.8957992270241047E-2</v>
      </c>
      <c r="G155" s="8">
        <f t="shared" ca="1" si="25"/>
        <v>-1.6197991881630409E-2</v>
      </c>
      <c r="H155" s="10">
        <f t="shared" ca="1" si="26"/>
        <v>4045.3949020520649</v>
      </c>
      <c r="I155" s="10">
        <f t="shared" ca="1" si="27"/>
        <v>528.24685220498884</v>
      </c>
      <c r="J155" s="10">
        <f t="shared" ca="1" si="28"/>
        <v>2199.7812901526745</v>
      </c>
      <c r="K155" s="12">
        <f t="array" aca="1" ref="K155:L155" ca="1">Opt3Spd(H155:J155,$E$3:$G$3,$K$3:$M$3,$N$3:$P$3,$H$3,$I$3,$Q$3,$J$3)</f>
        <v>275.30976392131402</v>
      </c>
      <c r="L155" s="12">
        <f ca="1"/>
        <v>4.7047356861185108E-4</v>
      </c>
      <c r="M155" s="12">
        <f t="array" aca="1" ref="M155:N155" ca="1">Opt3Spd(H155:J155,$E$3:$G$3,$K$3:$M$3,$N$3:$P$3,$H$4,$I$3,$Q$3,$J$3)</f>
        <v>1.5089788244065687</v>
      </c>
      <c r="N155" s="12">
        <f ca="1"/>
        <v>126.19968537666117</v>
      </c>
      <c r="O155" s="12">
        <f t="shared" ca="1" si="29"/>
        <v>1.5094492979751806</v>
      </c>
    </row>
    <row r="156" spans="2:15" x14ac:dyDescent="0.15">
      <c r="B156" s="6">
        <f t="shared" ca="1" si="22"/>
        <v>-0.41980595024832695</v>
      </c>
      <c r="C156" s="6">
        <f t="shared" ca="1" si="22"/>
        <v>-0.84288078112122433</v>
      </c>
      <c r="D156" s="6">
        <f t="shared" ca="1" si="22"/>
        <v>-2.086887226576553</v>
      </c>
      <c r="E156" s="8">
        <f t="shared" ca="1" si="23"/>
        <v>-9.5583094421475071E-3</v>
      </c>
      <c r="F156" s="8">
        <f t="shared" ca="1" si="24"/>
        <v>-3.49486415451426E-2</v>
      </c>
      <c r="G156" s="8">
        <f t="shared" ca="1" si="25"/>
        <v>-4.0101569393159522E-2</v>
      </c>
      <c r="H156" s="10">
        <f t="shared" ca="1" si="26"/>
        <v>3977.6138292803357</v>
      </c>
      <c r="I156" s="10">
        <f t="shared" ca="1" si="27"/>
        <v>524.98793899944246</v>
      </c>
      <c r="J156" s="10">
        <f t="shared" ca="1" si="28"/>
        <v>2146.3328908368953</v>
      </c>
      <c r="K156" s="12">
        <f t="array" aca="1" ref="K156:L156" ca="1">Opt3Spd(H156:J156,$E$3:$G$3,$K$3:$M$3,$N$3:$P$3,$H$3,$I$3,$Q$3,$J$3)</f>
        <v>239.47028483007784</v>
      </c>
      <c r="L156" s="12">
        <f ca="1"/>
        <v>3.6033672979556286E-3</v>
      </c>
      <c r="M156" s="12">
        <f t="array" aca="1" ref="M156:N156" ca="1">Opt3Spd(H156:J156,$E$3:$G$3,$K$3:$M$3,$N$3:$P$3,$H$4,$I$3,$Q$3,$J$3)</f>
        <v>0.40411130184713784</v>
      </c>
      <c r="N156" s="12">
        <f ca="1"/>
        <v>160.93742983906725</v>
      </c>
      <c r="O156" s="12">
        <f t="shared" ca="1" si="29"/>
        <v>0.40771466914509347</v>
      </c>
    </row>
    <row r="157" spans="2:15" x14ac:dyDescent="0.15">
      <c r="B157" s="6">
        <f t="shared" ca="1" si="22"/>
        <v>-0.46580680768226823</v>
      </c>
      <c r="C157" s="6">
        <f t="shared" ca="1" si="22"/>
        <v>-0.64049370295896291</v>
      </c>
      <c r="D157" s="6">
        <f t="shared" ca="1" si="22"/>
        <v>-0.10488719173621228</v>
      </c>
      <c r="E157" s="8">
        <f t="shared" ca="1" si="23"/>
        <v>-1.0605675325593495E-2</v>
      </c>
      <c r="F157" s="8">
        <f t="shared" ca="1" si="24"/>
        <v>-3.2002400366077516E-2</v>
      </c>
      <c r="G157" s="8">
        <f t="shared" ca="1" si="25"/>
        <v>-2.0089688143870101E-2</v>
      </c>
      <c r="H157" s="10">
        <f t="shared" ca="1" si="26"/>
        <v>3973.4076078924163</v>
      </c>
      <c r="I157" s="10">
        <f t="shared" ca="1" si="27"/>
        <v>526.59069420085382</v>
      </c>
      <c r="J157" s="10">
        <f t="shared" ca="1" si="28"/>
        <v>2191.0794573103062</v>
      </c>
      <c r="K157" s="12">
        <f t="array" aca="1" ref="K157:L157" ca="1">Opt3Spd(H157:J157,$E$3:$G$3,$K$3:$M$3,$N$3:$P$3,$H$3,$I$3,$Q$3,$J$3)</f>
        <v>210.34115176648561</v>
      </c>
      <c r="L157" s="12">
        <f ca="1"/>
        <v>1.8383250588613009E-2</v>
      </c>
      <c r="M157" s="12">
        <f t="array" aca="1" ref="M157:N157" ca="1">Opt3Spd(H157:J157,$E$3:$G$3,$K$3:$M$3,$N$3:$P$3,$H$4,$I$3,$Q$3,$J$3)</f>
        <v>0.12382237032166366</v>
      </c>
      <c r="N157" s="12">
        <f ca="1"/>
        <v>189.80105385442468</v>
      </c>
      <c r="O157" s="12">
        <f t="shared" ca="1" si="29"/>
        <v>0.14220562091027666</v>
      </c>
    </row>
    <row r="158" spans="2:15" x14ac:dyDescent="0.15">
      <c r="B158" s="6">
        <f t="shared" ca="1" si="22"/>
        <v>-1.3762413900222625</v>
      </c>
      <c r="C158" s="6">
        <f t="shared" ca="1" si="22"/>
        <v>-0.33544451132727532</v>
      </c>
      <c r="D158" s="6">
        <f t="shared" ca="1" si="22"/>
        <v>1.9074243551136105</v>
      </c>
      <c r="E158" s="8">
        <f t="shared" ca="1" si="23"/>
        <v>-3.1334813299198641E-2</v>
      </c>
      <c r="F158" s="8">
        <f t="shared" ca="1" si="24"/>
        <v>-5.8760998517039392E-2</v>
      </c>
      <c r="G158" s="8">
        <f t="shared" ca="1" si="25"/>
        <v>-3.121476087668635E-2</v>
      </c>
      <c r="H158" s="10">
        <f t="shared" ca="1" si="26"/>
        <v>3890.1593897904181</v>
      </c>
      <c r="I158" s="10">
        <f t="shared" ca="1" si="27"/>
        <v>512.03401680673051</v>
      </c>
      <c r="J158" s="10">
        <f t="shared" ca="1" si="28"/>
        <v>2166.2037946797291</v>
      </c>
      <c r="K158" s="12">
        <f t="array" aca="1" ref="K158:L158" ca="1">Opt3Spd(H158:J158,$E$3:$G$3,$K$3:$M$3,$N$3:$P$3,$H$3,$I$3,$Q$3,$J$3)</f>
        <v>162.97380448086392</v>
      </c>
      <c r="L158" s="12">
        <f ca="1"/>
        <v>0.17073892107941901</v>
      </c>
      <c r="M158" s="12">
        <f t="array" aca="1" ref="M158:N158" ca="1">Opt3Spd(H158:J158,$E$3:$G$3,$K$3:$M$3,$N$3:$P$3,$H$4,$I$3,$Q$3,$J$3)</f>
        <v>1.1848735501839514E-2</v>
      </c>
      <c r="N158" s="12">
        <f ca="1"/>
        <v>237.20878317571734</v>
      </c>
      <c r="O158" s="12">
        <f t="shared" ca="1" si="29"/>
        <v>0.18258765658125853</v>
      </c>
    </row>
    <row r="159" spans="2:15" x14ac:dyDescent="0.15">
      <c r="B159" s="6">
        <f t="shared" ca="1" si="22"/>
        <v>-7.6171776319193155E-2</v>
      </c>
      <c r="C159" s="6">
        <f t="shared" ca="1" si="22"/>
        <v>-1.1477141328290119</v>
      </c>
      <c r="D159" s="6">
        <f t="shared" ca="1" si="22"/>
        <v>0.6825902898320314</v>
      </c>
      <c r="E159" s="8">
        <f t="shared" ca="1" si="23"/>
        <v>-1.7343094074445966E-3</v>
      </c>
      <c r="F159" s="8">
        <f t="shared" ca="1" si="24"/>
        <v>-2.9209702117505898E-2</v>
      </c>
      <c r="G159" s="8">
        <f t="shared" ca="1" si="25"/>
        <v>1.1414635650635779E-3</v>
      </c>
      <c r="H159" s="10">
        <f t="shared" ca="1" si="26"/>
        <v>4009.0350134197024</v>
      </c>
      <c r="I159" s="10">
        <f t="shared" ca="1" si="27"/>
        <v>528.10992204807678</v>
      </c>
      <c r="J159" s="10">
        <f t="shared" ca="1" si="28"/>
        <v>2238.5523125314821</v>
      </c>
      <c r="K159" s="12">
        <f t="array" aca="1" ref="K159:L159" ca="1">Opt3Spd(H159:J159,$E$3:$G$3,$K$3:$M$3,$N$3:$P$3,$H$3,$I$3,$Q$3,$J$3)</f>
        <v>219.79489105885932</v>
      </c>
      <c r="L159" s="12">
        <f ca="1"/>
        <v>1.1909181821010861E-2</v>
      </c>
      <c r="M159" s="12">
        <f t="array" aca="1" ref="M159:N159" ca="1">Opt3Spd(H159:J159,$E$3:$G$3,$K$3:$M$3,$N$3:$P$3,$H$4,$I$3,$Q$3,$J$3)</f>
        <v>0.19291758288816752</v>
      </c>
      <c r="N159" s="12">
        <f ca="1"/>
        <v>180.40993570584985</v>
      </c>
      <c r="O159" s="12">
        <f t="shared" ca="1" si="29"/>
        <v>0.20482676470917838</v>
      </c>
    </row>
    <row r="160" spans="2:15" x14ac:dyDescent="0.15">
      <c r="B160" s="6">
        <f t="shared" ca="1" si="22"/>
        <v>-0.38407798539476201</v>
      </c>
      <c r="C160" s="6">
        <f t="shared" ca="1" si="22"/>
        <v>-0.10011578989856897</v>
      </c>
      <c r="D160" s="6">
        <f t="shared" ca="1" si="22"/>
        <v>0.4152319789597978</v>
      </c>
      <c r="E160" s="8">
        <f t="shared" ca="1" si="23"/>
        <v>-8.744840877429598E-3</v>
      </c>
      <c r="F160" s="8">
        <f t="shared" ca="1" si="24"/>
        <v>-1.6548314810918736E-2</v>
      </c>
      <c r="G160" s="8">
        <f t="shared" ca="1" si="25"/>
        <v>-9.9775449614923108E-3</v>
      </c>
      <c r="H160" s="10">
        <f t="shared" ca="1" si="26"/>
        <v>3980.8807190362431</v>
      </c>
      <c r="I160" s="10">
        <f t="shared" ca="1" si="27"/>
        <v>534.99771674286023</v>
      </c>
      <c r="J160" s="10">
        <f t="shared" ca="1" si="28"/>
        <v>2213.6902094661032</v>
      </c>
      <c r="K160" s="12">
        <f t="array" aca="1" ref="K160:L160" ca="1">Opt3Spd(H160:J160,$E$3:$G$3,$K$3:$M$3,$N$3:$P$3,$H$3,$I$3,$Q$3,$J$3)</f>
        <v>193.08406851657332</v>
      </c>
      <c r="L160" s="12">
        <f ca="1"/>
        <v>4.4801001958148845E-2</v>
      </c>
      <c r="M160" s="12">
        <f t="array" aca="1" ref="M160:N160" ca="1">Opt3Spd(H160:J160,$E$3:$G$3,$K$3:$M$3,$N$3:$P$3,$H$4,$I$3,$Q$3,$J$3)</f>
        <v>5.742360842786276E-2</v>
      </c>
      <c r="N160" s="12">
        <f ca="1"/>
        <v>207.01815609381268</v>
      </c>
      <c r="O160" s="12">
        <f t="shared" ca="1" si="29"/>
        <v>0.10222461038601161</v>
      </c>
    </row>
    <row r="161" spans="2:15" x14ac:dyDescent="0.15">
      <c r="B161" s="6">
        <f t="shared" ca="1" si="22"/>
        <v>1.8338184545704883</v>
      </c>
      <c r="C161" s="6">
        <f t="shared" ca="1" si="22"/>
        <v>-0.44064868534397778</v>
      </c>
      <c r="D161" s="6">
        <f t="shared" ca="1" si="22"/>
        <v>0.32349386041810307</v>
      </c>
      <c r="E161" s="8">
        <f t="shared" ca="1" si="23"/>
        <v>4.1753110548187852E-2</v>
      </c>
      <c r="F161" s="8">
        <f t="shared" ca="1" si="24"/>
        <v>5.7892924899224811E-2</v>
      </c>
      <c r="G161" s="8">
        <f t="shared" ca="1" si="25"/>
        <v>6.9538515210013932E-2</v>
      </c>
      <c r="H161" s="10">
        <f t="shared" ca="1" si="26"/>
        <v>4183.6804919615224</v>
      </c>
      <c r="I161" s="10">
        <f t="shared" ca="1" si="27"/>
        <v>575.49375114517829</v>
      </c>
      <c r="J161" s="10">
        <f t="shared" ca="1" si="28"/>
        <v>2391.4881200095911</v>
      </c>
      <c r="K161" s="12">
        <f t="array" aca="1" ref="K161:L161" ca="1">Opt3Spd(H161:J161,$E$3:$G$3,$K$3:$M$3,$N$3:$P$3,$H$3,$I$3,$Q$3,$J$3)</f>
        <v>242.1510423379375</v>
      </c>
      <c r="L161" s="12">
        <f ca="1"/>
        <v>4.612213496102413E-3</v>
      </c>
      <c r="M161" s="12">
        <f t="array" aca="1" ref="M161:N161" ca="1">Opt3Spd(H161:J161,$E$3:$G$3,$K$3:$M$3,$N$3:$P$3,$H$4,$I$3,$Q$3,$J$3)</f>
        <v>0.52247627170002886</v>
      </c>
      <c r="N161" s="12">
        <f ca="1"/>
        <v>158.37604614725865</v>
      </c>
      <c r="O161" s="12">
        <f t="shared" ca="1" si="29"/>
        <v>0.52708848519613127</v>
      </c>
    </row>
    <row r="162" spans="2:15" x14ac:dyDescent="0.15">
      <c r="B162" s="6">
        <f t="shared" ca="1" si="22"/>
        <v>-0.28651884634655306</v>
      </c>
      <c r="C162" s="6">
        <f t="shared" ca="1" si="22"/>
        <v>0.31631985394276574</v>
      </c>
      <c r="D162" s="6">
        <f t="shared" ca="1" si="22"/>
        <v>0.46181128767536977</v>
      </c>
      <c r="E162" s="8">
        <f t="shared" ca="1" si="23"/>
        <v>-6.5235754585362326E-3</v>
      </c>
      <c r="F162" s="8">
        <f t="shared" ca="1" si="24"/>
        <v>-3.3562736320432492E-3</v>
      </c>
      <c r="G162" s="8">
        <f t="shared" ca="1" si="25"/>
        <v>-4.6882683842541734E-3</v>
      </c>
      <c r="H162" s="10">
        <f t="shared" ca="1" si="26"/>
        <v>3989.8013209585188</v>
      </c>
      <c r="I162" s="10">
        <f t="shared" ca="1" si="27"/>
        <v>542.17418714416851</v>
      </c>
      <c r="J162" s="10">
        <f t="shared" ca="1" si="28"/>
        <v>2225.5170318928076</v>
      </c>
      <c r="K162" s="12">
        <f t="array" aca="1" ref="K162:L162" ca="1">Opt3Spd(H162:J162,$E$3:$G$3,$K$3:$M$3,$N$3:$P$3,$H$3,$I$3,$Q$3,$J$3)</f>
        <v>184.63225486707825</v>
      </c>
      <c r="L162" s="12">
        <f ca="1"/>
        <v>6.8149285632898682E-2</v>
      </c>
      <c r="M162" s="12">
        <f t="array" aca="1" ref="M162:N162" ca="1">Opt3Spd(H162:J162,$E$3:$G$3,$K$3:$M$3,$N$3:$P$3,$H$4,$I$3,$Q$3,$J$3)</f>
        <v>3.876986844782504E-2</v>
      </c>
      <c r="N162" s="12">
        <f ca="1"/>
        <v>215.47466428700247</v>
      </c>
      <c r="O162" s="12">
        <f t="shared" ca="1" si="29"/>
        <v>0.10691915408072372</v>
      </c>
    </row>
    <row r="163" spans="2:15" x14ac:dyDescent="0.15">
      <c r="B163" s="6">
        <f t="shared" ca="1" si="22"/>
        <v>-0.15705391970091598</v>
      </c>
      <c r="C163" s="6">
        <f t="shared" ca="1" si="22"/>
        <v>0.45378622905174271</v>
      </c>
      <c r="D163" s="6">
        <f t="shared" ca="1" si="22"/>
        <v>0.9459009967529427</v>
      </c>
      <c r="E163" s="8">
        <f t="shared" ca="1" si="23"/>
        <v>-3.5758663323270127E-3</v>
      </c>
      <c r="F163" s="8">
        <f t="shared" ca="1" si="24"/>
        <v>4.6061811881850968E-3</v>
      </c>
      <c r="G163" s="8">
        <f t="shared" ca="1" si="25"/>
        <v>5.6241573623575652E-3</v>
      </c>
      <c r="H163" s="10">
        <f t="shared" ca="1" si="26"/>
        <v>4001.639320809375</v>
      </c>
      <c r="I163" s="10">
        <f t="shared" ca="1" si="27"/>
        <v>546.5057625663726</v>
      </c>
      <c r="J163" s="10">
        <f t="shared" ca="1" si="28"/>
        <v>2248.5756158622316</v>
      </c>
      <c r="K163" s="12">
        <f t="array" aca="1" ref="K163:L163" ca="1">Opt3Spd(H163:J163,$E$3:$G$3,$K$3:$M$3,$N$3:$P$3,$H$3,$I$3,$Q$3,$J$3)</f>
        <v>178.03708536096815</v>
      </c>
      <c r="L163" s="12">
        <f ca="1"/>
        <v>9.4792588905193043E-2</v>
      </c>
      <c r="M163" s="12">
        <f t="array" aca="1" ref="M163:N163" ca="1">Opt3Spd(H163:J163,$E$3:$G$3,$K$3:$M$3,$N$3:$P$3,$H$4,$I$3,$Q$3,$J$3)</f>
        <v>2.86830306291046E-2</v>
      </c>
      <c r="N163" s="12">
        <f ca="1"/>
        <v>222.08639025856615</v>
      </c>
      <c r="O163" s="12">
        <f t="shared" ca="1" si="29"/>
        <v>0.12347561953429764</v>
      </c>
    </row>
    <row r="164" spans="2:15" x14ac:dyDescent="0.15">
      <c r="B164" s="6">
        <f t="shared" ca="1" si="22"/>
        <v>0.5483931644188299</v>
      </c>
      <c r="C164" s="6">
        <f t="shared" ca="1" si="22"/>
        <v>-0.25348567746377315</v>
      </c>
      <c r="D164" s="6">
        <f t="shared" ca="1" si="22"/>
        <v>0.41521514971453538</v>
      </c>
      <c r="E164" s="8">
        <f t="shared" ca="1" si="23"/>
        <v>1.2486034460381119E-2</v>
      </c>
      <c r="F164" s="8">
        <f t="shared" ca="1" si="24"/>
        <v>1.4514576374464221E-2</v>
      </c>
      <c r="G164" s="8">
        <f t="shared" ca="1" si="25"/>
        <v>2.383452107862926E-2</v>
      </c>
      <c r="H164" s="10">
        <f t="shared" ca="1" si="26"/>
        <v>4066.143914392891</v>
      </c>
      <c r="I164" s="10">
        <f t="shared" ca="1" si="27"/>
        <v>551.89592954770853</v>
      </c>
      <c r="J164" s="10">
        <f t="shared" ca="1" si="28"/>
        <v>2289.2939891318151</v>
      </c>
      <c r="K164" s="12">
        <f t="array" aca="1" ref="K164:L164" ca="1">Opt3Spd(H164:J164,$E$3:$G$3,$K$3:$M$3,$N$3:$P$3,$H$3,$I$3,$Q$3,$J$3)</f>
        <v>213.48131303579567</v>
      </c>
      <c r="L164" s="12">
        <f ca="1"/>
        <v>1.7880485145951752E-2</v>
      </c>
      <c r="M164" s="12">
        <f t="array" aca="1" ref="M164:N164" ca="1">Opt3Spd(H164:J164,$E$3:$G$3,$K$3:$M$3,$N$3:$P$3,$H$4,$I$3,$Q$3,$J$3)</f>
        <v>0.15395786778293896</v>
      </c>
      <c r="N164" s="12">
        <f ca="1"/>
        <v>186.69052531713322</v>
      </c>
      <c r="O164" s="12">
        <f t="shared" ca="1" si="29"/>
        <v>0.17183835292889071</v>
      </c>
    </row>
    <row r="165" spans="2:15" x14ac:dyDescent="0.15">
      <c r="B165" s="6">
        <f t="shared" ca="1" si="22"/>
        <v>0.73355945999995054</v>
      </c>
      <c r="C165" s="6">
        <f t="shared" ca="1" si="22"/>
        <v>-0.1100155522376141</v>
      </c>
      <c r="D165" s="6">
        <f t="shared" ca="1" si="22"/>
        <v>1.5504337949568665</v>
      </c>
      <c r="E165" s="8">
        <f t="shared" ca="1" si="23"/>
        <v>1.670197458789377E-2</v>
      </c>
      <c r="F165" s="8">
        <f t="shared" ca="1" si="24"/>
        <v>2.4681208059948834E-2</v>
      </c>
      <c r="G165" s="8">
        <f t="shared" ca="1" si="25"/>
        <v>4.3147265212819835E-2</v>
      </c>
      <c r="H165" s="10">
        <f t="shared" ca="1" si="26"/>
        <v>4083.0751299449817</v>
      </c>
      <c r="I165" s="10">
        <f t="shared" ca="1" si="27"/>
        <v>557.42657718461214</v>
      </c>
      <c r="J165" s="10">
        <f t="shared" ca="1" si="28"/>
        <v>2332.4772850158652</v>
      </c>
      <c r="K165" s="12">
        <f t="array" aca="1" ref="K165:L165" ca="1">Opt3Spd(H165:J165,$E$3:$G$3,$K$3:$M$3,$N$3:$P$3,$H$3,$I$3,$Q$3,$J$3)</f>
        <v>199.99084352742125</v>
      </c>
      <c r="L165" s="12">
        <f ca="1"/>
        <v>3.687958575187622E-2</v>
      </c>
      <c r="M165" s="12">
        <f t="array" aca="1" ref="M165:N165" ca="1">Opt3Spd(H165:J165,$E$3:$G$3,$K$3:$M$3,$N$3:$P$3,$H$4,$I$3,$Q$3,$J$3)</f>
        <v>8.825379884989637E-2</v>
      </c>
      <c r="N165" s="12">
        <f ca="1"/>
        <v>200.13428985718053</v>
      </c>
      <c r="O165" s="12">
        <f t="shared" ca="1" si="29"/>
        <v>0.12513338460177259</v>
      </c>
    </row>
    <row r="166" spans="2:15" x14ac:dyDescent="0.15">
      <c r="B166" s="6">
        <f t="shared" ca="1" si="22"/>
        <v>0.46417440481258032</v>
      </c>
      <c r="C166" s="6">
        <f t="shared" ca="1" si="22"/>
        <v>0.92858501779982838</v>
      </c>
      <c r="D166" s="6">
        <f t="shared" ca="1" si="22"/>
        <v>0.91862659486068066</v>
      </c>
      <c r="E166" s="8">
        <f t="shared" ca="1" si="23"/>
        <v>1.0568508125477593E-2</v>
      </c>
      <c r="F166" s="8">
        <f t="shared" ca="1" si="24"/>
        <v>3.8564635165097672E-2</v>
      </c>
      <c r="G166" s="8">
        <f t="shared" ca="1" si="25"/>
        <v>2.9534847128820065E-2</v>
      </c>
      <c r="H166" s="10">
        <f t="shared" ca="1" si="26"/>
        <v>4058.4431286319182</v>
      </c>
      <c r="I166" s="10">
        <f t="shared" ca="1" si="27"/>
        <v>564.97916152981315</v>
      </c>
      <c r="J166" s="10">
        <f t="shared" ca="1" si="28"/>
        <v>2302.0399181800417</v>
      </c>
      <c r="K166" s="12">
        <f t="array" aca="1" ref="K166:L166" ca="1">Opt3Spd(H166:J166,$E$3:$G$3,$K$3:$M$3,$N$3:$P$3,$H$3,$I$3,$Q$3,$J$3)</f>
        <v>178.55508989396935</v>
      </c>
      <c r="L166" s="12">
        <f ca="1"/>
        <v>9.8578799773349601E-2</v>
      </c>
      <c r="M166" s="12">
        <f t="array" aca="1" ref="M166:N166" ca="1">Opt3Spd(H166:J166,$E$3:$G$3,$K$3:$M$3,$N$3:$P$3,$H$4,$I$3,$Q$3,$J$3)</f>
        <v>3.1369925442604529E-2</v>
      </c>
      <c r="N166" s="12">
        <f ca="1"/>
        <v>221.57485883124662</v>
      </c>
      <c r="O166" s="12">
        <f t="shared" ca="1" si="29"/>
        <v>0.12994872521595413</v>
      </c>
    </row>
    <row r="167" spans="2:15" x14ac:dyDescent="0.15">
      <c r="B167" s="6">
        <f t="shared" ca="1" si="22"/>
        <v>1.2923428908679029</v>
      </c>
      <c r="C167" s="6">
        <f t="shared" ca="1" si="22"/>
        <v>-0.91796375427374022</v>
      </c>
      <c r="D167" s="6">
        <f t="shared" ca="1" si="22"/>
        <v>-0.37361703090157394</v>
      </c>
      <c r="E167" s="8">
        <f t="shared" ca="1" si="23"/>
        <v>2.9424578782096734E-2</v>
      </c>
      <c r="F167" s="8">
        <f t="shared" ca="1" si="24"/>
        <v>2.6834935807843574E-2</v>
      </c>
      <c r="G167" s="8">
        <f t="shared" ca="1" si="25"/>
        <v>4.0833591573438105E-2</v>
      </c>
      <c r="H167" s="10">
        <f t="shared" ca="1" si="26"/>
        <v>4134.1691083889009</v>
      </c>
      <c r="I167" s="10">
        <f t="shared" ca="1" si="27"/>
        <v>558.59820507946699</v>
      </c>
      <c r="J167" s="10">
        <f t="shared" ca="1" si="28"/>
        <v>2327.3039107582076</v>
      </c>
      <c r="K167" s="12">
        <f t="array" aca="1" ref="K167:L167" ca="1">Opt3Spd(H167:J167,$E$3:$G$3,$K$3:$M$3,$N$3:$P$3,$H$3,$I$3,$Q$3,$J$3)</f>
        <v>251.76243385703515</v>
      </c>
      <c r="L167" s="12">
        <f ca="1"/>
        <v>2.4089743849344813E-3</v>
      </c>
      <c r="M167" s="12">
        <f t="array" aca="1" ref="M167:N167" ca="1">Opt3Spd(H167:J167,$E$3:$G$3,$K$3:$M$3,$N$3:$P$3,$H$4,$I$3,$Q$3,$J$3)</f>
        <v>0.71387281114679269</v>
      </c>
      <c r="N167" s="12">
        <f ca="1"/>
        <v>148.95384792849657</v>
      </c>
      <c r="O167" s="12">
        <f t="shared" ca="1" si="29"/>
        <v>0.71628178553172717</v>
      </c>
    </row>
    <row r="168" spans="2:15" x14ac:dyDescent="0.15">
      <c r="B168" s="6">
        <f t="shared" ca="1" si="22"/>
        <v>-0.55407529541935319</v>
      </c>
      <c r="C168" s="6">
        <f t="shared" ca="1" si="22"/>
        <v>-1.0099645498574492</v>
      </c>
      <c r="D168" s="6">
        <f t="shared" ca="1" si="22"/>
        <v>0.78944411891720245</v>
      </c>
      <c r="E168" s="8">
        <f t="shared" ca="1" si="23"/>
        <v>-1.2615407487041874E-2</v>
      </c>
      <c r="F168" s="8">
        <f t="shared" ca="1" si="24"/>
        <v>-4.3770168513602895E-2</v>
      </c>
      <c r="G168" s="8">
        <f t="shared" ca="1" si="25"/>
        <v>-1.4877731869692469E-2</v>
      </c>
      <c r="H168" s="10">
        <f t="shared" ca="1" si="26"/>
        <v>3965.3365235320398</v>
      </c>
      <c r="I168" s="10">
        <f t="shared" ca="1" si="27"/>
        <v>520.18902832859999</v>
      </c>
      <c r="J168" s="10">
        <f t="shared" ca="1" si="28"/>
        <v>2202.7333915393679</v>
      </c>
      <c r="K168" s="12">
        <f t="array" aca="1" ref="K168:L168" ca="1">Opt3Spd(H168:J168,$E$3:$G$3,$K$3:$M$3,$N$3:$P$3,$H$3,$I$3,$Q$3,$J$3)</f>
        <v>206.68974423326245</v>
      </c>
      <c r="L168" s="12">
        <f ca="1"/>
        <v>2.236179666647331E-2</v>
      </c>
      <c r="M168" s="12">
        <f t="array" aca="1" ref="M168:N168" ca="1">Opt3Spd(H168:J168,$E$3:$G$3,$K$3:$M$3,$N$3:$P$3,$H$4,$I$3,$Q$3,$J$3)</f>
        <v>0.10611953568233545</v>
      </c>
      <c r="N168" s="12">
        <f ca="1"/>
        <v>193.43873709908635</v>
      </c>
      <c r="O168" s="12">
        <f t="shared" ca="1" si="29"/>
        <v>0.12848133234880876</v>
      </c>
    </row>
    <row r="169" spans="2:15" x14ac:dyDescent="0.15">
      <c r="B169" s="6">
        <f t="shared" ca="1" si="22"/>
        <v>0.52043851850418532</v>
      </c>
      <c r="C169" s="6">
        <f t="shared" ca="1" si="22"/>
        <v>-0.47933622275122417</v>
      </c>
      <c r="D169" s="6">
        <f t="shared" ca="1" si="22"/>
        <v>-1.8181517504382541</v>
      </c>
      <c r="E169" s="8">
        <f t="shared" ca="1" si="23"/>
        <v>1.1849551924009773E-2</v>
      </c>
      <c r="F169" s="8">
        <f t="shared" ca="1" si="24"/>
        <v>8.2856756315971888E-3</v>
      </c>
      <c r="G169" s="8">
        <f t="shared" ca="1" si="25"/>
        <v>-1.6403037428158883E-3</v>
      </c>
      <c r="H169" s="10">
        <f t="shared" ca="1" si="26"/>
        <v>4063.5878005268237</v>
      </c>
      <c r="I169" s="10">
        <f t="shared" ca="1" si="27"/>
        <v>548.5074075435889</v>
      </c>
      <c r="J169" s="10">
        <f t="shared" ca="1" si="28"/>
        <v>2232.3322808310636</v>
      </c>
      <c r="K169" s="12">
        <f t="array" aca="1" ref="K169:L169" ca="1">Opt3Spd(H169:J169,$E$3:$G$3,$K$3:$M$3,$N$3:$P$3,$H$3,$I$3,$Q$3,$J$3)</f>
        <v>244.81287918889484</v>
      </c>
      <c r="L169" s="12">
        <f ca="1"/>
        <v>3.071147345508507E-3</v>
      </c>
      <c r="M169" s="12">
        <f t="array" aca="1" ref="M169:N169" ca="1">Opt3Spd(H169:J169,$E$3:$G$3,$K$3:$M$3,$N$3:$P$3,$H$4,$I$3,$Q$3,$J$3)</f>
        <v>0.5234437758874364</v>
      </c>
      <c r="N169" s="12">
        <f ca="1"/>
        <v>155.71363573433811</v>
      </c>
      <c r="O169" s="12">
        <f t="shared" ca="1" si="29"/>
        <v>0.52651492323294491</v>
      </c>
    </row>
    <row r="170" spans="2:15" x14ac:dyDescent="0.15">
      <c r="B170" s="6">
        <f t="shared" ca="1" si="22"/>
        <v>-0.66670690349340356</v>
      </c>
      <c r="C170" s="6">
        <f t="shared" ca="1" si="22"/>
        <v>-0.65373477356814491</v>
      </c>
      <c r="D170" s="6">
        <f t="shared" ca="1" si="22"/>
        <v>-1.3190590197616423</v>
      </c>
      <c r="E170" s="8">
        <f t="shared" ca="1" si="23"/>
        <v>-1.5179848896940025E-2</v>
      </c>
      <c r="F170" s="8">
        <f t="shared" ca="1" si="24"/>
        <v>-3.9758883789674959E-2</v>
      </c>
      <c r="G170" s="8">
        <f t="shared" ca="1" si="25"/>
        <v>-4.0443507906520057E-2</v>
      </c>
      <c r="H170" s="10">
        <f t="shared" ca="1" si="26"/>
        <v>3955.0377268298889</v>
      </c>
      <c r="I170" s="10">
        <f t="shared" ca="1" si="27"/>
        <v>522.37116721841687</v>
      </c>
      <c r="J170" s="10">
        <f t="shared" ca="1" si="28"/>
        <v>2145.568316321021</v>
      </c>
      <c r="K170" s="12">
        <f t="array" aca="1" ref="K170:L170" ca="1">Opt3Spd(H170:J170,$E$3:$G$3,$K$3:$M$3,$N$3:$P$3,$H$3,$I$3,$Q$3,$J$3)</f>
        <v>221.46938490058847</v>
      </c>
      <c r="L170" s="12">
        <f ca="1"/>
        <v>9.6837806770508905E-3</v>
      </c>
      <c r="M170" s="12">
        <f t="array" aca="1" ref="M170:N170" ca="1">Opt3Spd(H170:J170,$E$3:$G$3,$K$3:$M$3,$N$3:$P$3,$H$4,$I$3,$Q$3,$J$3)</f>
        <v>0.19374689099902298</v>
      </c>
      <c r="N170" s="12">
        <f ca="1"/>
        <v>178.73404577108761</v>
      </c>
      <c r="O170" s="12">
        <f t="shared" ca="1" si="29"/>
        <v>0.20343067167607387</v>
      </c>
    </row>
    <row r="171" spans="2:15" x14ac:dyDescent="0.15">
      <c r="B171" s="6">
        <f t="shared" ref="B171:D202" ca="1" si="30">NORMINV(RAND(),0,1)</f>
        <v>1.572645238868561</v>
      </c>
      <c r="C171" s="6">
        <f t="shared" ca="1" si="30"/>
        <v>0.28987033830371312</v>
      </c>
      <c r="D171" s="6">
        <f t="shared" ca="1" si="30"/>
        <v>0.40484443791979313</v>
      </c>
      <c r="E171" s="8">
        <f t="shared" ca="1" si="23"/>
        <v>3.5806614524958348E-2</v>
      </c>
      <c r="F171" s="8">
        <f t="shared" ca="1" si="24"/>
        <v>6.4998626268545384E-2</v>
      </c>
      <c r="G171" s="8">
        <f t="shared" ca="1" si="25"/>
        <v>6.293074357732821E-2</v>
      </c>
      <c r="H171" s="10">
        <f t="shared" ca="1" si="26"/>
        <v>4159.7993639322322</v>
      </c>
      <c r="I171" s="10">
        <f t="shared" ca="1" si="27"/>
        <v>579.35925269008862</v>
      </c>
      <c r="J171" s="10">
        <f t="shared" ca="1" si="28"/>
        <v>2376.713142638906</v>
      </c>
      <c r="K171" s="12">
        <f t="array" aca="1" ref="K171:L171" ca="1">Opt3Spd(H171:J171,$E$3:$G$3,$K$3:$M$3,$N$3:$P$3,$H$3,$I$3,$Q$3,$J$3)</f>
        <v>219.48303895253594</v>
      </c>
      <c r="L171" s="12">
        <f ca="1"/>
        <v>1.50506438985758E-2</v>
      </c>
      <c r="M171" s="12">
        <f t="array" aca="1" ref="M171:N171" ca="1">Opt3Spd(H171:J171,$E$3:$G$3,$K$3:$M$3,$N$3:$P$3,$H$4,$I$3,$Q$3,$J$3)</f>
        <v>0.2134319639664497</v>
      </c>
      <c r="N171" s="12">
        <f ca="1"/>
        <v>180.7454436553291</v>
      </c>
      <c r="O171" s="12">
        <f t="shared" ca="1" si="29"/>
        <v>0.2284826078650255</v>
      </c>
    </row>
    <row r="172" spans="2:15" x14ac:dyDescent="0.15">
      <c r="B172" s="6">
        <f t="shared" ca="1" si="30"/>
        <v>-4.2031352093248014E-2</v>
      </c>
      <c r="C172" s="6">
        <f t="shared" ca="1" si="30"/>
        <v>-0.58427070325566777</v>
      </c>
      <c r="D172" s="6">
        <f t="shared" ca="1" si="30"/>
        <v>-0.2042022764966174</v>
      </c>
      <c r="E172" s="8">
        <f t="shared" ca="1" si="23"/>
        <v>-9.569866014082774E-4</v>
      </c>
      <c r="F172" s="8">
        <f t="shared" ca="1" si="24"/>
        <v>-1.4990596052635221E-2</v>
      </c>
      <c r="G172" s="8">
        <f t="shared" ca="1" si="25"/>
        <v>-5.4156623238674345E-3</v>
      </c>
      <c r="H172" s="10">
        <f t="shared" ca="1" si="26"/>
        <v>4012.1567418087443</v>
      </c>
      <c r="I172" s="10">
        <f t="shared" ca="1" si="27"/>
        <v>535.84511574736644</v>
      </c>
      <c r="J172" s="10">
        <f t="shared" ca="1" si="28"/>
        <v>2223.8905790438325</v>
      </c>
      <c r="K172" s="12">
        <f t="array" aca="1" ref="K172:L172" ca="1">Opt3Spd(H172:J172,$E$3:$G$3,$K$3:$M$3,$N$3:$P$3,$H$3,$I$3,$Q$3,$J$3)</f>
        <v>217.87227873245683</v>
      </c>
      <c r="L172" s="12">
        <f ca="1"/>
        <v>1.3011641415005215E-2</v>
      </c>
      <c r="M172" s="12">
        <f t="array" aca="1" ref="M172:N172" ca="1">Opt3Spd(H172:J172,$E$3:$G$3,$K$3:$M$3,$N$3:$P$3,$H$4,$I$3,$Q$3,$J$3)</f>
        <v>0.1762217007848399</v>
      </c>
      <c r="N172" s="12">
        <f ca="1"/>
        <v>182.31695460974302</v>
      </c>
      <c r="O172" s="12">
        <f t="shared" ca="1" si="29"/>
        <v>0.18923334219984511</v>
      </c>
    </row>
    <row r="173" spans="2:15" x14ac:dyDescent="0.15">
      <c r="B173" s="6">
        <f t="shared" ca="1" si="30"/>
        <v>-1.498029830701707</v>
      </c>
      <c r="C173" s="6">
        <f t="shared" ca="1" si="30"/>
        <v>1.2643892146067908</v>
      </c>
      <c r="D173" s="6">
        <f t="shared" ca="1" si="30"/>
        <v>1.4548407742962659</v>
      </c>
      <c r="E173" s="8">
        <f t="shared" ca="1" si="23"/>
        <v>-3.4107741128835557E-2</v>
      </c>
      <c r="F173" s="8">
        <f t="shared" ca="1" si="24"/>
        <v>-2.6500787099344073E-2</v>
      </c>
      <c r="G173" s="8">
        <f t="shared" ca="1" si="25"/>
        <v>-3.586619689090996E-2</v>
      </c>
      <c r="H173" s="10">
        <f t="shared" ca="1" si="26"/>
        <v>3879.0233116265968</v>
      </c>
      <c r="I173" s="10">
        <f t="shared" ca="1" si="27"/>
        <v>529.58357181795679</v>
      </c>
      <c r="J173" s="10">
        <f t="shared" ca="1" si="28"/>
        <v>2155.8031837519252</v>
      </c>
      <c r="K173" s="12">
        <f t="array" aca="1" ref="K173:L173" ca="1">Opt3Spd(H173:J173,$E$3:$G$3,$K$3:$M$3,$N$3:$P$3,$H$3,$I$3,$Q$3,$J$3)</f>
        <v>129.47601437068693</v>
      </c>
      <c r="L173" s="12">
        <f ca="1"/>
        <v>0.68800952878382304</v>
      </c>
      <c r="M173" s="12">
        <f t="array" aca="1" ref="M173:N173" ca="1">Opt3Spd(H173:J173,$E$3:$G$3,$K$3:$M$3,$N$3:$P$3,$H$4,$I$3,$Q$3,$J$3)</f>
        <v>1.6766349867336494E-3</v>
      </c>
      <c r="N173" s="12">
        <f ca="1"/>
        <v>271.21367179308362</v>
      </c>
      <c r="O173" s="12">
        <f t="shared" ca="1" si="29"/>
        <v>0.68968616377055669</v>
      </c>
    </row>
    <row r="174" spans="2:15" x14ac:dyDescent="0.15">
      <c r="B174" s="6">
        <f t="shared" ca="1" si="30"/>
        <v>0.81357215946375505</v>
      </c>
      <c r="C174" s="6">
        <f t="shared" ca="1" si="30"/>
        <v>-0.5522837950789472</v>
      </c>
      <c r="D174" s="6">
        <f t="shared" ca="1" si="30"/>
        <v>-1.1923676796350107</v>
      </c>
      <c r="E174" s="8">
        <f t="shared" ca="1" si="23"/>
        <v>1.8523735666611689E-2</v>
      </c>
      <c r="F174" s="8">
        <f t="shared" ca="1" si="24"/>
        <v>1.7482078255626147E-2</v>
      </c>
      <c r="G174" s="8">
        <f t="shared" ca="1" si="25"/>
        <v>1.5583696582342103E-2</v>
      </c>
      <c r="H174" s="10">
        <f t="shared" ca="1" si="26"/>
        <v>4090.3913224371126</v>
      </c>
      <c r="I174" s="10">
        <f t="shared" ca="1" si="27"/>
        <v>553.51025057106062</v>
      </c>
      <c r="J174" s="10">
        <f t="shared" ca="1" si="28"/>
        <v>2270.8451455581171</v>
      </c>
      <c r="K174" s="12">
        <f t="array" aca="1" ref="K174:L174" ca="1">Opt3Spd(H174:J174,$E$3:$G$3,$K$3:$M$3,$N$3:$P$3,$H$3,$I$3,$Q$3,$J$3)</f>
        <v>244.35569734924184</v>
      </c>
      <c r="L174" s="12">
        <f ca="1"/>
        <v>3.3486048846498306E-3</v>
      </c>
      <c r="M174" s="12">
        <f t="array" aca="1" ref="M174:N174" ca="1">Opt3Spd(H174:J174,$E$3:$G$3,$K$3:$M$3,$N$3:$P$3,$H$4,$I$3,$Q$3,$J$3)</f>
        <v>0.52640354542164403</v>
      </c>
      <c r="N174" s="12">
        <f ca="1"/>
        <v>156.17405480106447</v>
      </c>
      <c r="O174" s="12">
        <f t="shared" ca="1" si="29"/>
        <v>0.52975215030629386</v>
      </c>
    </row>
    <row r="175" spans="2:15" x14ac:dyDescent="0.15">
      <c r="B175" s="6">
        <f t="shared" ca="1" si="30"/>
        <v>2.6809811326664948E-2</v>
      </c>
      <c r="C175" s="6">
        <f t="shared" ca="1" si="30"/>
        <v>0.37269775541799993</v>
      </c>
      <c r="D175" s="6">
        <f t="shared" ca="1" si="30"/>
        <v>-1.0618658171400022</v>
      </c>
      <c r="E175" s="8">
        <f t="shared" ca="1" si="23"/>
        <v>6.104164855078206E-4</v>
      </c>
      <c r="F175" s="8">
        <f t="shared" ca="1" si="24"/>
        <v>9.5622314693577168E-3</v>
      </c>
      <c r="G175" s="8">
        <f t="shared" ca="1" si="25"/>
        <v>-9.2452346864459085E-3</v>
      </c>
      <c r="H175" s="10">
        <f t="shared" ca="1" si="26"/>
        <v>4018.4514326057997</v>
      </c>
      <c r="I175" s="10">
        <f t="shared" ca="1" si="27"/>
        <v>549.20185391933057</v>
      </c>
      <c r="J175" s="10">
        <f t="shared" ca="1" si="28"/>
        <v>2215.3276552411071</v>
      </c>
      <c r="K175" s="12">
        <f t="array" aca="1" ref="K175:L175" ca="1">Opt3Spd(H175:J175,$E$3:$G$3,$K$3:$M$3,$N$3:$P$3,$H$3,$I$3,$Q$3,$J$3)</f>
        <v>207.08732286428631</v>
      </c>
      <c r="L175" s="12">
        <f ca="1"/>
        <v>2.2684149968881684E-2</v>
      </c>
      <c r="M175" s="12">
        <f t="array" aca="1" ref="M175:N175" ca="1">Opt3Spd(H175:J175,$E$3:$G$3,$K$3:$M$3,$N$3:$P$3,$H$4,$I$3,$Q$3,$J$3)</f>
        <v>0.10986606129371879</v>
      </c>
      <c r="N175" s="12">
        <f ca="1"/>
        <v>193.0452273469763</v>
      </c>
      <c r="O175" s="12">
        <f t="shared" ca="1" si="29"/>
        <v>0.13255021126260047</v>
      </c>
    </row>
    <row r="176" spans="2:15" x14ac:dyDescent="0.15">
      <c r="B176" s="6">
        <f t="shared" ca="1" si="30"/>
        <v>-0.61415298738631363</v>
      </c>
      <c r="C176" s="6">
        <f t="shared" ca="1" si="30"/>
        <v>-0.78908501466683889</v>
      </c>
      <c r="D176" s="6">
        <f t="shared" ca="1" si="30"/>
        <v>1.1176872257160868</v>
      </c>
      <c r="E176" s="8">
        <f t="shared" ca="1" si="23"/>
        <v>-1.3983280357949367E-2</v>
      </c>
      <c r="F176" s="8">
        <f t="shared" ca="1" si="24"/>
        <v>-4.0920972839740041E-2</v>
      </c>
      <c r="G176" s="8">
        <f t="shared" ca="1" si="25"/>
        <v>-1.2946890046068103E-2</v>
      </c>
      <c r="H176" s="10">
        <f t="shared" ca="1" si="26"/>
        <v>3959.8431460824754</v>
      </c>
      <c r="I176" s="10">
        <f t="shared" ca="1" si="27"/>
        <v>521.73899077518138</v>
      </c>
      <c r="J176" s="10">
        <f t="shared" ca="1" si="28"/>
        <v>2207.0507538569918</v>
      </c>
      <c r="K176" s="12">
        <f t="array" aca="1" ref="K176:L176" ca="1">Opt3Spd(H176:J176,$E$3:$G$3,$K$3:$M$3,$N$3:$P$3,$H$3,$I$3,$Q$3,$J$3)</f>
        <v>196.57262938517579</v>
      </c>
      <c r="L176" s="12">
        <f ca="1"/>
        <v>3.7245471486585302E-2</v>
      </c>
      <c r="M176" s="12">
        <f t="array" aca="1" ref="M176:N176" ca="1">Opt3Spd(H176:J176,$E$3:$G$3,$K$3:$M$3,$N$3:$P$3,$H$4,$I$3,$Q$3,$J$3)</f>
        <v>6.7049813866470132E-2</v>
      </c>
      <c r="N176" s="12">
        <f ca="1"/>
        <v>203.53166590017727</v>
      </c>
      <c r="O176" s="12">
        <f t="shared" ca="1" si="29"/>
        <v>0.10429528535305543</v>
      </c>
    </row>
    <row r="177" spans="2:15" x14ac:dyDescent="0.15">
      <c r="B177" s="6">
        <f t="shared" ca="1" si="30"/>
        <v>0.56030706723220458</v>
      </c>
      <c r="C177" s="6">
        <f t="shared" ca="1" si="30"/>
        <v>0.37117088238310392</v>
      </c>
      <c r="D177" s="6">
        <f t="shared" ca="1" si="30"/>
        <v>5.5878734732025072E-2</v>
      </c>
      <c r="E177" s="8">
        <f t="shared" ca="1" si="23"/>
        <v>1.2757294955108613E-2</v>
      </c>
      <c r="F177" s="8">
        <f t="shared" ca="1" si="24"/>
        <v>2.9316420459711588E-2</v>
      </c>
      <c r="G177" s="8">
        <f t="shared" ca="1" si="25"/>
        <v>2.22575479355532E-2</v>
      </c>
      <c r="H177" s="10">
        <f t="shared" ca="1" si="26"/>
        <v>4067.2332965397163</v>
      </c>
      <c r="I177" s="10">
        <f t="shared" ca="1" si="27"/>
        <v>559.9481327300831</v>
      </c>
      <c r="J177" s="10">
        <f t="shared" ca="1" si="28"/>
        <v>2285.7678771838969</v>
      </c>
      <c r="K177" s="12">
        <f t="array" aca="1" ref="K177:L177" ca="1">Opt3Spd(H177:J177,$E$3:$G$3,$K$3:$M$3,$N$3:$P$3,$H$3,$I$3,$Q$3,$J$3)</f>
        <v>203.46202422462875</v>
      </c>
      <c r="L177" s="12">
        <f ca="1"/>
        <v>2.967864499373718E-2</v>
      </c>
      <c r="M177" s="12">
        <f t="array" aca="1" ref="M177:N177" ca="1">Opt3Spd(H177:J177,$E$3:$G$3,$K$3:$M$3,$N$3:$P$3,$H$4,$I$3,$Q$3,$J$3)</f>
        <v>9.9335144947886533E-2</v>
      </c>
      <c r="N177" s="12">
        <f ca="1"/>
        <v>196.66698956531286</v>
      </c>
      <c r="O177" s="12">
        <f t="shared" ca="1" si="29"/>
        <v>0.12901378994162371</v>
      </c>
    </row>
    <row r="178" spans="2:15" x14ac:dyDescent="0.15">
      <c r="B178" s="6">
        <f t="shared" ca="1" si="30"/>
        <v>0.45859306535167277</v>
      </c>
      <c r="C178" s="6">
        <f t="shared" ca="1" si="30"/>
        <v>-0.9198809545936617</v>
      </c>
      <c r="D178" s="6">
        <f t="shared" ca="1" si="30"/>
        <v>-0.84488836003004875</v>
      </c>
      <c r="E178" s="8">
        <f t="shared" ca="1" si="23"/>
        <v>1.0441429960822073E-2</v>
      </c>
      <c r="F178" s="8">
        <f t="shared" ca="1" si="24"/>
        <v>-4.1358510341895343E-3</v>
      </c>
      <c r="G178" s="8">
        <f t="shared" ca="1" si="25"/>
        <v>5.1769341709428087E-3</v>
      </c>
      <c r="H178" s="10">
        <f t="shared" ca="1" si="26"/>
        <v>4057.9327827226612</v>
      </c>
      <c r="I178" s="10">
        <f t="shared" ca="1" si="27"/>
        <v>541.75009703740091</v>
      </c>
      <c r="J178" s="10">
        <f t="shared" ca="1" si="28"/>
        <v>2247.5756248062285</v>
      </c>
      <c r="K178" s="12">
        <f t="array" aca="1" ref="K178:L178" ca="1">Opt3Spd(H178:J178,$E$3:$G$3,$K$3:$M$3,$N$3:$P$3,$H$3,$I$3,$Q$3,$J$3)</f>
        <v>242.34839694073025</v>
      </c>
      <c r="L178" s="12">
        <f ca="1"/>
        <v>3.581881025183975E-3</v>
      </c>
      <c r="M178" s="12">
        <f t="array" aca="1" ref="M178:N178" ca="1">Opt3Spd(H178:J178,$E$3:$G$3,$K$3:$M$3,$N$3:$P$3,$H$4,$I$3,$Q$3,$J$3)</f>
        <v>0.48033531675497443</v>
      </c>
      <c r="N178" s="12">
        <f ca="1"/>
        <v>158.1355202570499</v>
      </c>
      <c r="O178" s="12">
        <f t="shared" ca="1" si="29"/>
        <v>0.4839171977801584</v>
      </c>
    </row>
    <row r="179" spans="2:15" x14ac:dyDescent="0.15">
      <c r="B179" s="6">
        <f t="shared" ca="1" si="30"/>
        <v>-1.5898121447848008</v>
      </c>
      <c r="C179" s="6">
        <f t="shared" ca="1" si="30"/>
        <v>-0.1749189249707655</v>
      </c>
      <c r="D179" s="6">
        <f t="shared" ca="1" si="30"/>
        <v>-0.4860682394620387</v>
      </c>
      <c r="E179" s="8">
        <f t="shared" ca="1" si="23"/>
        <v>-3.6197477491084942E-2</v>
      </c>
      <c r="F179" s="8">
        <f t="shared" ca="1" si="24"/>
        <v>-6.299284694943949E-2</v>
      </c>
      <c r="G179" s="8">
        <f t="shared" ca="1" si="25"/>
        <v>-6.4093008751214486E-2</v>
      </c>
      <c r="H179" s="10">
        <f t="shared" ca="1" si="26"/>
        <v>3870.6309303958028</v>
      </c>
      <c r="I179" s="10">
        <f t="shared" ca="1" si="27"/>
        <v>509.73189125950489</v>
      </c>
      <c r="J179" s="10">
        <f t="shared" ca="1" si="28"/>
        <v>2092.6880324322842</v>
      </c>
      <c r="K179" s="12">
        <f t="array" aca="1" ref="K179:L179" ca="1">Opt3Spd(H179:J179,$E$3:$G$3,$K$3:$M$3,$N$3:$P$3,$H$3,$I$3,$Q$3,$J$3)</f>
        <v>183.77739602206316</v>
      </c>
      <c r="L179" s="12">
        <f ca="1"/>
        <v>6.150785761019506E-2</v>
      </c>
      <c r="M179" s="12">
        <f t="array" aca="1" ref="M179:N179" ca="1">Opt3Spd(H179:J179,$E$3:$G$3,$K$3:$M$3,$N$3:$P$3,$H$4,$I$3,$Q$3,$J$3)</f>
        <v>3.2412766930692616E-2</v>
      </c>
      <c r="N179" s="12">
        <f ca="1"/>
        <v>216.31652460247773</v>
      </c>
      <c r="O179" s="12">
        <f t="shared" ca="1" si="29"/>
        <v>9.3920624540887676E-2</v>
      </c>
    </row>
    <row r="180" spans="2:15" x14ac:dyDescent="0.15">
      <c r="B180" s="6">
        <f t="shared" ca="1" si="30"/>
        <v>-1.445835852915361</v>
      </c>
      <c r="C180" s="6">
        <f t="shared" ca="1" si="30"/>
        <v>0.25183133647025685</v>
      </c>
      <c r="D180" s="6">
        <f t="shared" ca="1" si="30"/>
        <v>-0.77225698073847293</v>
      </c>
      <c r="E180" s="8">
        <f t="shared" ca="1" si="23"/>
        <v>-3.2919367809202134E-2</v>
      </c>
      <c r="F180" s="8">
        <f t="shared" ca="1" si="24"/>
        <v>-4.7841912768422631E-2</v>
      </c>
      <c r="G180" s="8">
        <f t="shared" ca="1" si="25"/>
        <v>-6.061349456072522E-2</v>
      </c>
      <c r="H180" s="10">
        <f t="shared" ca="1" si="26"/>
        <v>3883.7958188782441</v>
      </c>
      <c r="I180" s="10">
        <f t="shared" ca="1" si="27"/>
        <v>517.97399945397808</v>
      </c>
      <c r="J180" s="10">
        <f t="shared" ca="1" si="28"/>
        <v>2100.4682261622183</v>
      </c>
      <c r="K180" s="12">
        <f t="array" aca="1" ref="K180:L180" ca="1">Opt3Spd(H180:J180,$E$3:$G$3,$K$3:$M$3,$N$3:$P$3,$H$3,$I$3,$Q$3,$J$3)</f>
        <v>179.87812215811937</v>
      </c>
      <c r="L180" s="12">
        <f ca="1"/>
        <v>7.4815487349496834E-2</v>
      </c>
      <c r="M180" s="12">
        <f t="array" aca="1" ref="M180:N180" ca="1">Opt3Spd(H180:J180,$E$3:$G$3,$K$3:$M$3,$N$3:$P$3,$H$4,$I$3,$Q$3,$J$3)</f>
        <v>2.6851101569984159E-2</v>
      </c>
      <c r="N180" s="12">
        <f ca="1"/>
        <v>220.2235444308001</v>
      </c>
      <c r="O180" s="12">
        <f t="shared" ca="1" si="29"/>
        <v>0.10166658891948099</v>
      </c>
    </row>
    <row r="181" spans="2:15" x14ac:dyDescent="0.15">
      <c r="B181" s="6">
        <f t="shared" ca="1" si="30"/>
        <v>-0.13030416927279348</v>
      </c>
      <c r="C181" s="6">
        <f t="shared" ca="1" si="30"/>
        <v>0.74826701433665033</v>
      </c>
      <c r="D181" s="6">
        <f t="shared" ca="1" si="30"/>
        <v>-1.9807276782486474</v>
      </c>
      <c r="E181" s="8">
        <f t="shared" ca="1" si="23"/>
        <v>-2.9668173373307073E-3</v>
      </c>
      <c r="F181" s="8">
        <f t="shared" ca="1" si="24"/>
        <v>1.2368094194666175E-2</v>
      </c>
      <c r="G181" s="8">
        <f t="shared" ca="1" si="25"/>
        <v>-2.3715765577119529E-2</v>
      </c>
      <c r="H181" s="10">
        <f t="shared" ca="1" si="26"/>
        <v>4004.0852615732797</v>
      </c>
      <c r="I181" s="10">
        <f t="shared" ca="1" si="27"/>
        <v>550.72824324189844</v>
      </c>
      <c r="J181" s="10">
        <f t="shared" ca="1" si="28"/>
        <v>2182.9715481695607</v>
      </c>
      <c r="K181" s="12">
        <f t="array" aca="1" ref="K181:L181" ca="1">Opt3Spd(H181:J181,$E$3:$G$3,$K$3:$M$3,$N$3:$P$3,$H$3,$I$3,$Q$3,$J$3)</f>
        <v>206.45691520263199</v>
      </c>
      <c r="L181" s="12">
        <f ca="1"/>
        <v>2.2616901170067649E-2</v>
      </c>
      <c r="M181" s="12">
        <f t="array" aca="1" ref="M181:N181" ca="1">Opt3Spd(H181:J181,$E$3:$G$3,$K$3:$M$3,$N$3:$P$3,$H$4,$I$3,$Q$3,$J$3)</f>
        <v>0.10413604133102972</v>
      </c>
      <c r="N181" s="12">
        <f ca="1"/>
        <v>193.66983773986911</v>
      </c>
      <c r="O181" s="12">
        <f t="shared" ca="1" si="29"/>
        <v>0.12675294250109737</v>
      </c>
    </row>
    <row r="182" spans="2:15" x14ac:dyDescent="0.15">
      <c r="B182" s="6">
        <f t="shared" ca="1" si="30"/>
        <v>-0.51431832241482156</v>
      </c>
      <c r="C182" s="6">
        <f t="shared" ca="1" si="30"/>
        <v>-0.40578294330044834</v>
      </c>
      <c r="D182" s="6">
        <f t="shared" ca="1" si="30"/>
        <v>-0.36683198360995933</v>
      </c>
      <c r="E182" s="8">
        <f t="shared" ca="1" si="23"/>
        <v>-1.171020485655121E-2</v>
      </c>
      <c r="F182" s="8">
        <f t="shared" ca="1" si="24"/>
        <v>-2.8406215436984066E-2</v>
      </c>
      <c r="G182" s="8">
        <f t="shared" ca="1" si="25"/>
        <v>-2.3981075913189064E-2</v>
      </c>
      <c r="H182" s="10">
        <f t="shared" ca="1" si="26"/>
        <v>3968.9718172960906</v>
      </c>
      <c r="I182" s="10">
        <f t="shared" ca="1" si="27"/>
        <v>528.54701880228072</v>
      </c>
      <c r="J182" s="10">
        <f t="shared" ca="1" si="28"/>
        <v>2182.3783142581092</v>
      </c>
      <c r="K182" s="12">
        <f t="array" aca="1" ref="K182:L182" ca="1">Opt3Spd(H182:J182,$E$3:$G$3,$K$3:$M$3,$N$3:$P$3,$H$3,$I$3,$Q$3,$J$3)</f>
        <v>207.12891036057658</v>
      </c>
      <c r="L182" s="12">
        <f ca="1"/>
        <v>2.1480277189766639E-2</v>
      </c>
      <c r="M182" s="12">
        <f t="array" aca="1" ref="M182:N182" ca="1">Opt3Spd(H182:J182,$E$3:$G$3,$K$3:$M$3,$N$3:$P$3,$H$4,$I$3,$Q$3,$J$3)</f>
        <v>0.10663014303404061</v>
      </c>
      <c r="N182" s="12">
        <f ca="1"/>
        <v>192.99920005964722</v>
      </c>
      <c r="O182" s="12">
        <f t="shared" ca="1" si="29"/>
        <v>0.12811042022380725</v>
      </c>
    </row>
    <row r="183" spans="2:15" x14ac:dyDescent="0.15">
      <c r="B183" s="6">
        <f t="shared" ca="1" si="30"/>
        <v>2.053411893025034</v>
      </c>
      <c r="C183" s="6">
        <f t="shared" ca="1" si="30"/>
        <v>-0.6254283761788485</v>
      </c>
      <c r="D183" s="6">
        <f t="shared" ca="1" si="30"/>
        <v>-1.9395998016282414</v>
      </c>
      <c r="E183" s="8">
        <f t="shared" ca="1" si="23"/>
        <v>4.6752901606347319E-2</v>
      </c>
      <c r="F183" s="8">
        <f t="shared" ca="1" si="24"/>
        <v>6.1790610440226254E-2</v>
      </c>
      <c r="G183" s="8">
        <f t="shared" ca="1" si="25"/>
        <v>5.2960751125085845E-2</v>
      </c>
      <c r="H183" s="10">
        <f t="shared" ca="1" si="26"/>
        <v>4203.7596528510903</v>
      </c>
      <c r="I183" s="10">
        <f t="shared" ca="1" si="27"/>
        <v>577.61409207948304</v>
      </c>
      <c r="J183" s="10">
        <f t="shared" ca="1" si="28"/>
        <v>2354.4202395156917</v>
      </c>
      <c r="K183" s="12">
        <f t="array" aca="1" ref="K183:L183" ca="1">Opt3Spd(H183:J183,$E$3:$G$3,$K$3:$M$3,$N$3:$P$3,$H$3,$I$3,$Q$3,$J$3)</f>
        <v>277.36756361023799</v>
      </c>
      <c r="L183" s="12">
        <f ca="1"/>
        <v>5.7784416640060954E-4</v>
      </c>
      <c r="M183" s="12">
        <f t="array" aca="1" ref="M183:N183" ca="1">Opt3Spd(H183:J183,$E$3:$G$3,$K$3:$M$3,$N$3:$P$3,$H$4,$I$3,$Q$3,$J$3)</f>
        <v>1.7303000726598441</v>
      </c>
      <c r="N183" s="12">
        <f ca="1"/>
        <v>124.36331430658825</v>
      </c>
      <c r="O183" s="12">
        <f t="shared" ca="1" si="29"/>
        <v>1.7308779168262447</v>
      </c>
    </row>
    <row r="184" spans="2:15" x14ac:dyDescent="0.15">
      <c r="B184" s="6">
        <f t="shared" ca="1" si="30"/>
        <v>-0.66956310004406538</v>
      </c>
      <c r="C184" s="6">
        <f t="shared" ca="1" si="30"/>
        <v>-2.710546774839655</v>
      </c>
      <c r="D184" s="6">
        <f t="shared" ca="1" si="30"/>
        <v>-2.2037741979693375</v>
      </c>
      <c r="E184" s="8">
        <f t="shared" ca="1" si="23"/>
        <v>-1.5244879920065523E-2</v>
      </c>
      <c r="F184" s="8">
        <f t="shared" ca="1" si="24"/>
        <v>-8.7147846939787346E-2</v>
      </c>
      <c r="G184" s="8">
        <f t="shared" ca="1" si="25"/>
        <v>-5.5944224195016573E-2</v>
      </c>
      <c r="H184" s="10">
        <f t="shared" ca="1" si="26"/>
        <v>3954.776562241017</v>
      </c>
      <c r="I184" s="10">
        <f t="shared" ca="1" si="27"/>
        <v>496.59157126475566</v>
      </c>
      <c r="J184" s="10">
        <f t="shared" ca="1" si="28"/>
        <v>2110.9087146999432</v>
      </c>
      <c r="K184" s="12">
        <f t="array" aca="1" ref="K184:L184" ca="1">Opt3Spd(H184:J184,$E$3:$G$3,$K$3:$M$3,$N$3:$P$3,$H$3,$I$3,$Q$3,$J$3)</f>
        <v>279.77599012930114</v>
      </c>
      <c r="L184" s="12">
        <f ca="1"/>
        <v>2.9926186471129768E-4</v>
      </c>
      <c r="M184" s="12">
        <f t="array" aca="1" ref="M184:N184" ca="1">Opt3Spd(H184:J184,$E$3:$G$3,$K$3:$M$3,$N$3:$P$3,$H$4,$I$3,$Q$3,$J$3)</f>
        <v>1.6863962519850162</v>
      </c>
      <c r="N184" s="12">
        <f ca="1"/>
        <v>121.91070538454859</v>
      </c>
      <c r="O184" s="12">
        <f t="shared" ca="1" si="29"/>
        <v>1.6866955138497275</v>
      </c>
    </row>
    <row r="185" spans="2:15" x14ac:dyDescent="0.15">
      <c r="B185" s="6">
        <f t="shared" ca="1" si="30"/>
        <v>1.3468448856245887</v>
      </c>
      <c r="C185" s="6">
        <f t="shared" ca="1" si="30"/>
        <v>1.5864462717284067</v>
      </c>
      <c r="D185" s="6">
        <f t="shared" ca="1" si="30"/>
        <v>0.13002869004095818</v>
      </c>
      <c r="E185" s="8">
        <f t="shared" ca="1" si="23"/>
        <v>3.0665501953363247E-2</v>
      </c>
      <c r="F185" s="8">
        <f t="shared" ca="1" si="24"/>
        <v>8.6429229153334453E-2</v>
      </c>
      <c r="G185" s="8">
        <f t="shared" ca="1" si="25"/>
        <v>5.5471500887988703E-2</v>
      </c>
      <c r="H185" s="10">
        <f t="shared" ca="1" si="26"/>
        <v>4139.1526558447067</v>
      </c>
      <c r="I185" s="10">
        <f t="shared" ca="1" si="27"/>
        <v>591.01750065941394</v>
      </c>
      <c r="J185" s="10">
        <f t="shared" ca="1" si="28"/>
        <v>2360.0342759855425</v>
      </c>
      <c r="K185" s="12">
        <f t="array" aca="1" ref="K185:L185" ca="1">Opt3Spd(H185:J185,$E$3:$G$3,$K$3:$M$3,$N$3:$P$3,$H$3,$I$3,$Q$3,$J$3)</f>
        <v>188.57503820241027</v>
      </c>
      <c r="L185" s="12">
        <f ca="1"/>
        <v>6.7521405537036117E-2</v>
      </c>
      <c r="M185" s="12">
        <f t="array" aca="1" ref="M185:N185" ca="1">Opt3Spd(H185:J185,$E$3:$G$3,$K$3:$M$3,$N$3:$P$3,$H$4,$I$3,$Q$3,$J$3)</f>
        <v>5.46339278120751E-2</v>
      </c>
      <c r="N185" s="12">
        <f ca="1"/>
        <v>211.54711713093883</v>
      </c>
      <c r="O185" s="12">
        <f t="shared" ca="1" si="29"/>
        <v>0.12215533334911122</v>
      </c>
    </row>
    <row r="186" spans="2:15" x14ac:dyDescent="0.15">
      <c r="B186" s="6">
        <f t="shared" ca="1" si="30"/>
        <v>-3.0336908149015331E-2</v>
      </c>
      <c r="C186" s="6">
        <f t="shared" ca="1" si="30"/>
        <v>-9.4480379271203799E-2</v>
      </c>
      <c r="D186" s="6">
        <f t="shared" ca="1" si="30"/>
        <v>-0.59890914174088805</v>
      </c>
      <c r="E186" s="8">
        <f t="shared" ca="1" si="23"/>
        <v>-6.9072283381112101E-4</v>
      </c>
      <c r="F186" s="8">
        <f t="shared" ca="1" si="24"/>
        <v>-3.2972645438596963E-3</v>
      </c>
      <c r="G186" s="8">
        <f t="shared" ca="1" si="25"/>
        <v>-7.7690141159257502E-3</v>
      </c>
      <c r="H186" s="10">
        <f t="shared" ca="1" si="26"/>
        <v>4013.2260570994144</v>
      </c>
      <c r="I186" s="10">
        <f t="shared" ca="1" si="27"/>
        <v>542.20628808814035</v>
      </c>
      <c r="J186" s="10">
        <f t="shared" ca="1" si="28"/>
        <v>2218.6284844367901</v>
      </c>
      <c r="K186" s="12">
        <f t="array" aca="1" ref="K186:L186" ca="1">Opt3Spd(H186:J186,$E$3:$G$3,$K$3:$M$3,$N$3:$P$3,$H$3,$I$3,$Q$3,$J$3)</f>
        <v>211.39992575660722</v>
      </c>
      <c r="L186" s="12">
        <f ca="1"/>
        <v>1.8171816612493785E-2</v>
      </c>
      <c r="M186" s="12">
        <f t="array" aca="1" ref="M186:N186" ca="1">Opt3Spd(H186:J186,$E$3:$G$3,$K$3:$M$3,$N$3:$P$3,$H$4,$I$3,$Q$3,$J$3)</f>
        <v>0.13296356889628846</v>
      </c>
      <c r="N186" s="12">
        <f ca="1"/>
        <v>188.75120962890156</v>
      </c>
      <c r="O186" s="12">
        <f t="shared" ca="1" si="29"/>
        <v>0.15113538550878225</v>
      </c>
    </row>
    <row r="187" spans="2:15" x14ac:dyDescent="0.15">
      <c r="B187" s="6">
        <f t="shared" ca="1" si="30"/>
        <v>-0.66159306527018569</v>
      </c>
      <c r="C187" s="6">
        <f t="shared" ca="1" si="30"/>
        <v>-0.93635817365858054</v>
      </c>
      <c r="D187" s="6">
        <f t="shared" ca="1" si="30"/>
        <v>-0.34806848340329322</v>
      </c>
      <c r="E187" s="8">
        <f t="shared" ca="1" si="23"/>
        <v>-1.5063414987068847E-2</v>
      </c>
      <c r="F187" s="8">
        <f t="shared" ca="1" si="24"/>
        <v>-4.6066280764873346E-2</v>
      </c>
      <c r="G187" s="8">
        <f t="shared" ca="1" si="25"/>
        <v>-3.0732066326533993E-2</v>
      </c>
      <c r="H187" s="10">
        <f t="shared" ca="1" si="26"/>
        <v>3955.5053254119316</v>
      </c>
      <c r="I187" s="10">
        <f t="shared" ca="1" si="27"/>
        <v>518.93994326390896</v>
      </c>
      <c r="J187" s="10">
        <f t="shared" ca="1" si="28"/>
        <v>2167.2830996938701</v>
      </c>
      <c r="K187" s="12">
        <f t="array" aca="1" ref="K187:L187" ca="1">Opt3Spd(H187:J187,$E$3:$G$3,$K$3:$M$3,$N$3:$P$3,$H$3,$I$3,$Q$3,$J$3)</f>
        <v>216.5727391037185</v>
      </c>
      <c r="L187" s="12">
        <f ca="1"/>
        <v>1.2872760976279096E-2</v>
      </c>
      <c r="M187" s="12">
        <f t="array" aca="1" ref="M187:N187" ca="1">Opt3Spd(H187:J187,$E$3:$G$3,$K$3:$M$3,$N$3:$P$3,$H$4,$I$3,$Q$3,$J$3)</f>
        <v>0.1595245373531462</v>
      </c>
      <c r="N187" s="12">
        <f ca="1"/>
        <v>183.59965819461092</v>
      </c>
      <c r="O187" s="12">
        <f t="shared" ca="1" si="29"/>
        <v>0.1723972983294253</v>
      </c>
    </row>
    <row r="188" spans="2:15" x14ac:dyDescent="0.15">
      <c r="B188" s="6">
        <f t="shared" ca="1" si="30"/>
        <v>-1.531649449690653</v>
      </c>
      <c r="C188" s="6">
        <f t="shared" ca="1" si="30"/>
        <v>-1.4643143633143534</v>
      </c>
      <c r="D188" s="6">
        <f t="shared" ca="1" si="30"/>
        <v>-0.71817871709876613</v>
      </c>
      <c r="E188" s="8">
        <f t="shared" ca="1" si="23"/>
        <v>-3.4873206033354795E-2</v>
      </c>
      <c r="F188" s="8">
        <f t="shared" ca="1" si="24"/>
        <v>-9.0476651358382482E-2</v>
      </c>
      <c r="G188" s="8">
        <f t="shared" ca="1" si="25"/>
        <v>-6.8171968884366094E-2</v>
      </c>
      <c r="H188" s="10">
        <f t="shared" ca="1" si="26"/>
        <v>3875.9492045700472</v>
      </c>
      <c r="I188" s="10">
        <f t="shared" ca="1" si="27"/>
        <v>494.78070166103993</v>
      </c>
      <c r="J188" s="10">
        <f t="shared" ca="1" si="28"/>
        <v>2083.5674775745574</v>
      </c>
      <c r="K188" s="12">
        <f t="array" aca="1" ref="K188:L188" ca="1">Opt3Spd(H188:J188,$E$3:$G$3,$K$3:$M$3,$N$3:$P$3,$H$3,$I$3,$Q$3,$J$3)</f>
        <v>217.52731010053753</v>
      </c>
      <c r="L188" s="12">
        <f ca="1"/>
        <v>1.0966975433120751E-2</v>
      </c>
      <c r="M188" s="12">
        <f t="array" aca="1" ref="M188:N188" ca="1">Opt3Spd(H188:J188,$E$3:$G$3,$K$3:$M$3,$N$3:$P$3,$H$4,$I$3,$Q$3,$J$3)</f>
        <v>0.15637387761642962</v>
      </c>
      <c r="N188" s="12">
        <f ca="1"/>
        <v>182.64003075251202</v>
      </c>
      <c r="O188" s="12">
        <f t="shared" ca="1" si="29"/>
        <v>0.16734085304955038</v>
      </c>
    </row>
    <row r="189" spans="2:15" x14ac:dyDescent="0.15">
      <c r="B189" s="6">
        <f t="shared" ca="1" si="30"/>
        <v>-0.2696300414695782</v>
      </c>
      <c r="C189" s="6">
        <f t="shared" ca="1" si="30"/>
        <v>0.33835798290582708</v>
      </c>
      <c r="D189" s="6">
        <f t="shared" ca="1" si="30"/>
        <v>0.66863525022619286</v>
      </c>
      <c r="E189" s="8">
        <f t="shared" ca="1" si="23"/>
        <v>-6.13904440787655E-3</v>
      </c>
      <c r="F189" s="8">
        <f t="shared" ca="1" si="24"/>
        <v>-2.2231849977341661E-3</v>
      </c>
      <c r="G189" s="8">
        <f t="shared" ca="1" si="25"/>
        <v>-1.8005181914660287E-3</v>
      </c>
      <c r="H189" s="10">
        <f t="shared" ca="1" si="26"/>
        <v>3991.3455976579676</v>
      </c>
      <c r="I189" s="10">
        <f t="shared" ca="1" si="27"/>
        <v>542.79058736123261</v>
      </c>
      <c r="J189" s="10">
        <f t="shared" ca="1" si="28"/>
        <v>2231.9740413238819</v>
      </c>
      <c r="K189" s="12">
        <f t="array" aca="1" ref="K189:L189" ca="1">Opt3Spd(H189:J189,$E$3:$G$3,$K$3:$M$3,$N$3:$P$3,$H$3,$I$3,$Q$3,$J$3)</f>
        <v>181.97130991219319</v>
      </c>
      <c r="L189" s="12">
        <f ca="1"/>
        <v>7.7672694138755105E-2</v>
      </c>
      <c r="M189" s="12">
        <f t="array" aca="1" ref="M189:N189" ca="1">Opt3Spd(H189:J189,$E$3:$G$3,$K$3:$M$3,$N$3:$P$3,$H$4,$I$3,$Q$3,$J$3)</f>
        <v>3.4244382778969573E-2</v>
      </c>
      <c r="N189" s="12">
        <f ca="1"/>
        <v>218.14060716472454</v>
      </c>
      <c r="O189" s="12">
        <f t="shared" ca="1" si="29"/>
        <v>0.11191707691772468</v>
      </c>
    </row>
    <row r="190" spans="2:15" x14ac:dyDescent="0.15">
      <c r="B190" s="6">
        <f t="shared" ca="1" si="30"/>
        <v>0.90472314497741368</v>
      </c>
      <c r="C190" s="6">
        <f t="shared" ca="1" si="30"/>
        <v>-0.37134245037634095</v>
      </c>
      <c r="D190" s="6">
        <f t="shared" ca="1" si="30"/>
        <v>-0.66640510488244864</v>
      </c>
      <c r="E190" s="8">
        <f t="shared" ca="1" si="23"/>
        <v>2.0599097687995341E-2</v>
      </c>
      <c r="F190" s="8">
        <f t="shared" ca="1" si="24"/>
        <v>2.5022758464359588E-2</v>
      </c>
      <c r="G190" s="8">
        <f t="shared" ca="1" si="25"/>
        <v>2.5060810924840478E-2</v>
      </c>
      <c r="H190" s="10">
        <f t="shared" ca="1" si="26"/>
        <v>4098.7259763149887</v>
      </c>
      <c r="I190" s="10">
        <f t="shared" ca="1" si="27"/>
        <v>557.61238060461164</v>
      </c>
      <c r="J190" s="10">
        <f t="shared" ca="1" si="28"/>
        <v>2292.0359732279435</v>
      </c>
      <c r="K190" s="12">
        <f t="array" aca="1" ref="K190:L190" ca="1">Opt3Spd(H190:J190,$E$3:$G$3,$K$3:$M$3,$N$3:$P$3,$H$3,$I$3,$Q$3,$J$3)</f>
        <v>235.53382275640934</v>
      </c>
      <c r="L190" s="12">
        <f ca="1"/>
        <v>5.6420227706439618E-3</v>
      </c>
      <c r="M190" s="12">
        <f t="array" aca="1" ref="M190:N190" ca="1">Opt3Spd(H190:J190,$E$3:$G$3,$K$3:$M$3,$N$3:$P$3,$H$4,$I$3,$Q$3,$J$3)</f>
        <v>0.38069425964469872</v>
      </c>
      <c r="N190" s="12">
        <f ca="1"/>
        <v>164.85251352600602</v>
      </c>
      <c r="O190" s="12">
        <f t="shared" ca="1" si="29"/>
        <v>0.38633628241534268</v>
      </c>
    </row>
    <row r="191" spans="2:15" x14ac:dyDescent="0.15">
      <c r="B191" s="6">
        <f t="shared" ca="1" si="30"/>
        <v>-0.39410490125713887</v>
      </c>
      <c r="C191" s="6">
        <f t="shared" ca="1" si="30"/>
        <v>-0.27115048350976395</v>
      </c>
      <c r="D191" s="6">
        <f t="shared" ca="1" si="30"/>
        <v>-1.0555519553947654</v>
      </c>
      <c r="E191" s="8">
        <f t="shared" ca="1" si="23"/>
        <v>-8.9731377000598703E-3</v>
      </c>
      <c r="F191" s="8">
        <f t="shared" ca="1" si="24"/>
        <v>-2.0852078946564087E-2</v>
      </c>
      <c r="G191" s="8">
        <f t="shared" ca="1" si="25"/>
        <v>-2.6510767511467748E-2</v>
      </c>
      <c r="H191" s="10">
        <f t="shared" ca="1" si="26"/>
        <v>3979.9638789965593</v>
      </c>
      <c r="I191" s="10">
        <f t="shared" ca="1" si="27"/>
        <v>532.65646905306915</v>
      </c>
      <c r="J191" s="10">
        <f t="shared" ca="1" si="28"/>
        <v>2176.7219238443581</v>
      </c>
      <c r="K191" s="12">
        <f t="array" aca="1" ref="K191:L191" ca="1">Opt3Spd(H191:J191,$E$3:$G$3,$K$3:$M$3,$N$3:$P$3,$H$3,$I$3,$Q$3,$J$3)</f>
        <v>214.36730230205103</v>
      </c>
      <c r="L191" s="12">
        <f ca="1"/>
        <v>1.4735712581341431E-2</v>
      </c>
      <c r="M191" s="12">
        <f t="array" aca="1" ref="M191:N191" ca="1">Opt3Spd(H191:J191,$E$3:$G$3,$K$3:$M$3,$N$3:$P$3,$H$4,$I$3,$Q$3,$J$3)</f>
        <v>0.14628100752591067</v>
      </c>
      <c r="N191" s="12">
        <f ca="1"/>
        <v>185.79371441805623</v>
      </c>
      <c r="O191" s="12">
        <f t="shared" ca="1" si="29"/>
        <v>0.1610167201072521</v>
      </c>
    </row>
    <row r="192" spans="2:15" x14ac:dyDescent="0.15">
      <c r="B192" s="6">
        <f t="shared" ca="1" si="30"/>
        <v>0.98770943088071694</v>
      </c>
      <c r="C192" s="6">
        <f t="shared" ca="1" si="30"/>
        <v>0.59144002292197329</v>
      </c>
      <c r="D192" s="6">
        <f t="shared" ca="1" si="30"/>
        <v>0.71043335187033119</v>
      </c>
      <c r="E192" s="8">
        <f t="shared" ca="1" si="23"/>
        <v>2.2488562569684352E-2</v>
      </c>
      <c r="F192" s="8">
        <f t="shared" ca="1" si="24"/>
        <v>5.023393378547842E-2</v>
      </c>
      <c r="G192" s="8">
        <f t="shared" ca="1" si="25"/>
        <v>4.5572056559104457E-2</v>
      </c>
      <c r="H192" s="10">
        <f t="shared" ca="1" si="26"/>
        <v>4106.3140672798527</v>
      </c>
      <c r="I192" s="10">
        <f t="shared" ca="1" si="27"/>
        <v>571.32725997930027</v>
      </c>
      <c r="J192" s="10">
        <f t="shared" ca="1" si="28"/>
        <v>2337.8991184661577</v>
      </c>
      <c r="K192" s="12">
        <f t="array" aca="1" ref="K192:L192" ca="1">Opt3Spd(H192:J192,$E$3:$G$3,$K$3:$M$3,$N$3:$P$3,$H$3,$I$3,$Q$3,$J$3)</f>
        <v>198.28173929413674</v>
      </c>
      <c r="L192" s="12">
        <f ca="1"/>
        <v>4.0847214243513008E-2</v>
      </c>
      <c r="M192" s="12">
        <f t="array" aca="1" ref="M192:N192" ca="1">Opt3Spd(H192:J192,$E$3:$G$3,$K$3:$M$3,$N$3:$P$3,$H$4,$I$3,$Q$3,$J$3)</f>
        <v>8.2646660173406161E-2</v>
      </c>
      <c r="N192" s="12">
        <f ca="1"/>
        <v>201.84175458028017</v>
      </c>
      <c r="O192" s="12">
        <f t="shared" ca="1" si="29"/>
        <v>0.12349387441691917</v>
      </c>
    </row>
    <row r="193" spans="2:15" x14ac:dyDescent="0.15">
      <c r="B193" s="6">
        <f t="shared" ca="1" si="30"/>
        <v>-4.2928560012138531E-2</v>
      </c>
      <c r="C193" s="6">
        <f t="shared" ca="1" si="30"/>
        <v>2.5008543406437087</v>
      </c>
      <c r="D193" s="6">
        <f t="shared" ca="1" si="30"/>
        <v>-0.5955920819617837</v>
      </c>
      <c r="E193" s="8">
        <f t="shared" ca="1" si="23"/>
        <v>-9.7741458942899977E-4</v>
      </c>
      <c r="F193" s="8">
        <f t="shared" ca="1" si="24"/>
        <v>5.5898511547723052E-2</v>
      </c>
      <c r="G193" s="8">
        <f t="shared" ca="1" si="25"/>
        <v>-6.6209296339996601E-4</v>
      </c>
      <c r="H193" s="10">
        <f t="shared" ca="1" si="26"/>
        <v>4012.0747030088532</v>
      </c>
      <c r="I193" s="10">
        <f t="shared" ca="1" si="27"/>
        <v>574.40879028196139</v>
      </c>
      <c r="J193" s="10">
        <f t="shared" ca="1" si="28"/>
        <v>2234.5195601338378</v>
      </c>
      <c r="K193" s="12">
        <f t="array" aca="1" ref="K193:L193" ca="1">Opt3Spd(H193:J193,$E$3:$G$3,$K$3:$M$3,$N$3:$P$3,$H$3,$I$3,$Q$3,$J$3)</f>
        <v>151.07174221366176</v>
      </c>
      <c r="L193" s="12">
        <f ca="1"/>
        <v>0.31088372286581034</v>
      </c>
      <c r="M193" s="12">
        <f t="array" aca="1" ref="M193:N193" ca="1">Opt3Spd(H193:J193,$E$3:$G$3,$K$3:$M$3,$N$3:$P$3,$H$4,$I$3,$Q$3,$J$3)</f>
        <v>6.9318814700642939E-3</v>
      </c>
      <c r="N193" s="12">
        <f ca="1"/>
        <v>249.2460733906741</v>
      </c>
      <c r="O193" s="12">
        <f t="shared" ca="1" si="29"/>
        <v>0.31781560433587464</v>
      </c>
    </row>
    <row r="194" spans="2:15" x14ac:dyDescent="0.15">
      <c r="B194" s="6">
        <f t="shared" ca="1" si="30"/>
        <v>-7.9627573949150113E-2</v>
      </c>
      <c r="C194" s="6">
        <f t="shared" ca="1" si="30"/>
        <v>1.4957035301971833</v>
      </c>
      <c r="D194" s="6">
        <f t="shared" ca="1" si="30"/>
        <v>-0.66461177534178606</v>
      </c>
      <c r="E194" s="8">
        <f t="shared" ca="1" si="23"/>
        <v>-1.8129923872761819E-3</v>
      </c>
      <c r="F194" s="8">
        <f t="shared" ca="1" si="24"/>
        <v>3.1430309537368112E-2</v>
      </c>
      <c r="G194" s="8">
        <f t="shared" ca="1" si="25"/>
        <v>-5.663549146348805E-3</v>
      </c>
      <c r="H194" s="10">
        <f t="shared" ca="1" si="26"/>
        <v>4008.719022572699</v>
      </c>
      <c r="I194" s="10">
        <f t="shared" ca="1" si="27"/>
        <v>561.09808838832816</v>
      </c>
      <c r="J194" s="10">
        <f t="shared" ca="1" si="28"/>
        <v>2223.3363041087641</v>
      </c>
      <c r="K194" s="12">
        <f t="array" aca="1" ref="K194:L194" ca="1">Opt3Spd(H194:J194,$E$3:$G$3,$K$3:$M$3,$N$3:$P$3,$H$3,$I$3,$Q$3,$J$3)</f>
        <v>174.40453984187616</v>
      </c>
      <c r="L194" s="12">
        <f ca="1"/>
        <v>0.1106107448840703</v>
      </c>
      <c r="M194" s="12">
        <f t="array" aca="1" ref="M194:N194" ca="1">Opt3Spd(H194:J194,$E$3:$G$3,$K$3:$M$3,$N$3:$P$3,$H$4,$I$3,$Q$3,$J$3)</f>
        <v>2.3464230658437835E-2</v>
      </c>
      <c r="N194" s="12">
        <f ca="1"/>
        <v>225.72953513366636</v>
      </c>
      <c r="O194" s="12">
        <f t="shared" ca="1" si="29"/>
        <v>0.13407497554250813</v>
      </c>
    </row>
    <row r="195" spans="2:15" x14ac:dyDescent="0.15">
      <c r="B195" s="6">
        <f t="shared" ca="1" si="30"/>
        <v>1.7292947869246746</v>
      </c>
      <c r="C195" s="6">
        <f t="shared" ca="1" si="30"/>
        <v>0.37350048853162082</v>
      </c>
      <c r="D195" s="6">
        <f t="shared" ca="1" si="30"/>
        <v>-1.249229576002171</v>
      </c>
      <c r="E195" s="8">
        <f t="shared" ca="1" si="23"/>
        <v>3.9373273962270264E-2</v>
      </c>
      <c r="F195" s="8">
        <f t="shared" ca="1" si="24"/>
        <v>7.2731840403123318E-2</v>
      </c>
      <c r="G195" s="8">
        <f t="shared" ca="1" si="25"/>
        <v>5.1307628703788792E-2</v>
      </c>
      <c r="H195" s="10">
        <f t="shared" ca="1" si="26"/>
        <v>4174.1230682324776</v>
      </c>
      <c r="I195" s="10">
        <f t="shared" ca="1" si="27"/>
        <v>583.5661211792991</v>
      </c>
      <c r="J195" s="10">
        <f t="shared" ca="1" si="28"/>
        <v>2350.7238577816715</v>
      </c>
      <c r="K195" s="12">
        <f t="array" aca="1" ref="K195:L195" ca="1">Opt3Spd(H195:J195,$E$3:$G$3,$K$3:$M$3,$N$3:$P$3,$H$3,$I$3,$Q$3,$J$3)</f>
        <v>240.06028905009725</v>
      </c>
      <c r="L195" s="12">
        <f ca="1"/>
        <v>4.9435953337706451E-3</v>
      </c>
      <c r="M195" s="12">
        <f t="array" aca="1" ref="M195:N195" ca="1">Opt3Spd(H195:J195,$E$3:$G$3,$K$3:$M$3,$N$3:$P$3,$H$4,$I$3,$Q$3,$J$3)</f>
        <v>0.47323236644123767</v>
      </c>
      <c r="N195" s="12">
        <f ca="1"/>
        <v>160.41788691167775</v>
      </c>
      <c r="O195" s="12">
        <f t="shared" ca="1" si="29"/>
        <v>0.47817596177500832</v>
      </c>
    </row>
    <row r="196" spans="2:15" x14ac:dyDescent="0.15">
      <c r="B196" s="6">
        <f t="shared" ca="1" si="30"/>
        <v>0.65612219018471252</v>
      </c>
      <c r="C196" s="6">
        <f t="shared" ca="1" si="30"/>
        <v>0.71134246006477975</v>
      </c>
      <c r="D196" s="6">
        <f t="shared" ca="1" si="30"/>
        <v>0.33350889802630868</v>
      </c>
      <c r="E196" s="8">
        <f t="shared" ca="1" si="23"/>
        <v>1.4938851919405428E-2</v>
      </c>
      <c r="F196" s="8">
        <f t="shared" ca="1" si="24"/>
        <v>4.0690573682431105E-2</v>
      </c>
      <c r="G196" s="8">
        <f t="shared" ca="1" si="25"/>
        <v>2.9722757151185646E-2</v>
      </c>
      <c r="H196" s="10">
        <f t="shared" ca="1" si="26"/>
        <v>4075.9944293083317</v>
      </c>
      <c r="I196" s="10">
        <f t="shared" ca="1" si="27"/>
        <v>566.13567208324253</v>
      </c>
      <c r="J196" s="10">
        <f t="shared" ca="1" si="28"/>
        <v>2302.4600849900507</v>
      </c>
      <c r="K196" s="12">
        <f t="array" aca="1" ref="K196:L196" ca="1">Opt3Spd(H196:J196,$E$3:$G$3,$K$3:$M$3,$N$3:$P$3,$H$3,$I$3,$Q$3,$J$3)</f>
        <v>193.99543199822619</v>
      </c>
      <c r="L196" s="12">
        <f ca="1"/>
        <v>4.8120518107680255E-2</v>
      </c>
      <c r="M196" s="12">
        <f t="array" aca="1" ref="M196:N196" ca="1">Opt3Spd(H196:J196,$E$3:$G$3,$K$3:$M$3,$N$3:$P$3,$H$4,$I$3,$Q$3,$J$3)</f>
        <v>6.5695438952972474E-2</v>
      </c>
      <c r="N196" s="12">
        <f ca="1"/>
        <v>206.11838395883447</v>
      </c>
      <c r="O196" s="12">
        <f t="shared" ca="1" si="29"/>
        <v>0.11381595706065273</v>
      </c>
    </row>
    <row r="197" spans="2:15" x14ac:dyDescent="0.15">
      <c r="B197" s="6">
        <f t="shared" ca="1" si="30"/>
        <v>-0.60623195654435724</v>
      </c>
      <c r="C197" s="6">
        <f t="shared" ca="1" si="30"/>
        <v>-0.708512927500631</v>
      </c>
      <c r="D197" s="6">
        <f t="shared" ca="1" si="30"/>
        <v>-1.0976380768137257</v>
      </c>
      <c r="E197" s="8">
        <f t="shared" ca="1" si="23"/>
        <v>-1.3802931166034798E-2</v>
      </c>
      <c r="F197" s="8">
        <f t="shared" ca="1" si="24"/>
        <v>-3.8774922753852831E-2</v>
      </c>
      <c r="G197" s="8">
        <f t="shared" ca="1" si="25"/>
        <v>-3.6021966741959413E-2</v>
      </c>
      <c r="H197" s="10">
        <f t="shared" ca="1" si="26"/>
        <v>3960.5674284372044</v>
      </c>
      <c r="I197" s="10">
        <f t="shared" ca="1" si="27"/>
        <v>522.90644202190401</v>
      </c>
      <c r="J197" s="10">
        <f t="shared" ca="1" si="28"/>
        <v>2155.4548823649789</v>
      </c>
      <c r="K197" s="12">
        <f t="array" aca="1" ref="K197:L197" ca="1">Opt3Spd(H197:J197,$E$3:$G$3,$K$3:$M$3,$N$3:$P$3,$H$3,$I$3,$Q$3,$J$3)</f>
        <v>221.19962915938004</v>
      </c>
      <c r="L197" s="12">
        <f ca="1"/>
        <v>9.9491397115798463E-3</v>
      </c>
      <c r="M197" s="12">
        <f t="array" aca="1" ref="M197:N197" ca="1">Opt3Spd(H197:J197,$E$3:$G$3,$K$3:$M$3,$N$3:$P$3,$H$4,$I$3,$Q$3,$J$3)</f>
        <v>0.19289453405255941</v>
      </c>
      <c r="N197" s="12">
        <f ca="1"/>
        <v>179.0032145143841</v>
      </c>
      <c r="O197" s="12">
        <f t="shared" ca="1" si="29"/>
        <v>0.20284367376413925</v>
      </c>
    </row>
    <row r="198" spans="2:15" x14ac:dyDescent="0.15">
      <c r="B198" s="6">
        <f t="shared" ca="1" si="30"/>
        <v>0.52765979054158885</v>
      </c>
      <c r="C198" s="6">
        <f t="shared" ca="1" si="30"/>
        <v>-0.43138121988644551</v>
      </c>
      <c r="D198" s="6">
        <f t="shared" ca="1" si="30"/>
        <v>-0.82852494121062337</v>
      </c>
      <c r="E198" s="8">
        <f t="shared" ca="1" si="23"/>
        <v>1.2013968728151306E-2</v>
      </c>
      <c r="F198" s="8">
        <f t="shared" ca="1" si="24"/>
        <v>9.6559514537617915E-3</v>
      </c>
      <c r="G198" s="8">
        <f t="shared" ca="1" si="25"/>
        <v>9.3067542379380135E-3</v>
      </c>
      <c r="H198" s="10">
        <f t="shared" ca="1" si="26"/>
        <v>4064.2480984122558</v>
      </c>
      <c r="I198" s="10">
        <f t="shared" ca="1" si="27"/>
        <v>549.25283759084641</v>
      </c>
      <c r="J198" s="10">
        <f t="shared" ca="1" si="28"/>
        <v>2256.809902476029</v>
      </c>
      <c r="K198" s="12">
        <f t="array" aca="1" ref="K198:L198" ca="1">Opt3Spd(H198:J198,$E$3:$G$3,$K$3:$M$3,$N$3:$P$3,$H$3,$I$3,$Q$3,$J$3)</f>
        <v>232.04505613237916</v>
      </c>
      <c r="L198" s="12">
        <f ca="1"/>
        <v>6.4491034922866675E-3</v>
      </c>
      <c r="M198" s="12">
        <f t="array" aca="1" ref="M198:N198" ca="1">Opt3Spd(H198:J198,$E$3:$G$3,$K$3:$M$3,$N$3:$P$3,$H$4,$I$3,$Q$3,$J$3)</f>
        <v>0.32390660258070625</v>
      </c>
      <c r="N198" s="12">
        <f ca="1"/>
        <v>168.28529957369383</v>
      </c>
      <c r="O198" s="12">
        <f t="shared" ca="1" si="29"/>
        <v>0.33035570607299292</v>
      </c>
    </row>
    <row r="199" spans="2:15" x14ac:dyDescent="0.15">
      <c r="B199" s="6">
        <f t="shared" ca="1" si="30"/>
        <v>1.4944818078809403</v>
      </c>
      <c r="C199" s="6">
        <f t="shared" ca="1" si="30"/>
        <v>-0.70292378353368623</v>
      </c>
      <c r="D199" s="6">
        <f t="shared" ca="1" si="30"/>
        <v>-0.59651595316724337</v>
      </c>
      <c r="E199" s="8">
        <f t="shared" ca="1" si="23"/>
        <v>3.4026958329047639E-2</v>
      </c>
      <c r="F199" s="8">
        <f t="shared" ca="1" si="24"/>
        <v>3.9276424901892926E-2</v>
      </c>
      <c r="G199" s="8">
        <f t="shared" ca="1" si="25"/>
        <v>4.6509547098572836E-2</v>
      </c>
      <c r="H199" s="10">
        <f t="shared" ca="1" si="26"/>
        <v>4152.652264649455</v>
      </c>
      <c r="I199" s="10">
        <f t="shared" ca="1" si="27"/>
        <v>565.36637514662971</v>
      </c>
      <c r="J199" s="10">
        <f t="shared" ca="1" si="28"/>
        <v>2339.9953473124087</v>
      </c>
      <c r="K199" s="12">
        <f t="array" aca="1" ref="K199:L199" ca="1">Opt3Spd(H199:J199,$E$3:$G$3,$K$3:$M$3,$N$3:$P$3,$H$3,$I$3,$Q$3,$J$3)</f>
        <v>253.07069029364493</v>
      </c>
      <c r="L199" s="12">
        <f ca="1"/>
        <v>2.2995350018391036E-3</v>
      </c>
      <c r="M199" s="12">
        <f t="array" aca="1" ref="M199:N199" ca="1">Opt3Spd(H199:J199,$E$3:$G$3,$K$3:$M$3,$N$3:$P$3,$H$4,$I$3,$Q$3,$J$3)</f>
        <v>0.75440446961432883</v>
      </c>
      <c r="N199" s="12">
        <f ca="1"/>
        <v>147.68601371097122</v>
      </c>
      <c r="O199" s="12">
        <f t="shared" ca="1" si="29"/>
        <v>0.75670400461616794</v>
      </c>
    </row>
    <row r="200" spans="2:15" x14ac:dyDescent="0.15">
      <c r="B200" s="6">
        <f t="shared" ca="1" si="30"/>
        <v>-0.89179214087633607</v>
      </c>
      <c r="C200" s="6">
        <f t="shared" ca="1" si="30"/>
        <v>1.0501770463508293</v>
      </c>
      <c r="D200" s="6">
        <f t="shared" ca="1" si="30"/>
        <v>-2.2204629578098305</v>
      </c>
      <c r="E200" s="8">
        <f t="shared" ca="1" si="23"/>
        <v>-2.0304679425170183E-2</v>
      </c>
      <c r="F200" s="8">
        <f t="shared" ca="1" si="24"/>
        <v>-8.9377148875732955E-3</v>
      </c>
      <c r="G200" s="8">
        <f t="shared" ca="1" si="25"/>
        <v>-5.3369072242388363E-2</v>
      </c>
      <c r="H200" s="10">
        <f t="shared" ca="1" si="26"/>
        <v>3934.4564074285163</v>
      </c>
      <c r="I200" s="10">
        <f t="shared" ca="1" si="27"/>
        <v>539.13788310116013</v>
      </c>
      <c r="J200" s="10">
        <f t="shared" ca="1" si="28"/>
        <v>2116.6667544660195</v>
      </c>
      <c r="K200" s="12">
        <f t="array" aca="1" ref="K200:L200" ca="1">Opt3Spd(H200:J200,$E$3:$G$3,$K$3:$M$3,$N$3:$P$3,$H$3,$I$3,$Q$3,$J$3)</f>
        <v>188.55319696610968</v>
      </c>
      <c r="L200" s="12">
        <f ca="1"/>
        <v>5.0779732459432125E-2</v>
      </c>
      <c r="M200" s="12">
        <f t="array" aca="1" ref="M200:N200" ca="1">Opt3Spd(H200:J200,$E$3:$G$3,$K$3:$M$3,$N$3:$P$3,$H$4,$I$3,$Q$3,$J$3)</f>
        <v>4.2301629357418769E-2</v>
      </c>
      <c r="N200" s="12">
        <f ca="1"/>
        <v>211.53988439570716</v>
      </c>
      <c r="O200" s="12">
        <f t="shared" ca="1" si="29"/>
        <v>9.3081361816850894E-2</v>
      </c>
    </row>
    <row r="201" spans="2:15" x14ac:dyDescent="0.15">
      <c r="B201" s="6">
        <f t="shared" ca="1" si="30"/>
        <v>-0.93866391816086125</v>
      </c>
      <c r="C201" s="6">
        <f t="shared" ca="1" si="30"/>
        <v>-0.1033536674027941</v>
      </c>
      <c r="D201" s="6">
        <f t="shared" ca="1" si="30"/>
        <v>0.87717186435864047</v>
      </c>
      <c r="E201" s="8">
        <f t="shared" ca="1" si="23"/>
        <v>-2.1371874759404722E-2</v>
      </c>
      <c r="F201" s="8">
        <f t="shared" ca="1" si="24"/>
        <v>-3.7194291447995534E-2</v>
      </c>
      <c r="G201" s="8">
        <f t="shared" ca="1" si="25"/>
        <v>-2.5440458999315674E-2</v>
      </c>
      <c r="H201" s="10">
        <f t="shared" ca="1" si="26"/>
        <v>3930.1705509662306</v>
      </c>
      <c r="I201" s="10">
        <f t="shared" ca="1" si="27"/>
        <v>523.76630545229045</v>
      </c>
      <c r="J201" s="10">
        <f t="shared" ca="1" si="28"/>
        <v>2179.1151336775301</v>
      </c>
      <c r="K201" s="12">
        <f t="array" aca="1" ref="K201:L201" ca="1">Opt3Spd(H201:J201,$E$3:$G$3,$K$3:$M$3,$N$3:$P$3,$H$3,$I$3,$Q$3,$J$3)</f>
        <v>177.6762042694038</v>
      </c>
      <c r="L201" s="12">
        <f ca="1"/>
        <v>8.9308865602788501E-2</v>
      </c>
      <c r="M201" s="12">
        <f t="array" aca="1" ref="M201:N201" ca="1">Opt3Spd(H201:J201,$E$3:$G$3,$K$3:$M$3,$N$3:$P$3,$H$4,$I$3,$Q$3,$J$3)</f>
        <v>2.6032546248182964E-2</v>
      </c>
      <c r="N201" s="12">
        <f ca="1"/>
        <v>222.43913714244718</v>
      </c>
      <c r="O201" s="12">
        <f t="shared" ca="1" si="29"/>
        <v>0.11534141185097146</v>
      </c>
    </row>
    <row r="202" spans="2:15" x14ac:dyDescent="0.15">
      <c r="B202" s="6">
        <f t="shared" ca="1" si="30"/>
        <v>-0.71055904014635851</v>
      </c>
      <c r="C202" s="6">
        <f t="shared" ca="1" si="30"/>
        <v>1.626243235764846</v>
      </c>
      <c r="D202" s="6">
        <f t="shared" ca="1" si="30"/>
        <v>1.9214842995128891</v>
      </c>
      <c r="E202" s="8">
        <f t="shared" ca="1" si="23"/>
        <v>-1.6178291847975718E-2</v>
      </c>
      <c r="F202" s="8">
        <f t="shared" ca="1" si="24"/>
        <v>1.1027754145264575E-2</v>
      </c>
      <c r="G202" s="8">
        <f t="shared" ca="1" si="25"/>
        <v>-9.1417010591021892E-4</v>
      </c>
      <c r="H202" s="10">
        <f t="shared" ca="1" si="26"/>
        <v>3951.0279799385294</v>
      </c>
      <c r="I202" s="10">
        <f t="shared" ca="1" si="27"/>
        <v>549.99909825502391</v>
      </c>
      <c r="J202" s="10">
        <f t="shared" ca="1" si="28"/>
        <v>2233.9559156431847</v>
      </c>
      <c r="K202" s="12">
        <f t="array" aca="1" ref="K202:L202" ca="1">Opt3Spd(H202:J202,$E$3:$G$3,$K$3:$M$3,$N$3:$P$3,$H$3,$I$3,$Q$3,$J$3)</f>
        <v>129.7710867415949</v>
      </c>
      <c r="L202" s="12">
        <f ca="1"/>
        <v>0.71962183269602065</v>
      </c>
      <c r="M202" s="12">
        <f t="array" aca="1" ref="M202:N202" ca="1">Opt3Spd(H202:J202,$E$3:$G$3,$K$3:$M$3,$N$3:$P$3,$H$4,$I$3,$Q$3,$J$3)</f>
        <v>1.9437538998173243E-3</v>
      </c>
      <c r="N202" s="12">
        <f ca="1"/>
        <v>270.95047884500093</v>
      </c>
      <c r="O202" s="12">
        <f t="shared" ca="1" si="29"/>
        <v>0.72156558659583792</v>
      </c>
    </row>
    <row r="203" spans="2:15" x14ac:dyDescent="0.15">
      <c r="B203" s="6">
        <f t="shared" ref="B203:D234" ca="1" si="31">NORMINV(RAND(),0,1)</f>
        <v>-1.2520359340982929</v>
      </c>
      <c r="C203" s="6">
        <f t="shared" ca="1" si="31"/>
        <v>-6.2748583571474392E-2</v>
      </c>
      <c r="D203" s="6">
        <f t="shared" ca="1" si="31"/>
        <v>-1.7867607184496268</v>
      </c>
      <c r="E203" s="8">
        <f t="shared" ref="E203:E260" ca="1" si="32">B203*$U$3*$C$6</f>
        <v>-2.8506853901714983E-2</v>
      </c>
      <c r="F203" s="8">
        <f t="shared" ref="F203:F260" ca="1" si="33">($N$3*B203+C203*SQRT(1-$N$3^2))*$V$3*$C$6</f>
        <v>-4.7884911781151063E-2</v>
      </c>
      <c r="G203" s="8">
        <f t="shared" ref="G203:G260" ca="1" si="34">(D203/$T$3+($P$3-$N$3*$O$3)*C203+$O$3*B203*SQRT(1/(1-$N$3^2)))*$W$3*$C$6</f>
        <v>-6.521438053940147E-2</v>
      </c>
      <c r="H203" s="10">
        <f t="shared" ref="H203:H260" ca="1" si="35">B$3*(1+E203)</f>
        <v>3901.5164747307126</v>
      </c>
      <c r="I203" s="10">
        <f t="shared" ref="I203:I260" ca="1" si="36">C$3*(1+F203)</f>
        <v>517.95060799105386</v>
      </c>
      <c r="J203" s="10">
        <f t="shared" ref="J203:J260" ca="1" si="37">D$3*(1+G203)</f>
        <v>2090.1806451138982</v>
      </c>
      <c r="K203" s="12">
        <f t="array" aca="1" ref="K203:L203" ca="1">Opt3Spd(H203:J203,$E$3:$G$3,$K$3:$M$3,$N$3:$P$3,$H$3,$I$3,$Q$3,$J$3)</f>
        <v>202.72930537726211</v>
      </c>
      <c r="L203" s="12">
        <f ca="1"/>
        <v>2.4125989184767604E-2</v>
      </c>
      <c r="M203" s="12">
        <f t="array" aca="1" ref="M203:N203" ca="1">Opt3Spd(H203:J203,$E$3:$G$3,$K$3:$M$3,$N$3:$P$3,$H$4,$I$3,$Q$3,$J$3)</f>
        <v>8.0790279866551629E-2</v>
      </c>
      <c r="N203" s="12">
        <f ca="1"/>
        <v>197.37561089178922</v>
      </c>
      <c r="O203" s="12">
        <f t="shared" ref="O203:O266" ca="1" si="38">L203+M203</f>
        <v>0.10491626905131923</v>
      </c>
    </row>
    <row r="204" spans="2:15" x14ac:dyDescent="0.15">
      <c r="B204" s="6">
        <f t="shared" ca="1" si="31"/>
        <v>-1.458099168905632</v>
      </c>
      <c r="C204" s="6">
        <f t="shared" ca="1" si="31"/>
        <v>0.97278330716436223</v>
      </c>
      <c r="D204" s="6">
        <f t="shared" ca="1" si="31"/>
        <v>1.2927918787632298</v>
      </c>
      <c r="E204" s="8">
        <f t="shared" ca="1" si="32"/>
        <v>-3.3198583882610599E-2</v>
      </c>
      <c r="F204" s="8">
        <f t="shared" ca="1" si="33"/>
        <v>-3.1723199983489742E-2</v>
      </c>
      <c r="G204" s="8">
        <f t="shared" ca="1" si="34"/>
        <v>-3.6972048469663343E-2</v>
      </c>
      <c r="H204" s="10">
        <f t="shared" ca="1" si="35"/>
        <v>3882.6744871274359</v>
      </c>
      <c r="I204" s="10">
        <f t="shared" ca="1" si="36"/>
        <v>526.74257920898162</v>
      </c>
      <c r="J204" s="10">
        <f t="shared" ca="1" si="37"/>
        <v>2153.3304996218326</v>
      </c>
      <c r="K204" s="12">
        <f t="array" aca="1" ref="K204:L204" ca="1">Opt3Spd(H204:J204,$E$3:$G$3,$K$3:$M$3,$N$3:$P$3,$H$3,$I$3,$Q$3,$J$3)</f>
        <v>138.69611460221199</v>
      </c>
      <c r="L204" s="12">
        <f ca="1"/>
        <v>0.47500402006289733</v>
      </c>
      <c r="M204" s="12">
        <f t="array" aca="1" ref="M204:N204" ca="1">Opt3Spd(H204:J204,$E$3:$G$3,$K$3:$M$3,$N$3:$P$3,$H$4,$I$3,$Q$3,$J$3)</f>
        <v>2.9368210343584944E-3</v>
      </c>
      <c r="N204" s="12">
        <f ca="1"/>
        <v>261.78182623888529</v>
      </c>
      <c r="O204" s="12">
        <f t="shared" ca="1" si="38"/>
        <v>0.47794084109725582</v>
      </c>
    </row>
    <row r="205" spans="2:15" x14ac:dyDescent="0.15">
      <c r="B205" s="6">
        <f t="shared" ca="1" si="31"/>
        <v>-1.0346638891940614</v>
      </c>
      <c r="C205" s="6">
        <f t="shared" ca="1" si="31"/>
        <v>0.65193560199999867</v>
      </c>
      <c r="D205" s="6">
        <f t="shared" ca="1" si="31"/>
        <v>0.20595685877238185</v>
      </c>
      <c r="E205" s="8">
        <f t="shared" ca="1" si="32"/>
        <v>-2.3557640418585449E-2</v>
      </c>
      <c r="F205" s="8">
        <f t="shared" ca="1" si="33"/>
        <v>-2.3392302803954414E-2</v>
      </c>
      <c r="G205" s="8">
        <f t="shared" ca="1" si="34"/>
        <v>-3.3925249007431386E-2</v>
      </c>
      <c r="H205" s="10">
        <f t="shared" ca="1" si="35"/>
        <v>3921.3925160789609</v>
      </c>
      <c r="I205" s="10">
        <f t="shared" ca="1" si="36"/>
        <v>531.27458727464875</v>
      </c>
      <c r="J205" s="10">
        <f t="shared" ca="1" si="37"/>
        <v>2160.1431432193831</v>
      </c>
      <c r="K205" s="12">
        <f t="array" aca="1" ref="K205:L205" ca="1">Opt3Spd(H205:J205,$E$3:$G$3,$K$3:$M$3,$N$3:$P$3,$H$3,$I$3,$Q$3,$J$3)</f>
        <v>166.42863739630661</v>
      </c>
      <c r="L205" s="12">
        <f ca="1"/>
        <v>0.14703256647521812</v>
      </c>
      <c r="M205" s="12">
        <f t="array" aca="1" ref="M205:N205" ca="1">Opt3Spd(H205:J205,$E$3:$G$3,$K$3:$M$3,$N$3:$P$3,$H$4,$I$3,$Q$3,$J$3)</f>
        <v>1.4251431925676794E-2</v>
      </c>
      <c r="N205" s="12">
        <f ca="1"/>
        <v>233.73264660209429</v>
      </c>
      <c r="O205" s="12">
        <f t="shared" ca="1" si="38"/>
        <v>0.16128399840089491</v>
      </c>
    </row>
    <row r="206" spans="2:15" x14ac:dyDescent="0.15">
      <c r="B206" s="6">
        <f t="shared" ca="1" si="31"/>
        <v>-2.7291001932021611E-2</v>
      </c>
      <c r="C206" s="6">
        <f t="shared" ca="1" si="31"/>
        <v>-0.18843166793457097</v>
      </c>
      <c r="D206" s="6">
        <f t="shared" ca="1" si="31"/>
        <v>-0.59559110019423456</v>
      </c>
      <c r="E206" s="8">
        <f t="shared" ca="1" si="32"/>
        <v>-6.213724252793569E-4</v>
      </c>
      <c r="F206" s="8">
        <f t="shared" ca="1" si="33"/>
        <v>-5.344080099152753E-3</v>
      </c>
      <c r="G206" s="8">
        <f t="shared" ca="1" si="34"/>
        <v>-7.8945030540584493E-3</v>
      </c>
      <c r="H206" s="10">
        <f t="shared" ca="1" si="35"/>
        <v>4013.5045683400781</v>
      </c>
      <c r="I206" s="10">
        <f t="shared" ca="1" si="36"/>
        <v>541.09282042606094</v>
      </c>
      <c r="J206" s="10">
        <f t="shared" ca="1" si="37"/>
        <v>2218.3478911711254</v>
      </c>
      <c r="K206" s="12">
        <f t="array" aca="1" ref="K206:L206" ca="1">Opt3Spd(H206:J206,$E$3:$G$3,$K$3:$M$3,$N$3:$P$3,$H$3,$I$3,$Q$3,$J$3)</f>
        <v>213.59831809471416</v>
      </c>
      <c r="L206" s="12">
        <f ca="1"/>
        <v>1.6208021896545688E-2</v>
      </c>
      <c r="M206" s="12">
        <f t="array" aca="1" ref="M206:N206" ca="1">Opt3Spd(H206:J206,$E$3:$G$3,$K$3:$M$3,$N$3:$P$3,$H$4,$I$3,$Q$3,$J$3)</f>
        <v>0.14624802150430583</v>
      </c>
      <c r="N206" s="12">
        <f ca="1"/>
        <v>186.56413794868669</v>
      </c>
      <c r="O206" s="12">
        <f t="shared" ca="1" si="38"/>
        <v>0.16245604340085151</v>
      </c>
    </row>
    <row r="207" spans="2:15" x14ac:dyDescent="0.15">
      <c r="B207" s="6">
        <f t="shared" ca="1" si="31"/>
        <v>1.4349636842278977</v>
      </c>
      <c r="C207" s="6">
        <f t="shared" ca="1" si="31"/>
        <v>-1.251551399469266</v>
      </c>
      <c r="D207" s="6">
        <f t="shared" ca="1" si="31"/>
        <v>1.5736229428612443</v>
      </c>
      <c r="E207" s="8">
        <f t="shared" ca="1" si="32"/>
        <v>3.2671825932864912E-2</v>
      </c>
      <c r="F207" s="8">
        <f t="shared" ca="1" si="33"/>
        <v>2.4456564002270371E-2</v>
      </c>
      <c r="G207" s="8">
        <f t="shared" ca="1" si="34"/>
        <v>6.5848905691281809E-2</v>
      </c>
      <c r="H207" s="10">
        <f t="shared" ca="1" si="35"/>
        <v>4147.2100529463851</v>
      </c>
      <c r="I207" s="10">
        <f t="shared" ca="1" si="36"/>
        <v>557.30437081723517</v>
      </c>
      <c r="J207" s="10">
        <f t="shared" ca="1" si="37"/>
        <v>2383.2381531257065</v>
      </c>
      <c r="K207" s="12">
        <f t="array" aca="1" ref="K207:L207" ca="1">Opt3Spd(H207:J207,$E$3:$G$3,$K$3:$M$3,$N$3:$P$3,$H$3,$I$3,$Q$3,$J$3)</f>
        <v>238.90929576688018</v>
      </c>
      <c r="L207" s="12">
        <f ca="1"/>
        <v>5.3126909244838316E-3</v>
      </c>
      <c r="M207" s="12">
        <f t="array" aca="1" ref="M207:N207" ca="1">Opt3Spd(H207:J207,$E$3:$G$3,$K$3:$M$3,$N$3:$P$3,$H$4,$I$3,$Q$3,$J$3)</f>
        <v>0.45780108496686722</v>
      </c>
      <c r="N207" s="12">
        <f ca="1"/>
        <v>161.55381800901117</v>
      </c>
      <c r="O207" s="12">
        <f t="shared" ca="1" si="38"/>
        <v>0.46311377589135105</v>
      </c>
    </row>
    <row r="208" spans="2:15" x14ac:dyDescent="0.15">
      <c r="B208" s="6">
        <f t="shared" ca="1" si="31"/>
        <v>-0.61081524714439206</v>
      </c>
      <c r="C208" s="6">
        <f t="shared" ca="1" si="31"/>
        <v>-0.68415344357472041</v>
      </c>
      <c r="D208" s="6">
        <f t="shared" ca="1" si="31"/>
        <v>0.69825261248456338</v>
      </c>
      <c r="E208" s="8">
        <f t="shared" ca="1" si="32"/>
        <v>-1.3907285355851557E-2</v>
      </c>
      <c r="F208" s="8">
        <f t="shared" ca="1" si="33"/>
        <v>-3.8384945195267056E-2</v>
      </c>
      <c r="G208" s="8">
        <f t="shared" ca="1" si="34"/>
        <v>-1.6987913343452773E-2</v>
      </c>
      <c r="H208" s="10">
        <f t="shared" ca="1" si="35"/>
        <v>3960.1483420109003</v>
      </c>
      <c r="I208" s="10">
        <f t="shared" ca="1" si="36"/>
        <v>523.11858981377475</v>
      </c>
      <c r="J208" s="10">
        <f t="shared" ca="1" si="37"/>
        <v>2198.0150257640398</v>
      </c>
      <c r="K208" s="12">
        <f t="array" aca="1" ref="K208:L208" ca="1">Opt3Spd(H208:J208,$E$3:$G$3,$K$3:$M$3,$N$3:$P$3,$H$3,$I$3,$Q$3,$J$3)</f>
        <v>199.18354904226089</v>
      </c>
      <c r="L208" s="12">
        <f ca="1"/>
        <v>3.2463615420056158E-2</v>
      </c>
      <c r="M208" s="12">
        <f t="array" aca="1" ref="M208:N208" ca="1">Opt3Spd(H208:J208,$E$3:$G$3,$K$3:$M$3,$N$3:$P$3,$H$4,$I$3,$Q$3,$J$3)</f>
        <v>7.5136490807657275E-2</v>
      </c>
      <c r="N208" s="12">
        <f ca="1"/>
        <v>200.92405106396683</v>
      </c>
      <c r="O208" s="12">
        <f t="shared" ca="1" si="38"/>
        <v>0.10760010622771343</v>
      </c>
    </row>
    <row r="209" spans="2:15" x14ac:dyDescent="0.15">
      <c r="B209" s="6">
        <f t="shared" ca="1" si="31"/>
        <v>-0.13591712120340543</v>
      </c>
      <c r="C209" s="6">
        <f t="shared" ca="1" si="31"/>
        <v>-0.27328231689084681</v>
      </c>
      <c r="D209" s="6">
        <f t="shared" ca="1" si="31"/>
        <v>0.25851988797803815</v>
      </c>
      <c r="E209" s="8">
        <f t="shared" ca="1" si="32"/>
        <v>-3.0946152673146741E-3</v>
      </c>
      <c r="F209" s="8">
        <f t="shared" ca="1" si="33"/>
        <v>-1.1323993795432308E-2</v>
      </c>
      <c r="G209" s="8">
        <f t="shared" ca="1" si="34"/>
        <v>-3.032678189049935E-3</v>
      </c>
      <c r="H209" s="10">
        <f t="shared" ca="1" si="35"/>
        <v>4003.5720250864642</v>
      </c>
      <c r="I209" s="10">
        <f t="shared" ca="1" si="36"/>
        <v>537.83974737528479</v>
      </c>
      <c r="J209" s="10">
        <f t="shared" ca="1" si="37"/>
        <v>2229.2189315692845</v>
      </c>
      <c r="K209" s="12">
        <f t="array" aca="1" ref="K209:L209" ca="1">Opt3Spd(H209:J209,$E$3:$G$3,$K$3:$M$3,$N$3:$P$3,$H$3,$I$3,$Q$3,$J$3)</f>
        <v>203.44637367511609</v>
      </c>
      <c r="L209" s="12">
        <f ca="1"/>
        <v>2.7410173749558453E-2</v>
      </c>
      <c r="M209" s="12">
        <f t="array" aca="1" ref="M209:N209" ca="1">Opt3Spd(H209:J209,$E$3:$G$3,$K$3:$M$3,$N$3:$P$3,$H$4,$I$3,$Q$3,$J$3)</f>
        <v>9.4032521232557897E-2</v>
      </c>
      <c r="N209" s="12">
        <f ca="1"/>
        <v>196.67506901986602</v>
      </c>
      <c r="O209" s="12">
        <f t="shared" ca="1" si="38"/>
        <v>0.12144269498211635</v>
      </c>
    </row>
    <row r="210" spans="2:15" x14ac:dyDescent="0.15">
      <c r="B210" s="6">
        <f t="shared" ca="1" si="31"/>
        <v>-0.33590937172314417</v>
      </c>
      <c r="C210" s="6">
        <f t="shared" ca="1" si="31"/>
        <v>-0.11357264379414371</v>
      </c>
      <c r="D210" s="6">
        <f t="shared" ca="1" si="31"/>
        <v>-0.95098088237737655</v>
      </c>
      <c r="E210" s="8">
        <f t="shared" ca="1" si="32"/>
        <v>-7.6481186546973222E-3</v>
      </c>
      <c r="F210" s="8">
        <f t="shared" ca="1" si="33"/>
        <v>-1.5070924370121346E-2</v>
      </c>
      <c r="G210" s="8">
        <f t="shared" ca="1" si="34"/>
        <v>-2.2801313185956296E-2</v>
      </c>
      <c r="H210" s="10">
        <f t="shared" ca="1" si="35"/>
        <v>3985.2851554827357</v>
      </c>
      <c r="I210" s="10">
        <f t="shared" ca="1" si="36"/>
        <v>535.80141714265403</v>
      </c>
      <c r="J210" s="10">
        <f t="shared" ca="1" si="37"/>
        <v>2185.0162637162016</v>
      </c>
      <c r="K210" s="12">
        <f t="array" aca="1" ref="K210:L210" ca="1">Opt3Spd(H210:J210,$E$3:$G$3,$K$3:$M$3,$N$3:$P$3,$H$3,$I$3,$Q$3,$J$3)</f>
        <v>210.51296313084276</v>
      </c>
      <c r="L210" s="12">
        <f ca="1"/>
        <v>1.8206934454383372E-2</v>
      </c>
      <c r="M210" s="12">
        <f t="array" aca="1" ref="M210:N210" ca="1">Opt3Spd(H210:J210,$E$3:$G$3,$K$3:$M$3,$N$3:$P$3,$H$4,$I$3,$Q$3,$J$3)</f>
        <v>0.12440686012213575</v>
      </c>
      <c r="N210" s="12">
        <f ca="1"/>
        <v>189.62965066373374</v>
      </c>
      <c r="O210" s="12">
        <f t="shared" ca="1" si="38"/>
        <v>0.14261379457651913</v>
      </c>
    </row>
    <row r="211" spans="2:15" x14ac:dyDescent="0.15">
      <c r="B211" s="6">
        <f t="shared" ca="1" si="31"/>
        <v>-0.68274345194267683</v>
      </c>
      <c r="C211" s="6">
        <f t="shared" ca="1" si="31"/>
        <v>1.2005942359867896</v>
      </c>
      <c r="D211" s="6">
        <f t="shared" ca="1" si="31"/>
        <v>1.4277512885686634</v>
      </c>
      <c r="E211" s="8">
        <f t="shared" ca="1" si="32"/>
        <v>-1.5544975433072906E-2</v>
      </c>
      <c r="F211" s="8">
        <f t="shared" ca="1" si="33"/>
        <v>2.2745013308323454E-3</v>
      </c>
      <c r="G211" s="8">
        <f t="shared" ca="1" si="34"/>
        <v>-6.3876818996107393E-3</v>
      </c>
      <c r="H211" s="10">
        <f t="shared" ca="1" si="35"/>
        <v>3953.5713786607794</v>
      </c>
      <c r="I211" s="10">
        <f t="shared" ca="1" si="36"/>
        <v>545.23732872397272</v>
      </c>
      <c r="J211" s="10">
        <f t="shared" ca="1" si="37"/>
        <v>2221.7171432724704</v>
      </c>
      <c r="K211" s="12">
        <f t="array" aca="1" ref="K211:L211" ca="1">Opt3Spd(H211:J211,$E$3:$G$3,$K$3:$M$3,$N$3:$P$3,$H$3,$I$3,$Q$3,$J$3)</f>
        <v>145.70998769647326</v>
      </c>
      <c r="L211" s="12">
        <f ca="1"/>
        <v>0.37690663028524796</v>
      </c>
      <c r="M211" s="12">
        <f t="array" aca="1" ref="M211:N211" ca="1">Opt3Spd(H211:J211,$E$3:$G$3,$K$3:$M$3,$N$3:$P$3,$H$4,$I$3,$Q$3,$J$3)</f>
        <v>4.9134912192064784E-3</v>
      </c>
      <c r="N211" s="12">
        <f ca="1"/>
        <v>254.6718324250312</v>
      </c>
      <c r="O211" s="12">
        <f t="shared" ca="1" si="38"/>
        <v>0.38182012150445443</v>
      </c>
    </row>
    <row r="212" spans="2:15" x14ac:dyDescent="0.15">
      <c r="B212" s="6">
        <f t="shared" ca="1" si="31"/>
        <v>-0.7688990289835228</v>
      </c>
      <c r="C212" s="6">
        <f t="shared" ca="1" si="31"/>
        <v>0.53590653642576191</v>
      </c>
      <c r="D212" s="6">
        <f t="shared" ca="1" si="31"/>
        <v>7.4568286848339799E-2</v>
      </c>
      <c r="E212" s="8">
        <f t="shared" ca="1" si="32"/>
        <v>-1.7506600000414225E-2</v>
      </c>
      <c r="F212" s="8">
        <f t="shared" ca="1" si="33"/>
        <v>-1.6201483296220016E-2</v>
      </c>
      <c r="G212" s="8">
        <f t="shared" ca="1" si="34"/>
        <v>-2.589799883629855E-2</v>
      </c>
      <c r="H212" s="10">
        <f t="shared" ca="1" si="35"/>
        <v>3945.6934943983365</v>
      </c>
      <c r="I212" s="10">
        <f t="shared" ca="1" si="36"/>
        <v>535.18639308685624</v>
      </c>
      <c r="J212" s="10">
        <f t="shared" ca="1" si="37"/>
        <v>2178.0920746020365</v>
      </c>
      <c r="K212" s="12">
        <f t="array" aca="1" ref="K212:L212" ca="1">Opt3Spd(H212:J212,$E$3:$G$3,$K$3:$M$3,$N$3:$P$3,$H$3,$I$3,$Q$3,$J$3)</f>
        <v>175.44872070950146</v>
      </c>
      <c r="L212" s="12">
        <f ca="1"/>
        <v>9.9492551153389286E-2</v>
      </c>
      <c r="M212" s="12">
        <f t="array" aca="1" ref="M212:N212" ca="1">Opt3Spd(H212:J212,$E$3:$G$3,$K$3:$M$3,$N$3:$P$3,$H$4,$I$3,$Q$3,$J$3)</f>
        <v>2.3302444963684277E-2</v>
      </c>
      <c r="N212" s="12">
        <f ca="1"/>
        <v>224.67407428661562</v>
      </c>
      <c r="O212" s="12">
        <f t="shared" ca="1" si="38"/>
        <v>0.12279499611707356</v>
      </c>
    </row>
    <row r="213" spans="2:15" x14ac:dyDescent="0.15">
      <c r="B213" s="6">
        <f t="shared" ca="1" si="31"/>
        <v>1.1746097783169716</v>
      </c>
      <c r="C213" s="6">
        <f t="shared" ca="1" si="31"/>
        <v>-2.1068211454793349</v>
      </c>
      <c r="D213" s="6">
        <f t="shared" ca="1" si="31"/>
        <v>0.65509702772190903</v>
      </c>
      <c r="E213" s="8">
        <f t="shared" ca="1" si="32"/>
        <v>2.6743984281987061E-2</v>
      </c>
      <c r="F213" s="8">
        <f t="shared" ca="1" si="33"/>
        <v>-4.8622441166398661E-3</v>
      </c>
      <c r="G213" s="8">
        <f t="shared" ca="1" si="34"/>
        <v>4.4015996881932945E-2</v>
      </c>
      <c r="H213" s="10">
        <f t="shared" ca="1" si="35"/>
        <v>4123.40384087646</v>
      </c>
      <c r="I213" s="10">
        <f t="shared" ca="1" si="36"/>
        <v>541.35493920054796</v>
      </c>
      <c r="J213" s="10">
        <f t="shared" ca="1" si="37"/>
        <v>2334.4197690280021</v>
      </c>
      <c r="K213" s="12">
        <f t="array" aca="1" ref="K213:L213" ca="1">Opt3Spd(H213:J213,$E$3:$G$3,$K$3:$M$3,$N$3:$P$3,$H$3,$I$3,$Q$3,$J$3)</f>
        <v>265.02716318221383</v>
      </c>
      <c r="L213" s="12">
        <f ca="1"/>
        <v>1.1095406312051637E-3</v>
      </c>
      <c r="M213" s="12">
        <f t="array" aca="1" ref="M213:N213" ca="1">Opt3Spd(H213:J213,$E$3:$G$3,$K$3:$M$3,$N$3:$P$3,$H$4,$I$3,$Q$3,$J$3)</f>
        <v>1.1360758499200188</v>
      </c>
      <c r="N213" s="12">
        <f ca="1"/>
        <v>136.1100222083374</v>
      </c>
      <c r="O213" s="12">
        <f t="shared" ca="1" si="38"/>
        <v>1.1371853905512239</v>
      </c>
    </row>
    <row r="214" spans="2:15" x14ac:dyDescent="0.15">
      <c r="B214" s="6">
        <f t="shared" ca="1" si="31"/>
        <v>0.66755403868895968</v>
      </c>
      <c r="C214" s="6">
        <f t="shared" ca="1" si="31"/>
        <v>0.25984568432896066</v>
      </c>
      <c r="D214" s="6">
        <f t="shared" ca="1" si="31"/>
        <v>-0.38297041408869542</v>
      </c>
      <c r="E214" s="8">
        <f t="shared" ca="1" si="32"/>
        <v>1.5199136809209183E-2</v>
      </c>
      <c r="F214" s="8">
        <f t="shared" ca="1" si="33"/>
        <v>3.0735388818436168E-2</v>
      </c>
      <c r="G214" s="8">
        <f t="shared" ca="1" si="34"/>
        <v>2.1199369604505351E-2</v>
      </c>
      <c r="H214" s="10">
        <f t="shared" ca="1" si="35"/>
        <v>4077.0397334257846</v>
      </c>
      <c r="I214" s="10">
        <f t="shared" ca="1" si="36"/>
        <v>560.72005151722919</v>
      </c>
      <c r="J214" s="10">
        <f t="shared" ca="1" si="37"/>
        <v>2283.4017904356742</v>
      </c>
      <c r="K214" s="12">
        <f t="array" aca="1" ref="K214:L214" ca="1">Opt3Spd(H214:J214,$E$3:$G$3,$K$3:$M$3,$N$3:$P$3,$H$3,$I$3,$Q$3,$J$3)</f>
        <v>213.20492486331909</v>
      </c>
      <c r="L214" s="12">
        <f ca="1"/>
        <v>1.8169082938356951E-2</v>
      </c>
      <c r="M214" s="12">
        <f t="array" aca="1" ref="M214:N214" ca="1">Opt3Spd(H214:J214,$E$3:$G$3,$K$3:$M$3,$N$3:$P$3,$H$4,$I$3,$Q$3,$J$3)</f>
        <v>0.15196172286517573</v>
      </c>
      <c r="N214" s="12">
        <f ca="1"/>
        <v>186.96520594248443</v>
      </c>
      <c r="O214" s="12">
        <f t="shared" ca="1" si="38"/>
        <v>0.17013080580353268</v>
      </c>
    </row>
    <row r="215" spans="2:15" x14ac:dyDescent="0.15">
      <c r="B215" s="6">
        <f t="shared" ca="1" si="31"/>
        <v>-0.10387606956666598</v>
      </c>
      <c r="C215" s="6">
        <f t="shared" ca="1" si="31"/>
        <v>1.0228220049510062</v>
      </c>
      <c r="D215" s="6">
        <f t="shared" ca="1" si="31"/>
        <v>3.5616294882916281E-2</v>
      </c>
      <c r="E215" s="8">
        <f t="shared" ca="1" si="32"/>
        <v>-2.3650918143607027E-3</v>
      </c>
      <c r="F215" s="8">
        <f t="shared" ca="1" si="33"/>
        <v>1.9660011971169074E-2</v>
      </c>
      <c r="G215" s="8">
        <f t="shared" ca="1" si="34"/>
        <v>-4.6759303647774209E-4</v>
      </c>
      <c r="H215" s="10">
        <f t="shared" ca="1" si="35"/>
        <v>4006.5017912735275</v>
      </c>
      <c r="I215" s="10">
        <f t="shared" ca="1" si="36"/>
        <v>554.69504651231603</v>
      </c>
      <c r="J215" s="10">
        <f t="shared" ca="1" si="37"/>
        <v>2234.9544619704357</v>
      </c>
      <c r="K215" s="12">
        <f t="array" aca="1" ref="K215:L215" ca="1">Opt3Spd(H215:J215,$E$3:$G$3,$K$3:$M$3,$N$3:$P$3,$H$3,$I$3,$Q$3,$J$3)</f>
        <v>176.61304378263162</v>
      </c>
      <c r="L215" s="12">
        <f ca="1"/>
        <v>0.10055791402760406</v>
      </c>
      <c r="M215" s="12">
        <f t="array" aca="1" ref="M215:N215" ca="1">Opt3Spd(H215:J215,$E$3:$G$3,$K$3:$M$3,$N$3:$P$3,$H$4,$I$3,$Q$3,$J$3)</f>
        <v>2.6452084147460475E-2</v>
      </c>
      <c r="N215" s="12">
        <f ca="1"/>
        <v>223.51396621554343</v>
      </c>
      <c r="O215" s="12">
        <f t="shared" ca="1" si="38"/>
        <v>0.12700999817506453</v>
      </c>
    </row>
    <row r="216" spans="2:15" x14ac:dyDescent="0.15">
      <c r="B216" s="6">
        <f t="shared" ca="1" si="31"/>
        <v>-0.43492548020268357</v>
      </c>
      <c r="C216" s="6">
        <f t="shared" ca="1" si="31"/>
        <v>0.16004262009794173</v>
      </c>
      <c r="D216" s="6">
        <f t="shared" ca="1" si="31"/>
        <v>-6.5165860134864265E-2</v>
      </c>
      <c r="E216" s="8">
        <f t="shared" ca="1" si="32"/>
        <v>-9.9025569351572466E-3</v>
      </c>
      <c r="F216" s="8">
        <f t="shared" ca="1" si="33"/>
        <v>-1.245377636175822E-2</v>
      </c>
      <c r="G216" s="8">
        <f t="shared" ca="1" si="34"/>
        <v>-1.6208071242714707E-2</v>
      </c>
      <c r="H216" s="10">
        <f t="shared" ca="1" si="35"/>
        <v>3976.2313313484083</v>
      </c>
      <c r="I216" s="10">
        <f t="shared" ca="1" si="36"/>
        <v>537.22514565920346</v>
      </c>
      <c r="J216" s="10">
        <f t="shared" ca="1" si="37"/>
        <v>2199.7587527012897</v>
      </c>
      <c r="K216" s="12">
        <f t="array" aca="1" ref="K216:L216" ca="1">Opt3Spd(H216:J216,$E$3:$G$3,$K$3:$M$3,$N$3:$P$3,$H$3,$I$3,$Q$3,$J$3)</f>
        <v>191.83871244372585</v>
      </c>
      <c r="L216" s="12">
        <f ca="1"/>
        <v>4.6990500687797976E-2</v>
      </c>
      <c r="M216" s="12">
        <f t="array" aca="1" ref="M216:N216" ca="1">Opt3Spd(H216:J216,$E$3:$G$3,$K$3:$M$3,$N$3:$P$3,$H$4,$I$3,$Q$3,$J$3)</f>
        <v>5.3489857494518844E-2</v>
      </c>
      <c r="N216" s="12">
        <f ca="1"/>
        <v>208.26176791445647</v>
      </c>
      <c r="O216" s="12">
        <f t="shared" ca="1" si="38"/>
        <v>0.10048035818231682</v>
      </c>
    </row>
    <row r="217" spans="2:15" x14ac:dyDescent="0.15">
      <c r="B217" s="6">
        <f t="shared" ca="1" si="31"/>
        <v>2.0539121822842308</v>
      </c>
      <c r="C217" s="6">
        <f t="shared" ca="1" si="31"/>
        <v>-0.53808623968532021</v>
      </c>
      <c r="D217" s="6">
        <f t="shared" ca="1" si="31"/>
        <v>-0.47128258046290272</v>
      </c>
      <c r="E217" s="8">
        <f t="shared" ca="1" si="32"/>
        <v>4.6764292391892774E-2</v>
      </c>
      <c r="F217" s="8">
        <f t="shared" ca="1" si="33"/>
        <v>6.3817032381891237E-2</v>
      </c>
      <c r="G217" s="8">
        <f t="shared" ca="1" si="34"/>
        <v>6.8874745819106256E-2</v>
      </c>
      <c r="H217" s="10">
        <f t="shared" ca="1" si="35"/>
        <v>4203.8053982458414</v>
      </c>
      <c r="I217" s="10">
        <f t="shared" ca="1" si="36"/>
        <v>578.7164656157488</v>
      </c>
      <c r="J217" s="10">
        <f t="shared" ca="1" si="37"/>
        <v>2390.0039316515217</v>
      </c>
      <c r="K217" s="12">
        <f t="array" aca="1" ref="K217:L217" ca="1">Opt3Spd(H217:J217,$E$3:$G$3,$K$3:$M$3,$N$3:$P$3,$H$3,$I$3,$Q$3,$J$3)</f>
        <v>257.85901428731631</v>
      </c>
      <c r="L217" s="12">
        <f ca="1"/>
        <v>1.926852433825843E-3</v>
      </c>
      <c r="M217" s="12">
        <f t="array" aca="1" ref="M217:N217" ca="1">Opt3Spd(H217:J217,$E$3:$G$3,$K$3:$M$3,$N$3:$P$3,$H$4,$I$3,$Q$3,$J$3)</f>
        <v>0.91922408426154334</v>
      </c>
      <c r="N217" s="12">
        <f ca="1"/>
        <v>143.06213664937906</v>
      </c>
      <c r="O217" s="12">
        <f t="shared" ca="1" si="38"/>
        <v>0.92115093669536918</v>
      </c>
    </row>
    <row r="218" spans="2:15" x14ac:dyDescent="0.15">
      <c r="B218" s="6">
        <f t="shared" ca="1" si="31"/>
        <v>0.22039168907942661</v>
      </c>
      <c r="C218" s="6">
        <f t="shared" ca="1" si="31"/>
        <v>0.12298485684306289</v>
      </c>
      <c r="D218" s="6">
        <f t="shared" ca="1" si="31"/>
        <v>-1.2997124837198633</v>
      </c>
      <c r="E218" s="8">
        <f t="shared" ca="1" si="32"/>
        <v>5.0179659470110521E-3</v>
      </c>
      <c r="F218" s="8">
        <f t="shared" ca="1" si="33"/>
        <v>1.1002339883117227E-2</v>
      </c>
      <c r="G218" s="8">
        <f t="shared" ca="1" si="34"/>
        <v>-5.3920540527273627E-3</v>
      </c>
      <c r="H218" s="10">
        <f t="shared" ca="1" si="35"/>
        <v>4036.1521512431964</v>
      </c>
      <c r="I218" s="10">
        <f t="shared" ca="1" si="36"/>
        <v>549.98527289641572</v>
      </c>
      <c r="J218" s="10">
        <f t="shared" ca="1" si="37"/>
        <v>2223.9433671381016</v>
      </c>
      <c r="K218" s="12">
        <f t="array" aca="1" ref="K218:L218" ca="1">Opt3Spd(H218:J218,$E$3:$G$3,$K$3:$M$3,$N$3:$P$3,$H$3,$I$3,$Q$3,$J$3)</f>
        <v>219.21630492483655</v>
      </c>
      <c r="L218" s="12">
        <f ca="1"/>
        <v>1.2273884956130132E-2</v>
      </c>
      <c r="M218" s="12">
        <f t="array" aca="1" ref="M218:N218" ca="1">Opt3Spd(H218:J218,$E$3:$G$3,$K$3:$M$3,$N$3:$P$3,$H$4,$I$3,$Q$3,$J$3)</f>
        <v>0.18722600089596497</v>
      </c>
      <c r="N218" s="12">
        <f ca="1"/>
        <v>180.98319496101556</v>
      </c>
      <c r="O218" s="12">
        <f t="shared" ca="1" si="38"/>
        <v>0.1994998858520951</v>
      </c>
    </row>
    <row r="219" spans="2:15" x14ac:dyDescent="0.15">
      <c r="B219" s="6">
        <f t="shared" ca="1" si="31"/>
        <v>-0.70087565761973902</v>
      </c>
      <c r="C219" s="6">
        <f t="shared" ca="1" si="31"/>
        <v>0.35646826180090763</v>
      </c>
      <c r="D219" s="6">
        <f t="shared" ca="1" si="31"/>
        <v>2.0646540438163465</v>
      </c>
      <c r="E219" s="8">
        <f t="shared" ca="1" si="32"/>
        <v>-1.5957816729456401E-2</v>
      </c>
      <c r="F219" s="8">
        <f t="shared" ca="1" si="33"/>
        <v>-1.7803273477354883E-2</v>
      </c>
      <c r="G219" s="8">
        <f t="shared" ca="1" si="34"/>
        <v>-2.7193430967680848E-3</v>
      </c>
      <c r="H219" s="10">
        <f t="shared" ca="1" si="35"/>
        <v>3951.9134080145031</v>
      </c>
      <c r="I219" s="10">
        <f t="shared" ca="1" si="36"/>
        <v>534.31501922831899</v>
      </c>
      <c r="J219" s="10">
        <f t="shared" ca="1" si="37"/>
        <v>2229.9195488356263</v>
      </c>
      <c r="K219" s="12">
        <f t="array" aca="1" ref="K219:L219" ca="1">Opt3Spd(H219:J219,$E$3:$G$3,$K$3:$M$3,$N$3:$P$3,$H$3,$I$3,$Q$3,$J$3)</f>
        <v>157.28163195608181</v>
      </c>
      <c r="L219" s="12">
        <f ca="1"/>
        <v>0.23202912470219417</v>
      </c>
      <c r="M219" s="12">
        <f t="array" aca="1" ref="M219:N219" ca="1">Opt3Spd(H219:J219,$E$3:$G$3,$K$3:$M$3,$N$3:$P$3,$H$4,$I$3,$Q$3,$J$3)</f>
        <v>9.4353669489828373E-3</v>
      </c>
      <c r="N219" s="12">
        <f ca="1"/>
        <v>242.95983253556938</v>
      </c>
      <c r="O219" s="12">
        <f t="shared" ca="1" si="38"/>
        <v>0.241464491651177</v>
      </c>
    </row>
    <row r="220" spans="2:15" x14ac:dyDescent="0.15">
      <c r="B220" s="6">
        <f t="shared" ca="1" si="31"/>
        <v>-1.3220401362243002</v>
      </c>
      <c r="C220" s="6">
        <f t="shared" ca="1" si="31"/>
        <v>1.2769316705760665</v>
      </c>
      <c r="D220" s="6">
        <f t="shared" ca="1" si="31"/>
        <v>0.48101812586874726</v>
      </c>
      <c r="E220" s="8">
        <f t="shared" ca="1" si="32"/>
        <v>-3.0100737518122075E-2</v>
      </c>
      <c r="F220" s="8">
        <f t="shared" ca="1" si="33"/>
        <v>-1.968437817058459E-2</v>
      </c>
      <c r="G220" s="8">
        <f t="shared" ca="1" si="34"/>
        <v>-3.9738396956545727E-2</v>
      </c>
      <c r="H220" s="10">
        <f t="shared" ca="1" si="35"/>
        <v>3895.1154381272218</v>
      </c>
      <c r="I220" s="10">
        <f t="shared" ca="1" si="36"/>
        <v>533.29169827520195</v>
      </c>
      <c r="J220" s="10">
        <f t="shared" ca="1" si="37"/>
        <v>2147.1449444051636</v>
      </c>
      <c r="K220" s="12">
        <f t="array" aca="1" ref="K220:L220" ca="1">Opt3Spd(H220:J220,$E$3:$G$3,$K$3:$M$3,$N$3:$P$3,$H$3,$I$3,$Q$3,$J$3)</f>
        <v>143.66347112717858</v>
      </c>
      <c r="L220" s="12">
        <f ca="1"/>
        <v>0.38722244286168461</v>
      </c>
      <c r="M220" s="12">
        <f t="array" aca="1" ref="M220:N220" ca="1">Opt3Spd(H220:J220,$E$3:$G$3,$K$3:$M$3,$N$3:$P$3,$H$4,$I$3,$Q$3,$J$3)</f>
        <v>3.9273576847479452E-3</v>
      </c>
      <c r="N220" s="12">
        <f ca="1"/>
        <v>256.72767867336785</v>
      </c>
      <c r="O220" s="12">
        <f t="shared" ca="1" si="38"/>
        <v>0.39114980054643256</v>
      </c>
    </row>
    <row r="221" spans="2:15" x14ac:dyDescent="0.15">
      <c r="B221" s="6">
        <f t="shared" ca="1" si="31"/>
        <v>0.354459058738332</v>
      </c>
      <c r="C221" s="6">
        <f t="shared" ca="1" si="31"/>
        <v>0.35625862482720749</v>
      </c>
      <c r="D221" s="6">
        <f t="shared" ca="1" si="31"/>
        <v>-0.64580821657258425</v>
      </c>
      <c r="E221" s="8">
        <f t="shared" ca="1" si="32"/>
        <v>8.0704653328262793E-3</v>
      </c>
      <c r="F221" s="8">
        <f t="shared" ca="1" si="33"/>
        <v>2.1337983476813753E-2</v>
      </c>
      <c r="G221" s="8">
        <f t="shared" ca="1" si="34"/>
        <v>7.1766277595606918E-3</v>
      </c>
      <c r="H221" s="10">
        <f t="shared" ca="1" si="35"/>
        <v>4048.4109887766303</v>
      </c>
      <c r="I221" s="10">
        <f t="shared" ca="1" si="36"/>
        <v>555.6078630113866</v>
      </c>
      <c r="J221" s="10">
        <f t="shared" ca="1" si="37"/>
        <v>2252.0469396703775</v>
      </c>
      <c r="K221" s="12">
        <f t="array" aca="1" ref="K221:L221" ca="1">Opt3Spd(H221:J221,$E$3:$G$3,$K$3:$M$3,$N$3:$P$3,$H$3,$I$3,$Q$3,$J$3)</f>
        <v>208.43714849748949</v>
      </c>
      <c r="L221" s="12">
        <f ca="1"/>
        <v>2.2210374266705912E-2</v>
      </c>
      <c r="M221" s="12">
        <f t="array" aca="1" ref="M221:N221" ca="1">Opt3Spd(H221:J221,$E$3:$G$3,$K$3:$M$3,$N$3:$P$3,$H$4,$I$3,$Q$3,$J$3)</f>
        <v>0.12034686288247443</v>
      </c>
      <c r="N221" s="12">
        <f ca="1"/>
        <v>191.7054087396597</v>
      </c>
      <c r="O221" s="12">
        <f t="shared" ca="1" si="38"/>
        <v>0.14255723714918034</v>
      </c>
    </row>
    <row r="222" spans="2:15" x14ac:dyDescent="0.15">
      <c r="B222" s="6">
        <f t="shared" ca="1" si="31"/>
        <v>2.2250387819616728</v>
      </c>
      <c r="C222" s="6">
        <f t="shared" ca="1" si="31"/>
        <v>-1.337072988725746</v>
      </c>
      <c r="D222" s="6">
        <f t="shared" ca="1" si="31"/>
        <v>2.7272739426793833</v>
      </c>
      <c r="E222" s="8">
        <f t="shared" ca="1" si="32"/>
        <v>5.0660571119080747E-2</v>
      </c>
      <c r="F222" s="8">
        <f t="shared" ca="1" si="33"/>
        <v>5.1797215226188659E-2</v>
      </c>
      <c r="G222" s="8">
        <f t="shared" ca="1" si="34"/>
        <v>0.10691662009660616</v>
      </c>
      <c r="H222" s="10">
        <f t="shared" ca="1" si="35"/>
        <v>4219.4528536142288</v>
      </c>
      <c r="I222" s="10">
        <f t="shared" ca="1" si="36"/>
        <v>572.17768508304664</v>
      </c>
      <c r="J222" s="10">
        <f t="shared" ca="1" si="37"/>
        <v>2475.0655625360114</v>
      </c>
      <c r="K222" s="12">
        <f t="array" aca="1" ref="K222:L222" ca="1">Opt3Spd(H222:J222,$E$3:$G$3,$K$3:$M$3,$N$3:$P$3,$H$3,$I$3,$Q$3,$J$3)</f>
        <v>241.44112904646249</v>
      </c>
      <c r="L222" s="12">
        <f ca="1"/>
        <v>5.3528331138750218E-3</v>
      </c>
      <c r="M222" s="12">
        <f t="array" aca="1" ref="M222:N222" ca="1">Opt3Spd(H222:J222,$E$3:$G$3,$K$3:$M$3,$N$3:$P$3,$H$4,$I$3,$Q$3,$J$3)</f>
        <v>0.53318062924721943</v>
      </c>
      <c r="N222" s="12">
        <f ca="1"/>
        <v>159.09740441589861</v>
      </c>
      <c r="O222" s="12">
        <f t="shared" ca="1" si="38"/>
        <v>0.53853346236109445</v>
      </c>
    </row>
    <row r="223" spans="2:15" x14ac:dyDescent="0.15">
      <c r="B223" s="6">
        <f t="shared" ca="1" si="31"/>
        <v>1.5060976416501621</v>
      </c>
      <c r="C223" s="6">
        <f t="shared" ca="1" si="31"/>
        <v>-0.13947726856814319</v>
      </c>
      <c r="D223" s="6">
        <f t="shared" ca="1" si="31"/>
        <v>1.0224722478639274</v>
      </c>
      <c r="E223" s="8">
        <f t="shared" ca="1" si="32"/>
        <v>3.4291432268802644E-2</v>
      </c>
      <c r="F223" s="8">
        <f t="shared" ca="1" si="33"/>
        <v>5.2660085617309983E-2</v>
      </c>
      <c r="G223" s="8">
        <f t="shared" ca="1" si="34"/>
        <v>6.5819132115466666E-2</v>
      </c>
      <c r="H223" s="10">
        <f t="shared" ca="1" si="35"/>
        <v>4153.7143919915115</v>
      </c>
      <c r="I223" s="10">
        <f t="shared" ca="1" si="36"/>
        <v>572.64708657581673</v>
      </c>
      <c r="J223" s="10">
        <f t="shared" ca="1" si="37"/>
        <v>2383.1715794101833</v>
      </c>
      <c r="K223" s="12">
        <f t="array" aca="1" ref="K223:L223" ca="1">Opt3Spd(H223:J223,$E$3:$G$3,$K$3:$M$3,$N$3:$P$3,$H$3,$I$3,$Q$3,$J$3)</f>
        <v>220.9072459220331</v>
      </c>
      <c r="L223" s="12">
        <f ca="1"/>
        <v>1.3982156920064881E-2</v>
      </c>
      <c r="M223" s="12">
        <f t="array" aca="1" ref="M223:N223" ca="1">Opt3Spd(H223:J223,$E$3:$G$3,$K$3:$M$3,$N$3:$P$3,$H$4,$I$3,$Q$3,$J$3)</f>
        <v>0.22659061994619378</v>
      </c>
      <c r="N223" s="12">
        <f ca="1"/>
        <v>179.33332685483316</v>
      </c>
      <c r="O223" s="12">
        <f t="shared" ca="1" si="38"/>
        <v>0.24057277686625866</v>
      </c>
    </row>
    <row r="224" spans="2:15" x14ac:dyDescent="0.15">
      <c r="B224" s="6">
        <f t="shared" ca="1" si="31"/>
        <v>-0.79934551283654343</v>
      </c>
      <c r="C224" s="6">
        <f t="shared" ca="1" si="31"/>
        <v>1.6908555931511935</v>
      </c>
      <c r="D224" s="6">
        <f t="shared" ca="1" si="31"/>
        <v>1.7557188714780496</v>
      </c>
      <c r="E224" s="8">
        <f t="shared" ca="1" si="32"/>
        <v>-1.819981769759163E-2</v>
      </c>
      <c r="F224" s="8">
        <f t="shared" ca="1" si="33"/>
        <v>9.2196926071878987E-3</v>
      </c>
      <c r="G224" s="8">
        <f t="shared" ca="1" si="34"/>
        <v>-5.7543810523295394E-3</v>
      </c>
      <c r="H224" s="10">
        <f t="shared" ca="1" si="35"/>
        <v>3942.9095321264722</v>
      </c>
      <c r="I224" s="10">
        <f t="shared" ca="1" si="36"/>
        <v>549.01551277831027</v>
      </c>
      <c r="J224" s="10">
        <f t="shared" ca="1" si="37"/>
        <v>2223.133203966991</v>
      </c>
      <c r="K224" s="12">
        <f t="array" aca="1" ref="K224:L224" ca="1">Opt3Spd(H224:J224,$E$3:$G$3,$K$3:$M$3,$N$3:$P$3,$H$3,$I$3,$Q$3,$J$3)</f>
        <v>128.66407207251495</v>
      </c>
      <c r="L224" s="12">
        <f ca="1"/>
        <v>0.74596237483478944</v>
      </c>
      <c r="M224" s="12">
        <f t="array" aca="1" ref="M224:N224" ca="1">Opt3Spd(H224:J224,$E$3:$G$3,$K$3:$M$3,$N$3:$P$3,$H$4,$I$3,$Q$3,$J$3)</f>
        <v>1.7854417580141502E-3</v>
      </c>
      <c r="N224" s="12">
        <f ca="1"/>
        <v>272.08367574407782</v>
      </c>
      <c r="O224" s="12">
        <f t="shared" ca="1" si="38"/>
        <v>0.74774781659280354</v>
      </c>
    </row>
    <row r="225" spans="2:15" x14ac:dyDescent="0.15">
      <c r="B225" s="6">
        <f t="shared" ca="1" si="31"/>
        <v>1.5797178995204038</v>
      </c>
      <c r="C225" s="6">
        <f t="shared" ca="1" si="31"/>
        <v>0.62504676910288381</v>
      </c>
      <c r="D225" s="6">
        <f t="shared" ca="1" si="31"/>
        <v>-0.94860167691341624</v>
      </c>
      <c r="E225" s="8">
        <f t="shared" ca="1" si="32"/>
        <v>3.5967647685754722E-2</v>
      </c>
      <c r="F225" s="8">
        <f t="shared" ca="1" si="33"/>
        <v>7.2966178541655199E-2</v>
      </c>
      <c r="G225" s="8">
        <f t="shared" ca="1" si="34"/>
        <v>4.9745253992109689E-2</v>
      </c>
      <c r="H225" s="10">
        <f t="shared" ca="1" si="35"/>
        <v>4160.4460731059908</v>
      </c>
      <c r="I225" s="10">
        <f t="shared" ca="1" si="36"/>
        <v>583.69360112666038</v>
      </c>
      <c r="J225" s="10">
        <f t="shared" ca="1" si="37"/>
        <v>2347.2303879263573</v>
      </c>
      <c r="K225" s="12">
        <f t="array" aca="1" ref="K225:L225" ca="1">Opt3Spd(H225:J225,$E$3:$G$3,$K$3:$M$3,$N$3:$P$3,$H$3,$I$3,$Q$3,$J$3)</f>
        <v>227.93053977471391</v>
      </c>
      <c r="L225" s="12">
        <f ca="1"/>
        <v>9.4224345584734692E-3</v>
      </c>
      <c r="M225" s="12">
        <f t="array" aca="1" ref="M225:N225" ca="1">Opt3Spd(H225:J225,$E$3:$G$3,$K$3:$M$3,$N$3:$P$3,$H$4,$I$3,$Q$3,$J$3)</f>
        <v>0.29504232471228775</v>
      </c>
      <c r="N225" s="12">
        <f ca="1"/>
        <v>172.37392498455685</v>
      </c>
      <c r="O225" s="12">
        <f t="shared" ca="1" si="38"/>
        <v>0.30446475927076122</v>
      </c>
    </row>
    <row r="226" spans="2:15" x14ac:dyDescent="0.15">
      <c r="B226" s="6">
        <f t="shared" ca="1" si="31"/>
        <v>0.88105436448487351</v>
      </c>
      <c r="C226" s="6">
        <f t="shared" ca="1" si="31"/>
        <v>-4.9934358698995381E-2</v>
      </c>
      <c r="D226" s="6">
        <f t="shared" ca="1" si="31"/>
        <v>1.1457382722164728</v>
      </c>
      <c r="E226" s="8">
        <f t="shared" ca="1" si="32"/>
        <v>2.0060197446271424E-2</v>
      </c>
      <c r="F226" s="8">
        <f t="shared" ca="1" si="33"/>
        <v>3.1533489144898445E-2</v>
      </c>
      <c r="G226" s="8">
        <f t="shared" ca="1" si="34"/>
        <v>4.4429158690614139E-2</v>
      </c>
      <c r="H226" s="10">
        <f t="shared" ca="1" si="35"/>
        <v>4096.5617529442261</v>
      </c>
      <c r="I226" s="10">
        <f t="shared" ca="1" si="36"/>
        <v>561.15421809482473</v>
      </c>
      <c r="J226" s="10">
        <f t="shared" ca="1" si="37"/>
        <v>2335.343598832213</v>
      </c>
      <c r="K226" s="12">
        <f t="array" aca="1" ref="K226:L226" ca="1">Opt3Spd(H226:J226,$E$3:$G$3,$K$3:$M$3,$N$3:$P$3,$H$3,$I$3,$Q$3,$J$3)</f>
        <v>206.07077485392028</v>
      </c>
      <c r="L226" s="12">
        <f ca="1"/>
        <v>2.7570277520453601E-2</v>
      </c>
      <c r="M226" s="12">
        <f t="array" aca="1" ref="M226:N226" ca="1">Opt3Spd(H226:J226,$E$3:$G$3,$K$3:$M$3,$N$3:$P$3,$H$4,$I$3,$Q$3,$J$3)</f>
        <v>0.11608956100442036</v>
      </c>
      <c r="N226" s="12">
        <f ca="1"/>
        <v>194.0728849846046</v>
      </c>
      <c r="O226" s="12">
        <f t="shared" ca="1" si="38"/>
        <v>0.14365983852487396</v>
      </c>
    </row>
    <row r="227" spans="2:15" x14ac:dyDescent="0.15">
      <c r="B227" s="6">
        <f t="shared" ca="1" si="31"/>
        <v>0.25440571190562483</v>
      </c>
      <c r="C227" s="6">
        <f t="shared" ca="1" si="31"/>
        <v>-0.43290343269241949</v>
      </c>
      <c r="D227" s="6">
        <f t="shared" ca="1" si="31"/>
        <v>-8.0367159009909234E-2</v>
      </c>
      <c r="E227" s="8">
        <f t="shared" ca="1" si="32"/>
        <v>5.7924107955244089E-3</v>
      </c>
      <c r="F227" s="8">
        <f t="shared" ca="1" si="33"/>
        <v>-5.1499672952111516E-4</v>
      </c>
      <c r="G227" s="8">
        <f t="shared" ca="1" si="34"/>
        <v>7.2335903568770191E-3</v>
      </c>
      <c r="H227" s="10">
        <f t="shared" ca="1" si="35"/>
        <v>4039.2623217548262</v>
      </c>
      <c r="I227" s="10">
        <f t="shared" ca="1" si="36"/>
        <v>543.71984177914044</v>
      </c>
      <c r="J227" s="10">
        <f t="shared" ca="1" si="37"/>
        <v>2252.174308037977</v>
      </c>
      <c r="K227" s="12">
        <f t="array" aca="1" ref="K227:L227" ca="1">Opt3Spd(H227:J227,$E$3:$G$3,$K$3:$M$3,$N$3:$P$3,$H$3,$I$3,$Q$3,$J$3)</f>
        <v>218.23671439609893</v>
      </c>
      <c r="L227" s="12">
        <f ca="1"/>
        <v>1.3293506885929673E-2</v>
      </c>
      <c r="M227" s="12">
        <f t="array" aca="1" ref="M227:N227" ca="1">Opt3Spd(H227:J227,$E$3:$G$3,$K$3:$M$3,$N$3:$P$3,$H$4,$I$3,$Q$3,$J$3)</f>
        <v>0.18299453451590963</v>
      </c>
      <c r="N227" s="12">
        <f ca="1"/>
        <v>181.9595736453029</v>
      </c>
      <c r="O227" s="12">
        <f t="shared" ca="1" si="38"/>
        <v>0.19628804140183931</v>
      </c>
    </row>
    <row r="228" spans="2:15" x14ac:dyDescent="0.15">
      <c r="B228" s="6">
        <f t="shared" ca="1" si="31"/>
        <v>-0.61054893637790031</v>
      </c>
      <c r="C228" s="6">
        <f t="shared" ca="1" si="31"/>
        <v>-1.3925253217216274</v>
      </c>
      <c r="D228" s="6">
        <f t="shared" ca="1" si="31"/>
        <v>0.94125172456183792</v>
      </c>
      <c r="E228" s="8">
        <f t="shared" ca="1" si="32"/>
        <v>-1.3901221886021276E-2</v>
      </c>
      <c r="F228" s="8">
        <f t="shared" ca="1" si="33"/>
        <v>-5.465947167552733E-2</v>
      </c>
      <c r="G228" s="8">
        <f t="shared" ca="1" si="34"/>
        <v>-1.64458297073517E-2</v>
      </c>
      <c r="H228" s="10">
        <f t="shared" ca="1" si="35"/>
        <v>3960.1726929057386</v>
      </c>
      <c r="I228" s="10">
        <f t="shared" ca="1" si="36"/>
        <v>514.26524740851312</v>
      </c>
      <c r="J228" s="10">
        <f t="shared" ca="1" si="37"/>
        <v>2199.2271247743615</v>
      </c>
      <c r="K228" s="12">
        <f t="array" aca="1" ref="K228:L228" ca="1">Opt3Spd(H228:J228,$E$3:$G$3,$K$3:$M$3,$N$3:$P$3,$H$3,$I$3,$Q$3,$J$3)</f>
        <v>212.75101348225189</v>
      </c>
      <c r="L228" s="12">
        <f ca="1"/>
        <v>1.6278817314969274E-2</v>
      </c>
      <c r="M228" s="12">
        <f t="array" aca="1" ref="M228:N228" ca="1">Opt3Spd(H228:J228,$E$3:$G$3,$K$3:$M$3,$N$3:$P$3,$H$4,$I$3,$Q$3,$J$3)</f>
        <v>0.13831390317674241</v>
      </c>
      <c r="N228" s="12">
        <f ca="1"/>
        <v>187.40357923823981</v>
      </c>
      <c r="O228" s="12">
        <f t="shared" ca="1" si="38"/>
        <v>0.15459272049171169</v>
      </c>
    </row>
    <row r="229" spans="2:15" x14ac:dyDescent="0.15">
      <c r="B229" s="6">
        <f t="shared" ca="1" si="31"/>
        <v>-1.3091204320911758</v>
      </c>
      <c r="C229" s="6">
        <f t="shared" ca="1" si="31"/>
        <v>-0.39190111643341319</v>
      </c>
      <c r="D229" s="6">
        <f t="shared" ca="1" si="31"/>
        <v>0.35132622315576384</v>
      </c>
      <c r="E229" s="8">
        <f t="shared" ca="1" si="32"/>
        <v>-2.9806576537477689E-2</v>
      </c>
      <c r="F229" s="8">
        <f t="shared" ca="1" si="33"/>
        <v>-5.7569098630157509E-2</v>
      </c>
      <c r="G229" s="8">
        <f t="shared" ca="1" si="34"/>
        <v>-4.5489935933226477E-2</v>
      </c>
      <c r="H229" s="10">
        <f t="shared" ca="1" si="35"/>
        <v>3896.2967886254896</v>
      </c>
      <c r="I229" s="10">
        <f t="shared" ca="1" si="36"/>
        <v>512.68241034519428</v>
      </c>
      <c r="J229" s="10">
        <f t="shared" ca="1" si="37"/>
        <v>2134.2845032533055</v>
      </c>
      <c r="K229" s="12">
        <f t="array" aca="1" ref="K229:L229" ca="1">Opt3Spd(H229:J229,$E$3:$G$3,$K$3:$M$3,$N$3:$P$3,$H$3,$I$3,$Q$3,$J$3)</f>
        <v>183.92627598410263</v>
      </c>
      <c r="L229" s="12">
        <f ca="1"/>
        <v>6.3595537576702554E-2</v>
      </c>
      <c r="M229" s="12">
        <f t="array" aca="1" ref="M229:N229" ca="1">Opt3Spd(H229:J229,$E$3:$G$3,$K$3:$M$3,$N$3:$P$3,$H$4,$I$3,$Q$3,$J$3)</f>
        <v>3.4016749572038485E-2</v>
      </c>
      <c r="N229" s="12">
        <f ca="1"/>
        <v>216.1713363030461</v>
      </c>
      <c r="O229" s="12">
        <f t="shared" ca="1" si="38"/>
        <v>9.7612287148741039E-2</v>
      </c>
    </row>
    <row r="230" spans="2:15" x14ac:dyDescent="0.15">
      <c r="B230" s="6">
        <f t="shared" ca="1" si="31"/>
        <v>-1.0233246648389327</v>
      </c>
      <c r="C230" s="6">
        <f t="shared" ca="1" si="31"/>
        <v>1.94020564493036</v>
      </c>
      <c r="D230" s="6">
        <f t="shared" ca="1" si="31"/>
        <v>1.202078536771042</v>
      </c>
      <c r="E230" s="8">
        <f t="shared" ca="1" si="32"/>
        <v>-2.3299464432380047E-2</v>
      </c>
      <c r="F230" s="8">
        <f t="shared" ca="1" si="33"/>
        <v>6.6437010831804071E-3</v>
      </c>
      <c r="G230" s="8">
        <f t="shared" ca="1" si="34"/>
        <v>-1.915711550675972E-2</v>
      </c>
      <c r="H230" s="10">
        <f t="shared" ca="1" si="35"/>
        <v>3922.4293508395617</v>
      </c>
      <c r="I230" s="10">
        <f t="shared" ca="1" si="36"/>
        <v>547.61417338925014</v>
      </c>
      <c r="J230" s="10">
        <f t="shared" ca="1" si="37"/>
        <v>2193.1646897268852</v>
      </c>
      <c r="K230" s="12">
        <f t="array" aca="1" ref="K230:L230" ca="1">Opt3Spd(H230:J230,$E$3:$G$3,$K$3:$M$3,$N$3:$P$3,$H$3,$I$3,$Q$3,$J$3)</f>
        <v>125.4922083414574</v>
      </c>
      <c r="L230" s="12">
        <f ca="1"/>
        <v>0.82787978813848895</v>
      </c>
      <c r="M230" s="12">
        <f t="array" aca="1" ref="M230:N230" ca="1">Opt3Spd(H230:J230,$E$3:$G$3,$K$3:$M$3,$N$3:$P$3,$H$4,$I$3,$Q$3,$J$3)</f>
        <v>1.3986827974176996E-3</v>
      </c>
      <c r="N230" s="12">
        <f ca="1"/>
        <v>275.33707012947849</v>
      </c>
      <c r="O230" s="12">
        <f t="shared" ca="1" si="38"/>
        <v>0.82927847093590668</v>
      </c>
    </row>
    <row r="231" spans="2:15" x14ac:dyDescent="0.15">
      <c r="B231" s="6">
        <f t="shared" ca="1" si="31"/>
        <v>-1.3232339742260477</v>
      </c>
      <c r="C231" s="6">
        <f t="shared" ca="1" si="31"/>
        <v>0.27728048213063944</v>
      </c>
      <c r="D231" s="6">
        <f t="shared" ca="1" si="31"/>
        <v>-0.57656944889572248</v>
      </c>
      <c r="E231" s="8">
        <f t="shared" ca="1" si="32"/>
        <v>-3.0127919298270134E-2</v>
      </c>
      <c r="F231" s="8">
        <f t="shared" ca="1" si="33"/>
        <v>-4.2709140290885114E-2</v>
      </c>
      <c r="G231" s="8">
        <f t="shared" ca="1" si="34"/>
        <v>-5.3950752868348217E-2</v>
      </c>
      <c r="H231" s="10">
        <f t="shared" ca="1" si="35"/>
        <v>3895.0062760981468</v>
      </c>
      <c r="I231" s="10">
        <f t="shared" ca="1" si="36"/>
        <v>520.76622768175844</v>
      </c>
      <c r="J231" s="10">
        <f t="shared" ca="1" si="37"/>
        <v>2115.3661165863732</v>
      </c>
      <c r="K231" s="12">
        <f t="array" aca="1" ref="K231:L231" ca="1">Opt3Spd(H231:J231,$E$3:$G$3,$K$3:$M$3,$N$3:$P$3,$H$3,$I$3,$Q$3,$J$3)</f>
        <v>179.1757462911944</v>
      </c>
      <c r="L231" s="12">
        <f ca="1"/>
        <v>7.849277704758606E-2</v>
      </c>
      <c r="M231" s="12">
        <f t="array" aca="1" ref="M231:N231" ca="1">Opt3Spd(H231:J231,$E$3:$G$3,$K$3:$M$3,$N$3:$P$3,$H$4,$I$3,$Q$3,$J$3)</f>
        <v>2.6315730453464248E-2</v>
      </c>
      <c r="N231" s="12">
        <f ca="1"/>
        <v>220.92906221630665</v>
      </c>
      <c r="O231" s="12">
        <f t="shared" ca="1" si="38"/>
        <v>0.10480850750105031</v>
      </c>
    </row>
    <row r="232" spans="2:15" x14ac:dyDescent="0.15">
      <c r="B232" s="6">
        <f t="shared" ca="1" si="31"/>
        <v>0.62694249226294141</v>
      </c>
      <c r="C232" s="6">
        <f t="shared" ca="1" si="31"/>
        <v>-0.15446281215869459</v>
      </c>
      <c r="D232" s="6">
        <f t="shared" ca="1" si="31"/>
        <v>-0.65369178394939897</v>
      </c>
      <c r="E232" s="8">
        <f t="shared" ca="1" si="32"/>
        <v>1.4274476909952384E-2</v>
      </c>
      <c r="F232" s="8">
        <f t="shared" ca="1" si="33"/>
        <v>1.9704634052790042E-2</v>
      </c>
      <c r="G232" s="8">
        <f t="shared" ca="1" si="34"/>
        <v>1.5620632452189077E-2</v>
      </c>
      <c r="H232" s="10">
        <f t="shared" ca="1" si="35"/>
        <v>4073.3262992703685</v>
      </c>
      <c r="I232" s="10">
        <f t="shared" ca="1" si="36"/>
        <v>554.71932092471775</v>
      </c>
      <c r="J232" s="10">
        <f t="shared" ca="1" si="37"/>
        <v>2270.9277341630946</v>
      </c>
      <c r="K232" s="12">
        <f t="array" aca="1" ref="K232:L232" ca="1">Opt3Spd(H232:J232,$E$3:$G$3,$K$3:$M$3,$N$3:$P$3,$H$3,$I$3,$Q$3,$J$3)</f>
        <v>225.32099169892581</v>
      </c>
      <c r="L232" s="12">
        <f ca="1"/>
        <v>9.4729896532044222E-3</v>
      </c>
      <c r="M232" s="12">
        <f t="array" aca="1" ref="M232:N232" ca="1">Opt3Spd(H232:J232,$E$3:$G$3,$K$3:$M$3,$N$3:$P$3,$H$4,$I$3,$Q$3,$J$3)</f>
        <v>0.2496540777957712</v>
      </c>
      <c r="N232" s="12">
        <f ca="1"/>
        <v>174.93813536852318</v>
      </c>
      <c r="O232" s="12">
        <f t="shared" ca="1" si="38"/>
        <v>0.25912706744897562</v>
      </c>
    </row>
    <row r="233" spans="2:15" x14ac:dyDescent="0.15">
      <c r="B233" s="6">
        <f t="shared" ca="1" si="31"/>
        <v>-0.60185563299318046</v>
      </c>
      <c r="C233" s="6">
        <f t="shared" ca="1" si="31"/>
        <v>2.1261479415435245</v>
      </c>
      <c r="D233" s="6">
        <f t="shared" ca="1" si="31"/>
        <v>-0.81260406953675446</v>
      </c>
      <c r="E233" s="8">
        <f t="shared" ca="1" si="32"/>
        <v>-1.3703289284598002E-2</v>
      </c>
      <c r="F233" s="8">
        <f t="shared" ca="1" si="33"/>
        <v>2.6552003712282168E-2</v>
      </c>
      <c r="G233" s="8">
        <f t="shared" ca="1" si="34"/>
        <v>-2.4595766960996808E-2</v>
      </c>
      <c r="H233" s="10">
        <f t="shared" ca="1" si="35"/>
        <v>3960.9675902330546</v>
      </c>
      <c r="I233" s="10">
        <f t="shared" ca="1" si="36"/>
        <v>558.44429001948151</v>
      </c>
      <c r="J233" s="10">
        <f t="shared" ca="1" si="37"/>
        <v>2181.0038650752113</v>
      </c>
      <c r="K233" s="12">
        <f t="array" aca="1" ref="K233:L233" ca="1">Opt3Spd(H233:J233,$E$3:$G$3,$K$3:$M$3,$N$3:$P$3,$H$3,$I$3,$Q$3,$J$3)</f>
        <v>152.23618952950301</v>
      </c>
      <c r="L233" s="12">
        <f ca="1"/>
        <v>0.28139586522456739</v>
      </c>
      <c r="M233" s="12">
        <f t="array" aca="1" ref="M233:N233" ca="1">Opt3Spd(H233:J233,$E$3:$G$3,$K$3:$M$3,$N$3:$P$3,$H$4,$I$3,$Q$3,$J$3)</f>
        <v>6.8286351780804111E-3</v>
      </c>
      <c r="N233" s="12">
        <f ca="1"/>
        <v>248.05203497089963</v>
      </c>
      <c r="O233" s="12">
        <f t="shared" ca="1" si="38"/>
        <v>0.2882245004026478</v>
      </c>
    </row>
    <row r="234" spans="2:15" x14ac:dyDescent="0.15">
      <c r="B234" s="6">
        <f t="shared" ca="1" si="31"/>
        <v>0.39224485597376169</v>
      </c>
      <c r="C234" s="6">
        <f t="shared" ca="1" si="31"/>
        <v>1.0885546733298637</v>
      </c>
      <c r="D234" s="6">
        <f t="shared" ca="1" si="31"/>
        <v>-1.9015194230925356</v>
      </c>
      <c r="E234" s="8">
        <f t="shared" ca="1" si="32"/>
        <v>8.9307874466048893E-3</v>
      </c>
      <c r="F234" s="8">
        <f t="shared" ca="1" si="33"/>
        <v>3.957397719177691E-2</v>
      </c>
      <c r="G234" s="8">
        <f t="shared" ca="1" si="34"/>
        <v>-2.6865091501690162E-3</v>
      </c>
      <c r="H234" s="10">
        <f t="shared" ca="1" si="35"/>
        <v>4051.8660423855654</v>
      </c>
      <c r="I234" s="10">
        <f t="shared" ca="1" si="36"/>
        <v>565.52824359232659</v>
      </c>
      <c r="J234" s="10">
        <f t="shared" ca="1" si="37"/>
        <v>2229.992965540222</v>
      </c>
      <c r="K234" s="12">
        <f t="array" aca="1" ref="K234:L234" ca="1">Opt3Spd(H234:J234,$E$3:$G$3,$K$3:$M$3,$N$3:$P$3,$H$3,$I$3,$Q$3,$J$3)</f>
        <v>207.04784274364761</v>
      </c>
      <c r="L234" s="12">
        <f ca="1"/>
        <v>2.3472875915786062E-2</v>
      </c>
      <c r="M234" s="12">
        <f t="array" aca="1" ref="M234:N234" ca="1">Opt3Spd(H234:J234,$E$3:$G$3,$K$3:$M$3,$N$3:$P$3,$H$4,$I$3,$Q$3,$J$3)</f>
        <v>0.11168675479631851</v>
      </c>
      <c r="N234" s="12">
        <f ca="1"/>
        <v>193.0873168870645</v>
      </c>
      <c r="O234" s="12">
        <f t="shared" ca="1" si="38"/>
        <v>0.13515963071210457</v>
      </c>
    </row>
    <row r="235" spans="2:15" x14ac:dyDescent="0.15">
      <c r="B235" s="6">
        <f t="shared" ref="B235:D319" ca="1" si="39">NORMINV(RAND(),0,1)</f>
        <v>-0.20680040610581199</v>
      </c>
      <c r="C235" s="6">
        <f t="shared" ca="1" si="39"/>
        <v>-0.95825973699442668</v>
      </c>
      <c r="D235" s="6">
        <f t="shared" ca="1" si="39"/>
        <v>-0.80251721485867333</v>
      </c>
      <c r="E235" s="8">
        <f t="shared" ca="1" si="32"/>
        <v>-4.7085141912635358E-3</v>
      </c>
      <c r="F235" s="8">
        <f t="shared" ca="1" si="33"/>
        <v>-2.9699905577454788E-2</v>
      </c>
      <c r="G235" s="8">
        <f t="shared" ca="1" si="34"/>
        <v>-1.892857026986049E-2</v>
      </c>
      <c r="H235" s="10">
        <f t="shared" ca="1" si="35"/>
        <v>3997.0906070078859</v>
      </c>
      <c r="I235" s="10">
        <f t="shared" ca="1" si="36"/>
        <v>527.8432513658646</v>
      </c>
      <c r="J235" s="10">
        <f t="shared" ca="1" si="37"/>
        <v>2193.6757168765921</v>
      </c>
      <c r="K235" s="12">
        <f t="array" aca="1" ref="K235:L235" ca="1">Opt3Spd(H235:J235,$E$3:$G$3,$K$3:$M$3,$N$3:$P$3,$H$3,$I$3,$Q$3,$J$3)</f>
        <v>230.70981331643043</v>
      </c>
      <c r="L235" s="12">
        <f ca="1"/>
        <v>6.2669322237525193E-3</v>
      </c>
      <c r="M235" s="12">
        <f t="array" aca="1" ref="M235:N235" ca="1">Opt3Spd(H235:J235,$E$3:$G$3,$K$3:$M$3,$N$3:$P$3,$H$4,$I$3,$Q$3,$J$3)</f>
        <v>0.29369488220770279</v>
      </c>
      <c r="N235" s="12">
        <f ca="1"/>
        <v>169.59014849800104</v>
      </c>
      <c r="O235" s="12">
        <f t="shared" ca="1" si="38"/>
        <v>0.29996181443145531</v>
      </c>
    </row>
    <row r="236" spans="2:15" x14ac:dyDescent="0.15">
      <c r="B236" s="6">
        <f t="shared" ca="1" si="39"/>
        <v>0.85130381068073269</v>
      </c>
      <c r="C236" s="6">
        <f t="shared" ca="1" si="39"/>
        <v>-1.158183493521989</v>
      </c>
      <c r="D236" s="6">
        <f t="shared" ca="1" si="39"/>
        <v>-1.4184268905571078</v>
      </c>
      <c r="E236" s="8">
        <f t="shared" ca="1" si="32"/>
        <v>1.9382824962229626E-2</v>
      </c>
      <c r="F236" s="8">
        <f t="shared" ca="1" si="33"/>
        <v>4.9529544249123248E-3</v>
      </c>
      <c r="G236" s="8">
        <f t="shared" ca="1" si="34"/>
        <v>1.2802765833609044E-2</v>
      </c>
      <c r="H236" s="10">
        <f t="shared" ca="1" si="35"/>
        <v>4093.8414250483142</v>
      </c>
      <c r="I236" s="10">
        <f t="shared" ca="1" si="36"/>
        <v>546.69440720715227</v>
      </c>
      <c r="J236" s="10">
        <f t="shared" ca="1" si="37"/>
        <v>2264.6269844039498</v>
      </c>
      <c r="K236" s="12">
        <f t="array" aca="1" ref="K236:L236" ca="1">Opt3Spd(H236:J236,$E$3:$G$3,$K$3:$M$3,$N$3:$P$3,$H$3,$I$3,$Q$3,$J$3)</f>
        <v>261.81808679468509</v>
      </c>
      <c r="L236" s="12">
        <f ca="1"/>
        <v>1.2054797896325908E-3</v>
      </c>
      <c r="M236" s="12">
        <f t="array" aca="1" ref="M236:N236" ca="1">Opt3Spd(H236:J236,$E$3:$G$3,$K$3:$M$3,$N$3:$P$3,$H$4,$I$3,$Q$3,$J$3)</f>
        <v>0.98549596563346142</v>
      </c>
      <c r="N236" s="12">
        <f ca="1"/>
        <v>139.16861465073799</v>
      </c>
      <c r="O236" s="12">
        <f t="shared" ca="1" si="38"/>
        <v>0.98670144542309401</v>
      </c>
    </row>
    <row r="237" spans="2:15" x14ac:dyDescent="0.15">
      <c r="B237" s="6">
        <f t="shared" ca="1" si="39"/>
        <v>-0.95857928166801032</v>
      </c>
      <c r="C237" s="6">
        <f t="shared" ca="1" si="39"/>
        <v>0.36479938819815916</v>
      </c>
      <c r="D237" s="6">
        <f t="shared" ca="1" si="39"/>
        <v>-0.14439733076512151</v>
      </c>
      <c r="E237" s="8">
        <f t="shared" ca="1" si="32"/>
        <v>-2.1825315705016814E-2</v>
      </c>
      <c r="F237" s="8">
        <f t="shared" ca="1" si="33"/>
        <v>-2.7170887149819474E-2</v>
      </c>
      <c r="G237" s="8">
        <f t="shared" ca="1" si="34"/>
        <v>-3.569591456032592E-2</v>
      </c>
      <c r="H237" s="10">
        <f t="shared" ca="1" si="35"/>
        <v>3928.3495321286528</v>
      </c>
      <c r="I237" s="10">
        <f t="shared" ca="1" si="36"/>
        <v>529.21903739049822</v>
      </c>
      <c r="J237" s="10">
        <f t="shared" ca="1" si="37"/>
        <v>2156.183935043111</v>
      </c>
      <c r="K237" s="12">
        <f t="array" aca="1" ref="K237:L237" ca="1">Opt3Spd(H237:J237,$E$3:$G$3,$K$3:$M$3,$N$3:$P$3,$H$3,$I$3,$Q$3,$J$3)</f>
        <v>178.59118792186723</v>
      </c>
      <c r="L237" s="12">
        <f ca="1"/>
        <v>8.4083139566928367E-2</v>
      </c>
      <c r="M237" s="12">
        <f t="array" aca="1" ref="M237:N237" ca="1">Opt3Spd(H237:J237,$E$3:$G$3,$K$3:$M$3,$N$3:$P$3,$H$4,$I$3,$Q$3,$J$3)</f>
        <v>2.6684036222410779E-2</v>
      </c>
      <c r="N237" s="12">
        <f ca="1"/>
        <v>221.5195792539221</v>
      </c>
      <c r="O237" s="12">
        <f t="shared" ca="1" si="38"/>
        <v>0.11076717578933915</v>
      </c>
    </row>
    <row r="238" spans="2:15" x14ac:dyDescent="0.15">
      <c r="B238" s="6">
        <f t="shared" ca="1" si="39"/>
        <v>-0.54743613895854892</v>
      </c>
      <c r="C238" s="6">
        <f t="shared" ca="1" si="39"/>
        <v>1.3060651291514043</v>
      </c>
      <c r="D238" s="6">
        <f t="shared" ca="1" si="39"/>
        <v>0.74836706743290327</v>
      </c>
      <c r="E238" s="8">
        <f t="shared" ca="1" si="32"/>
        <v>-1.2464244522701656E-2</v>
      </c>
      <c r="F238" s="8">
        <f t="shared" ca="1" si="33"/>
        <v>9.7181427631130649E-3</v>
      </c>
      <c r="G238" s="8">
        <f t="shared" ca="1" si="34"/>
        <v>-8.3480493779157748E-3</v>
      </c>
      <c r="H238" s="10">
        <f t="shared" ca="1" si="35"/>
        <v>3965.9435939968303</v>
      </c>
      <c r="I238" s="10">
        <f t="shared" ca="1" si="36"/>
        <v>549.28666966313347</v>
      </c>
      <c r="J238" s="10">
        <f t="shared" ca="1" si="37"/>
        <v>2217.3337615909804</v>
      </c>
      <c r="K238" s="12">
        <f t="array" aca="1" ref="K238:L238" ca="1">Opt3Spd(H238:J238,$E$3:$G$3,$K$3:$M$3,$N$3:$P$3,$H$3,$I$3,$Q$3,$J$3)</f>
        <v>153.68819656677556</v>
      </c>
      <c r="L238" s="12">
        <f ca="1"/>
        <v>0.27015482644924305</v>
      </c>
      <c r="M238" s="12">
        <f t="array" aca="1" ref="M238:N238" ca="1">Opt3Spd(H238:J238,$E$3:$G$3,$K$3:$M$3,$N$3:$P$3,$H$4,$I$3,$Q$3,$J$3)</f>
        <v>7.6910053793840527E-3</v>
      </c>
      <c r="N238" s="12">
        <f ca="1"/>
        <v>246.58964926505305</v>
      </c>
      <c r="O238" s="12">
        <f t="shared" ca="1" si="38"/>
        <v>0.2778458318286271</v>
      </c>
    </row>
    <row r="239" spans="2:15" x14ac:dyDescent="0.15">
      <c r="B239" s="6">
        <f t="shared" ca="1" si="39"/>
        <v>-1.0941448062731414</v>
      </c>
      <c r="C239" s="6">
        <f t="shared" ca="1" si="39"/>
        <v>-0.26369857481185738</v>
      </c>
      <c r="D239" s="6">
        <f t="shared" ca="1" si="39"/>
        <v>-0.35083949024707928</v>
      </c>
      <c r="E239" s="8">
        <f t="shared" ca="1" si="32"/>
        <v>-2.4911925680641066E-2</v>
      </c>
      <c r="F239" s="8">
        <f t="shared" ca="1" si="33"/>
        <v>-4.6647712849927414E-2</v>
      </c>
      <c r="G239" s="8">
        <f t="shared" ca="1" si="34"/>
        <v>-4.4700122318219966E-2</v>
      </c>
      <c r="H239" s="10">
        <f t="shared" ca="1" si="35"/>
        <v>3915.9537064665456</v>
      </c>
      <c r="I239" s="10">
        <f t="shared" ca="1" si="36"/>
        <v>518.62364420963945</v>
      </c>
      <c r="J239" s="10">
        <f t="shared" ca="1" si="37"/>
        <v>2136.05052649646</v>
      </c>
      <c r="K239" s="12">
        <f t="array" aca="1" ref="K239:L239" ca="1">Opt3Spd(H239:J239,$E$3:$G$3,$K$3:$M$3,$N$3:$P$3,$H$3,$I$3,$Q$3,$J$3)</f>
        <v>193.17146928341162</v>
      </c>
      <c r="L239" s="12">
        <f ca="1"/>
        <v>4.0856800519350145E-2</v>
      </c>
      <c r="M239" s="12">
        <f t="array" aca="1" ref="M239:N239" ca="1">Opt3Spd(H239:J239,$E$3:$G$3,$K$3:$M$3,$N$3:$P$3,$H$4,$I$3,$Q$3,$J$3)</f>
        <v>5.3580762062703791E-2</v>
      </c>
      <c r="N239" s="12">
        <f ca="1"/>
        <v>206.92296827917042</v>
      </c>
      <c r="O239" s="12">
        <f t="shared" ca="1" si="38"/>
        <v>9.4437562582053936E-2</v>
      </c>
    </row>
    <row r="240" spans="2:15" x14ac:dyDescent="0.15">
      <c r="B240" s="6">
        <f t="shared" ca="1" si="39"/>
        <v>-0.20304918489902476</v>
      </c>
      <c r="C240" s="6">
        <f t="shared" ca="1" si="39"/>
        <v>-2.6246856777308931</v>
      </c>
      <c r="D240" s="6">
        <f t="shared" ca="1" si="39"/>
        <v>-0.61641509434553876</v>
      </c>
      <c r="E240" s="8">
        <f t="shared" ca="1" si="32"/>
        <v>-4.6231048895154095E-3</v>
      </c>
      <c r="F240" s="8">
        <f t="shared" ca="1" si="33"/>
        <v>-6.7869387535272163E-2</v>
      </c>
      <c r="G240" s="8">
        <f t="shared" ca="1" si="34"/>
        <v>-2.1645786493144324E-2</v>
      </c>
      <c r="H240" s="10">
        <f t="shared" ca="1" si="35"/>
        <v>3997.4336107637059</v>
      </c>
      <c r="I240" s="10">
        <f t="shared" ca="1" si="36"/>
        <v>507.07905318081197</v>
      </c>
      <c r="J240" s="10">
        <f t="shared" ca="1" si="37"/>
        <v>2187.6000214013293</v>
      </c>
      <c r="K240" s="12">
        <f t="array" aca="1" ref="K240:L240" ca="1">Opt3Spd(H240:J240,$E$3:$G$3,$K$3:$M$3,$N$3:$P$3,$H$3,$I$3,$Q$3,$J$3)</f>
        <v>267.30785794844132</v>
      </c>
      <c r="L240" s="12">
        <f ca="1"/>
        <v>7.429746992784203E-4</v>
      </c>
      <c r="M240" s="12">
        <f t="array" aca="1" ref="M240:N240" ca="1">Opt3Spd(H240:J240,$E$3:$G$3,$K$3:$M$3,$N$3:$P$3,$H$4,$I$3,$Q$3,$J$3)</f>
        <v>1.1470580392410454</v>
      </c>
      <c r="N240" s="12">
        <f ca="1"/>
        <v>133.839943065499</v>
      </c>
      <c r="O240" s="12">
        <f t="shared" ca="1" si="38"/>
        <v>1.1478010139403239</v>
      </c>
    </row>
    <row r="241" spans="2:15" x14ac:dyDescent="0.15">
      <c r="B241" s="6">
        <f t="shared" ca="1" si="39"/>
        <v>0.85272305063846532</v>
      </c>
      <c r="C241" s="6">
        <f t="shared" ca="1" si="39"/>
        <v>4.9443433482002003E-2</v>
      </c>
      <c r="D241" s="6">
        <f t="shared" ca="1" si="39"/>
        <v>1.9887748763422579</v>
      </c>
      <c r="E241" s="8">
        <f t="shared" ca="1" si="32"/>
        <v>1.9415138784081472E-2</v>
      </c>
      <c r="F241" s="8">
        <f t="shared" ca="1" si="33"/>
        <v>3.2767127164112737E-2</v>
      </c>
      <c r="G241" s="8">
        <f t="shared" ca="1" si="34"/>
        <v>5.2657717916700139E-2</v>
      </c>
      <c r="H241" s="10">
        <f t="shared" ca="1" si="35"/>
        <v>4093.9711973568715</v>
      </c>
      <c r="I241" s="10">
        <f t="shared" ca="1" si="36"/>
        <v>561.82531717727738</v>
      </c>
      <c r="J241" s="10">
        <f t="shared" ca="1" si="37"/>
        <v>2353.7426572617414</v>
      </c>
      <c r="K241" s="12">
        <f t="array" aca="1" ref="K241:L241" ca="1">Opt3Spd(H241:J241,$E$3:$G$3,$K$3:$M$3,$N$3:$P$3,$H$3,$I$3,$Q$3,$J$3)</f>
        <v>193.23166851194196</v>
      </c>
      <c r="L241" s="12">
        <f ca="1"/>
        <v>5.2307269585298855E-2</v>
      </c>
      <c r="M241" s="12">
        <f t="array" aca="1" ref="M241:N241" ca="1">Opt3Spd(H241:J241,$E$3:$G$3,$K$3:$M$3,$N$3:$P$3,$H$4,$I$3,$Q$3,$J$3)</f>
        <v>6.6192449956650634E-2</v>
      </c>
      <c r="N241" s="12">
        <f ca="1"/>
        <v>206.88683120759998</v>
      </c>
      <c r="O241" s="12">
        <f t="shared" ca="1" si="38"/>
        <v>0.11849971954194949</v>
      </c>
    </row>
    <row r="242" spans="2:15" x14ac:dyDescent="0.15">
      <c r="B242" s="6">
        <f t="shared" ca="1" si="39"/>
        <v>1.0229982789092122</v>
      </c>
      <c r="C242" s="6">
        <f t="shared" ca="1" si="39"/>
        <v>0.65390475313315977</v>
      </c>
      <c r="D242" s="6">
        <f t="shared" ca="1" si="39"/>
        <v>0.20807045060134718</v>
      </c>
      <c r="E242" s="8">
        <f t="shared" ca="1" si="32"/>
        <v>2.3292033147254181E-2</v>
      </c>
      <c r="F242" s="8">
        <f t="shared" ca="1" si="33"/>
        <v>5.2978891538886519E-2</v>
      </c>
      <c r="G242" s="8">
        <f t="shared" ca="1" si="34"/>
        <v>4.169814543747475E-2</v>
      </c>
      <c r="H242" s="10">
        <f t="shared" ca="1" si="35"/>
        <v>4109.5408051193726</v>
      </c>
      <c r="I242" s="10">
        <f t="shared" ca="1" si="36"/>
        <v>572.82051699715419</v>
      </c>
      <c r="J242" s="10">
        <f t="shared" ca="1" si="37"/>
        <v>2329.2370531981937</v>
      </c>
      <c r="K242" s="12">
        <f t="array" aca="1" ref="K242:L242" ca="1">Opt3Spd(H242:J242,$E$3:$G$3,$K$3:$M$3,$N$3:$P$3,$H$3,$I$3,$Q$3,$J$3)</f>
        <v>203.44101188764603</v>
      </c>
      <c r="L242" s="12">
        <f ca="1"/>
        <v>3.1560562817048776E-2</v>
      </c>
      <c r="M242" s="12">
        <f t="array" aca="1" ref="M242:N242" ca="1">Opt3Spd(H242:J242,$E$3:$G$3,$K$3:$M$3,$N$3:$P$3,$H$4,$I$3,$Q$3,$J$3)</f>
        <v>0.10345740479415255</v>
      </c>
      <c r="N242" s="12">
        <f ca="1"/>
        <v>196.69400607996516</v>
      </c>
      <c r="O242" s="12">
        <f t="shared" ca="1" si="38"/>
        <v>0.13501796761120133</v>
      </c>
    </row>
    <row r="243" spans="2:15" x14ac:dyDescent="0.15">
      <c r="B243" s="6">
        <f t="shared" ca="1" si="39"/>
        <v>-7.8771059554831602E-2</v>
      </c>
      <c r="C243" s="6">
        <f t="shared" ca="1" si="39"/>
        <v>-0.41160892598879273</v>
      </c>
      <c r="D243" s="6">
        <f t="shared" ca="1" si="39"/>
        <v>0.13647644766028857</v>
      </c>
      <c r="E243" s="8">
        <f t="shared" ca="1" si="32"/>
        <v>-1.793490925665866E-3</v>
      </c>
      <c r="F243" s="8">
        <f t="shared" ca="1" si="33"/>
        <v>-1.2384166244189617E-2</v>
      </c>
      <c r="G243" s="8">
        <f t="shared" ca="1" si="34"/>
        <v>-2.6349183419784143E-3</v>
      </c>
      <c r="H243" s="10">
        <f t="shared" ca="1" si="35"/>
        <v>4008.7973404425261</v>
      </c>
      <c r="I243" s="10">
        <f t="shared" ca="1" si="36"/>
        <v>537.26301356316083</v>
      </c>
      <c r="J243" s="10">
        <f t="shared" ca="1" si="37"/>
        <v>2230.1083225873363</v>
      </c>
      <c r="K243" s="12">
        <f t="array" aca="1" ref="K243:L243" ca="1">Opt3Spd(H243:J243,$E$3:$G$3,$K$3:$M$3,$N$3:$P$3,$H$3,$I$3,$Q$3,$J$3)</f>
        <v>209.14293936902163</v>
      </c>
      <c r="L243" s="12">
        <f ca="1"/>
        <v>2.0581921221264565E-2</v>
      </c>
      <c r="M243" s="12">
        <f t="array" aca="1" ref="M243:N243" ca="1">Opt3Spd(H243:J243,$E$3:$G$3,$K$3:$M$3,$N$3:$P$3,$H$4,$I$3,$Q$3,$J$3)</f>
        <v>0.12133025398032693</v>
      </c>
      <c r="N243" s="12">
        <f ca="1"/>
        <v>190.99897280617995</v>
      </c>
      <c r="O243" s="12">
        <f t="shared" ca="1" si="38"/>
        <v>0.1419121752015915</v>
      </c>
    </row>
    <row r="244" spans="2:15" x14ac:dyDescent="0.15">
      <c r="B244" s="6">
        <f t="shared" ca="1" si="39"/>
        <v>-0.74331296435485639</v>
      </c>
      <c r="C244" s="6">
        <f t="shared" ca="1" si="39"/>
        <v>1.6632394238641039</v>
      </c>
      <c r="D244" s="6">
        <f t="shared" ca="1" si="39"/>
        <v>1.3718538703749605</v>
      </c>
      <c r="E244" s="8">
        <f t="shared" ca="1" si="32"/>
        <v>-1.6924046268188862E-2</v>
      </c>
      <c r="F244" s="8">
        <f t="shared" ca="1" si="33"/>
        <v>1.0663282666036529E-2</v>
      </c>
      <c r="G244" s="8">
        <f t="shared" ca="1" si="34"/>
        <v>-7.8653400081970491E-3</v>
      </c>
      <c r="H244" s="10">
        <f t="shared" ca="1" si="35"/>
        <v>3948.0330301869535</v>
      </c>
      <c r="I244" s="10">
        <f t="shared" ca="1" si="36"/>
        <v>549.80082577032385</v>
      </c>
      <c r="J244" s="10">
        <f t="shared" ca="1" si="37"/>
        <v>2218.4130997416714</v>
      </c>
      <c r="K244" s="12">
        <f t="array" aca="1" ref="K244:L244" ca="1">Opt3Spd(H244:J244,$E$3:$G$3,$K$3:$M$3,$N$3:$P$3,$H$3,$I$3,$Q$3,$J$3)</f>
        <v>134.73205992889325</v>
      </c>
      <c r="L244" s="12">
        <f ca="1"/>
        <v>0.58690084529371234</v>
      </c>
      <c r="M244" s="12">
        <f t="array" aca="1" ref="M244:N244" ca="1">Opt3Spd(H244:J244,$E$3:$G$3,$K$3:$M$3,$N$3:$P$3,$H$4,$I$3,$Q$3,$J$3)</f>
        <v>2.5721972384987191E-3</v>
      </c>
      <c r="N244" s="12">
        <f ca="1"/>
        <v>265.85741311363898</v>
      </c>
      <c r="O244" s="12">
        <f t="shared" ca="1" si="38"/>
        <v>0.589473042532211</v>
      </c>
    </row>
    <row r="245" spans="2:15" x14ac:dyDescent="0.15">
      <c r="B245" s="6">
        <f t="shared" ca="1" si="39"/>
        <v>-0.38810353285893123</v>
      </c>
      <c r="C245" s="6">
        <f t="shared" ca="1" si="39"/>
        <v>-0.81096672955533988</v>
      </c>
      <c r="D245" s="6">
        <f t="shared" ca="1" si="39"/>
        <v>0.56246945897902245</v>
      </c>
      <c r="E245" s="8">
        <f t="shared" ca="1" si="32"/>
        <v>-8.836496148904003E-3</v>
      </c>
      <c r="F245" s="8">
        <f t="shared" ca="1" si="33"/>
        <v>-3.3039031305609867E-2</v>
      </c>
      <c r="G245" s="8">
        <f t="shared" ca="1" si="34"/>
        <v>-1.0620487734270843E-2</v>
      </c>
      <c r="H245" s="10">
        <f t="shared" ca="1" si="35"/>
        <v>3980.5126314660015</v>
      </c>
      <c r="I245" s="10">
        <f t="shared" ca="1" si="36"/>
        <v>526.02676696974822</v>
      </c>
      <c r="J245" s="10">
        <f t="shared" ca="1" si="37"/>
        <v>2212.2525894261703</v>
      </c>
      <c r="K245" s="12">
        <f t="array" aca="1" ref="K245:L245" ca="1">Opt3Spd(H245:J245,$E$3:$G$3,$K$3:$M$3,$N$3:$P$3,$H$3,$I$3,$Q$3,$J$3)</f>
        <v>207.76498130058712</v>
      </c>
      <c r="L245" s="12">
        <f ca="1"/>
        <v>2.1471699268204247E-2</v>
      </c>
      <c r="M245" s="12">
        <f t="array" aca="1" ref="M245:N245" ca="1">Opt3Spd(H245:J245,$E$3:$G$3,$K$3:$M$3,$N$3:$P$3,$H$4,$I$3,$Q$3,$J$3)</f>
        <v>0.11228578986854565</v>
      </c>
      <c r="N245" s="12">
        <f ca="1"/>
        <v>192.36877618854962</v>
      </c>
      <c r="O245" s="12">
        <f t="shared" ca="1" si="38"/>
        <v>0.1337574891367499</v>
      </c>
    </row>
    <row r="246" spans="2:15" x14ac:dyDescent="0.15">
      <c r="B246" s="6">
        <f t="shared" ca="1" si="39"/>
        <v>-0.88339851034347472</v>
      </c>
      <c r="C246" s="6">
        <f t="shared" ca="1" si="39"/>
        <v>1.3493333600244981</v>
      </c>
      <c r="D246" s="6">
        <f t="shared" ca="1" si="39"/>
        <v>-1.9889630756981014</v>
      </c>
      <c r="E246" s="8">
        <f t="shared" ca="1" si="32"/>
        <v>-2.0113569894853404E-2</v>
      </c>
      <c r="F246" s="8">
        <f t="shared" ca="1" si="33"/>
        <v>-1.7492115547164506E-3</v>
      </c>
      <c r="G246" s="8">
        <f t="shared" ca="1" si="34"/>
        <v>-4.9726081003230421E-2</v>
      </c>
      <c r="H246" s="10">
        <f t="shared" ca="1" si="35"/>
        <v>3935.2239033022688</v>
      </c>
      <c r="I246" s="10">
        <f t="shared" ca="1" si="36"/>
        <v>543.04842891423425</v>
      </c>
      <c r="J246" s="10">
        <f t="shared" ca="1" si="37"/>
        <v>2124.8124828767768</v>
      </c>
      <c r="K246" s="12">
        <f t="array" aca="1" ref="K246:L246" ca="1">Opt3Spd(H246:J246,$E$3:$G$3,$K$3:$M$3,$N$3:$P$3,$H$3,$I$3,$Q$3,$J$3)</f>
        <v>179.02094637104096</v>
      </c>
      <c r="L246" s="12">
        <f ca="1"/>
        <v>8.0770769935270437E-2</v>
      </c>
      <c r="M246" s="12">
        <f t="array" aca="1" ref="M246:N246" ca="1">Opt3Spd(H246:J246,$E$3:$G$3,$K$3:$M$3,$N$3:$P$3,$H$4,$I$3,$Q$3,$J$3)</f>
        <v>2.6554486795289378E-2</v>
      </c>
      <c r="N246" s="12">
        <f ca="1"/>
        <v>221.08637888568958</v>
      </c>
      <c r="O246" s="12">
        <f t="shared" ca="1" si="38"/>
        <v>0.10732525673055981</v>
      </c>
    </row>
    <row r="247" spans="2:15" x14ac:dyDescent="0.15">
      <c r="B247" s="6">
        <f t="shared" ca="1" si="39"/>
        <v>0.11118698941810137</v>
      </c>
      <c r="C247" s="6">
        <f t="shared" ca="1" si="39"/>
        <v>-0.26497288472759273</v>
      </c>
      <c r="D247" s="6">
        <f t="shared" ca="1" si="39"/>
        <v>0.6269687918862934</v>
      </c>
      <c r="E247" s="8">
        <f t="shared" ca="1" si="32"/>
        <v>2.5315497557153281E-3</v>
      </c>
      <c r="F247" s="8">
        <f t="shared" ca="1" si="33"/>
        <v>-1.9670119213625321E-3</v>
      </c>
      <c r="G247" s="8">
        <f t="shared" ca="1" si="34"/>
        <v>9.9947532382270131E-3</v>
      </c>
      <c r="H247" s="10">
        <f t="shared" ca="1" si="35"/>
        <v>4026.1667038189526</v>
      </c>
      <c r="I247" s="10">
        <f t="shared" ca="1" si="36"/>
        <v>542.92994551477875</v>
      </c>
      <c r="J247" s="10">
        <f t="shared" ca="1" si="37"/>
        <v>2258.3482682406757</v>
      </c>
      <c r="K247" s="12">
        <f t="array" aca="1" ref="K247:L247" ca="1">Opt3Spd(H247:J247,$E$3:$G$3,$K$3:$M$3,$N$3:$P$3,$H$3,$I$3,$Q$3,$J$3)</f>
        <v>203.33321774518572</v>
      </c>
      <c r="L247" s="12">
        <f ca="1"/>
        <v>2.8560870217006595E-2</v>
      </c>
      <c r="M247" s="12">
        <f t="array" aca="1" ref="M247:N247" ca="1">Opt3Spd(H247:J247,$E$3:$G$3,$K$3:$M$3,$N$3:$P$3,$H$4,$I$3,$Q$3,$J$3)</f>
        <v>9.5956458646798026E-2</v>
      </c>
      <c r="N247" s="12">
        <f ca="1"/>
        <v>196.7912995836781</v>
      </c>
      <c r="O247" s="12">
        <f t="shared" ca="1" si="38"/>
        <v>0.12451732886380462</v>
      </c>
    </row>
    <row r="248" spans="2:15" x14ac:dyDescent="0.15">
      <c r="B248" s="6">
        <f t="shared" ca="1" si="39"/>
        <v>0.23970004702968811</v>
      </c>
      <c r="C248" s="6">
        <f t="shared" ca="1" si="39"/>
        <v>1.6653086652169082</v>
      </c>
      <c r="D248" s="6">
        <f t="shared" ca="1" si="39"/>
        <v>-8.9477077028863136E-2</v>
      </c>
      <c r="E248" s="8">
        <f t="shared" ca="1" si="32"/>
        <v>5.4575863478157072E-3</v>
      </c>
      <c r="F248" s="8">
        <f t="shared" ca="1" si="33"/>
        <v>4.7174261218497535E-2</v>
      </c>
      <c r="G248" s="8">
        <f t="shared" ca="1" si="34"/>
        <v>1.2687328337475722E-2</v>
      </c>
      <c r="H248" s="10">
        <f t="shared" ca="1" si="35"/>
        <v>4037.9176667728279</v>
      </c>
      <c r="I248" s="10">
        <f t="shared" ca="1" si="36"/>
        <v>569.66279810286267</v>
      </c>
      <c r="J248" s="10">
        <f t="shared" ca="1" si="37"/>
        <v>2264.3688661625956</v>
      </c>
      <c r="K248" s="12">
        <f t="array" aca="1" ref="K248:L248" ca="1">Opt3Spd(H248:J248,$E$3:$G$3,$K$3:$M$3,$N$3:$P$3,$H$3,$I$3,$Q$3,$J$3)</f>
        <v>169.41700815972581</v>
      </c>
      <c r="L248" s="12">
        <f ca="1"/>
        <v>0.14425143277594543</v>
      </c>
      <c r="M248" s="12">
        <f t="array" aca="1" ref="M248:N248" ca="1">Opt3Spd(H248:J248,$E$3:$G$3,$K$3:$M$3,$N$3:$P$3,$H$4,$I$3,$Q$3,$J$3)</f>
        <v>1.9098266786621743E-2</v>
      </c>
      <c r="N248" s="12">
        <f ca="1"/>
        <v>230.74634153983675</v>
      </c>
      <c r="O248" s="12">
        <f t="shared" ca="1" si="38"/>
        <v>0.16334969956256717</v>
      </c>
    </row>
    <row r="249" spans="2:15" x14ac:dyDescent="0.15">
      <c r="B249" s="6">
        <f t="shared" ca="1" si="39"/>
        <v>-1.0905527845138567</v>
      </c>
      <c r="C249" s="6">
        <f t="shared" ca="1" si="39"/>
        <v>-0.59848326440608801</v>
      </c>
      <c r="D249" s="6">
        <f t="shared" ca="1" si="39"/>
        <v>-1.5878635077407963</v>
      </c>
      <c r="E249" s="8">
        <f t="shared" ca="1" si="32"/>
        <v>-2.4830141095458644E-2</v>
      </c>
      <c r="F249" s="8">
        <f t="shared" ca="1" si="33"/>
        <v>-5.4210669003650486E-2</v>
      </c>
      <c r="G249" s="8">
        <f t="shared" ca="1" si="34"/>
        <v>-5.8718111613681498E-2</v>
      </c>
      <c r="H249" s="10">
        <f t="shared" ca="1" si="35"/>
        <v>3916.2821533606379</v>
      </c>
      <c r="I249" s="10">
        <f t="shared" ca="1" si="36"/>
        <v>514.50939606201416</v>
      </c>
      <c r="J249" s="10">
        <f t="shared" ca="1" si="37"/>
        <v>2104.7063024318081</v>
      </c>
      <c r="K249" s="12">
        <f t="array" aca="1" ref="K249:L249" ca="1">Opt3Spd(H249:J249,$E$3:$G$3,$K$3:$M$3,$N$3:$P$3,$H$3,$I$3,$Q$3,$J$3)</f>
        <v>215.72642943943265</v>
      </c>
      <c r="L249" s="12">
        <f ca="1"/>
        <v>1.2460993921422414E-2</v>
      </c>
      <c r="M249" s="12">
        <f t="array" aca="1" ref="M249:N249" ca="1">Opt3Spd(H249:J249,$E$3:$G$3,$K$3:$M$3,$N$3:$P$3,$H$4,$I$3,$Q$3,$J$3)</f>
        <v>0.14675723573171418</v>
      </c>
      <c r="N249" s="12">
        <f ca="1"/>
        <v>184.43278879022048</v>
      </c>
      <c r="O249" s="12">
        <f t="shared" ca="1" si="38"/>
        <v>0.15921822965313659</v>
      </c>
    </row>
    <row r="250" spans="2:15" x14ac:dyDescent="0.15">
      <c r="B250" s="6">
        <f t="shared" ca="1" si="39"/>
        <v>-6.9114932563947198E-2</v>
      </c>
      <c r="C250" s="6">
        <f t="shared" ca="1" si="39"/>
        <v>-1.0284003713548309</v>
      </c>
      <c r="D250" s="6">
        <f t="shared" ca="1" si="39"/>
        <v>1.6263371236457849</v>
      </c>
      <c r="E250" s="8">
        <f t="shared" ca="1" si="32"/>
        <v>-1.5736363720633027E-3</v>
      </c>
      <c r="F250" s="8">
        <f t="shared" ca="1" si="33"/>
        <v>-2.6205094901580017E-2</v>
      </c>
      <c r="G250" s="8">
        <f t="shared" ca="1" si="34"/>
        <v>1.1800871244344925E-2</v>
      </c>
      <c r="H250" s="10">
        <f t="shared" ca="1" si="35"/>
        <v>4009.6802763297937</v>
      </c>
      <c r="I250" s="10">
        <f t="shared" ca="1" si="36"/>
        <v>529.74442837354047</v>
      </c>
      <c r="J250" s="10">
        <f t="shared" ca="1" si="37"/>
        <v>2262.3867481023553</v>
      </c>
      <c r="K250" s="12">
        <f t="array" aca="1" ref="K250:L250" ca="1">Opt3Spd(H250:J250,$E$3:$G$3,$K$3:$M$3,$N$3:$P$3,$H$3,$I$3,$Q$3,$J$3)</f>
        <v>205.92079084132729</v>
      </c>
      <c r="L250" s="12">
        <f ca="1"/>
        <v>2.4973960375973547E-2</v>
      </c>
      <c r="M250" s="12">
        <f t="array" aca="1" ref="M250:N250" ca="1">Opt3Spd(H250:J250,$E$3:$G$3,$K$3:$M$3,$N$3:$P$3,$H$4,$I$3,$Q$3,$J$3)</f>
        <v>0.10771238373983927</v>
      </c>
      <c r="N250" s="12">
        <f ca="1"/>
        <v>194.21189550278854</v>
      </c>
      <c r="O250" s="12">
        <f t="shared" ca="1" si="38"/>
        <v>0.13268634411581282</v>
      </c>
    </row>
    <row r="251" spans="2:15" x14ac:dyDescent="0.15">
      <c r="B251" s="6">
        <f t="shared" ca="1" si="39"/>
        <v>0.35169040629217457</v>
      </c>
      <c r="C251" s="6">
        <f t="shared" ca="1" si="39"/>
        <v>0.3884279815964678</v>
      </c>
      <c r="D251" s="6">
        <f t="shared" ca="1" si="39"/>
        <v>1.3830006549345686</v>
      </c>
      <c r="E251" s="8">
        <f t="shared" ca="1" si="32"/>
        <v>8.0074275488156484E-3</v>
      </c>
      <c r="F251" s="8">
        <f t="shared" ca="1" si="33"/>
        <v>2.1974809585920067E-2</v>
      </c>
      <c r="G251" s="8">
        <f t="shared" ca="1" si="34"/>
        <v>2.8781309906930549E-2</v>
      </c>
      <c r="H251" s="10">
        <f t="shared" ca="1" si="35"/>
        <v>4048.1578290360435</v>
      </c>
      <c r="I251" s="10">
        <f t="shared" ca="1" si="36"/>
        <v>555.9542964147405</v>
      </c>
      <c r="J251" s="10">
        <f t="shared" ca="1" si="37"/>
        <v>2300.3550089518967</v>
      </c>
      <c r="K251" s="12">
        <f t="array" aca="1" ref="K251:L251" ca="1">Opt3Spd(H251:J251,$E$3:$G$3,$K$3:$M$3,$N$3:$P$3,$H$3,$I$3,$Q$3,$J$3)</f>
        <v>183.53122158272117</v>
      </c>
      <c r="L251" s="12">
        <f ca="1"/>
        <v>7.7771286210918333E-2</v>
      </c>
      <c r="M251" s="12">
        <f t="array" aca="1" ref="M251:N251" ca="1">Opt3Spd(H251:J251,$E$3:$G$3,$K$3:$M$3,$N$3:$P$3,$H$4,$I$3,$Q$3,$J$3)</f>
        <v>3.973182140061926E-2</v>
      </c>
      <c r="N251" s="12">
        <f ca="1"/>
        <v>216.58628152489035</v>
      </c>
      <c r="O251" s="12">
        <f t="shared" ca="1" si="38"/>
        <v>0.11750310761153759</v>
      </c>
    </row>
    <row r="252" spans="2:15" x14ac:dyDescent="0.15">
      <c r="B252" s="6">
        <f t="shared" ca="1" si="39"/>
        <v>1.4658112758907731</v>
      </c>
      <c r="C252" s="6">
        <f t="shared" ca="1" si="39"/>
        <v>1.0247146959062807</v>
      </c>
      <c r="D252" s="6">
        <f t="shared" ca="1" si="39"/>
        <v>-0.58595964637921594</v>
      </c>
      <c r="E252" s="8">
        <f t="shared" ca="1" si="32"/>
        <v>3.3374176212760565E-2</v>
      </c>
      <c r="F252" s="8">
        <f t="shared" ca="1" si="33"/>
        <v>7.7928746252601933E-2</v>
      </c>
      <c r="G252" s="8">
        <f t="shared" ca="1" si="34"/>
        <v>5.0583979505814378E-2</v>
      </c>
      <c r="H252" s="10">
        <f t="shared" ca="1" si="35"/>
        <v>4150.0306916704467</v>
      </c>
      <c r="I252" s="10">
        <f t="shared" ca="1" si="36"/>
        <v>586.39323796141548</v>
      </c>
      <c r="J252" s="10">
        <f t="shared" ca="1" si="37"/>
        <v>2349.1057781750005</v>
      </c>
      <c r="K252" s="12">
        <f t="array" aca="1" ref="K252:L252" ca="1">Opt3Spd(H252:J252,$E$3:$G$3,$K$3:$M$3,$N$3:$P$3,$H$3,$I$3,$Q$3,$J$3)</f>
        <v>212.26980546548793</v>
      </c>
      <c r="L252" s="12">
        <f ca="1"/>
        <v>2.1183620806368708E-2</v>
      </c>
      <c r="M252" s="12">
        <f t="array" aca="1" ref="M252:N252" ca="1">Opt3Spd(H252:J252,$E$3:$G$3,$K$3:$M$3,$N$3:$P$3,$H$4,$I$3,$Q$3,$J$3)</f>
        <v>0.15529776718563681</v>
      </c>
      <c r="N252" s="12">
        <f ca="1"/>
        <v>187.90667592250406</v>
      </c>
      <c r="O252" s="12">
        <f t="shared" ca="1" si="38"/>
        <v>0.17648138799200552</v>
      </c>
    </row>
    <row r="253" spans="2:15" x14ac:dyDescent="0.15">
      <c r="B253" s="6">
        <f t="shared" ca="1" si="39"/>
        <v>0.36470815434998849</v>
      </c>
      <c r="C253" s="6">
        <f t="shared" ca="1" si="39"/>
        <v>0.24587672124515214</v>
      </c>
      <c r="D253" s="6">
        <f t="shared" ca="1" si="39"/>
        <v>-0.46547914970012194</v>
      </c>
      <c r="E253" s="8">
        <f t="shared" ca="1" si="32"/>
        <v>8.3038208326719105E-3</v>
      </c>
      <c r="F253" s="8">
        <f t="shared" ca="1" si="33"/>
        <v>1.9180644405656262E-2</v>
      </c>
      <c r="G253" s="8">
        <f t="shared" ca="1" si="34"/>
        <v>9.1537827671736571E-3</v>
      </c>
      <c r="H253" s="10">
        <f t="shared" ca="1" si="35"/>
        <v>4049.3481444640106</v>
      </c>
      <c r="I253" s="10">
        <f t="shared" ca="1" si="36"/>
        <v>554.43427055667712</v>
      </c>
      <c r="J253" s="10">
        <f t="shared" ca="1" si="37"/>
        <v>2256.4678582674005</v>
      </c>
      <c r="K253" s="12">
        <f t="array" aca="1" ref="K253:L253" ca="1">Opt3Spd(H253:J253,$E$3:$G$3,$K$3:$M$3,$N$3:$P$3,$H$3,$I$3,$Q$3,$J$3)</f>
        <v>209.04100920390874</v>
      </c>
      <c r="L253" s="12">
        <f ca="1"/>
        <v>2.1626764281791111E-2</v>
      </c>
      <c r="M253" s="12">
        <f t="array" aca="1" ref="M253:N253" ca="1">Opt3Spd(H253:J253,$E$3:$G$3,$K$3:$M$3,$N$3:$P$3,$H$4,$I$3,$Q$3,$J$3)</f>
        <v>0.12395666888373569</v>
      </c>
      <c r="N253" s="12">
        <f ca="1"/>
        <v>191.1045742292568</v>
      </c>
      <c r="O253" s="12">
        <f t="shared" ca="1" si="38"/>
        <v>0.1455834331655268</v>
      </c>
    </row>
    <row r="254" spans="2:15" x14ac:dyDescent="0.15">
      <c r="B254" s="6">
        <f t="shared" ca="1" si="39"/>
        <v>-0.11454502805108419</v>
      </c>
      <c r="C254" s="6">
        <f t="shared" ca="1" si="39"/>
        <v>0.46340684021790635</v>
      </c>
      <c r="D254" s="6">
        <f t="shared" ca="1" si="39"/>
        <v>-3.0113841698245283E-2</v>
      </c>
      <c r="E254" s="8">
        <f t="shared" ca="1" si="32"/>
        <v>-2.6080069196829881E-3</v>
      </c>
      <c r="F254" s="8">
        <f t="shared" ca="1" si="33"/>
        <v>6.404148873404578E-3</v>
      </c>
      <c r="G254" s="8">
        <f t="shared" ca="1" si="34"/>
        <v>-3.183745880152558E-3</v>
      </c>
      <c r="H254" s="10">
        <f t="shared" ca="1" si="35"/>
        <v>4005.5262442105532</v>
      </c>
      <c r="I254" s="10">
        <f t="shared" ca="1" si="36"/>
        <v>547.48385698713207</v>
      </c>
      <c r="J254" s="10">
        <f t="shared" ca="1" si="37"/>
        <v>2228.8811442119791</v>
      </c>
      <c r="K254" s="12">
        <f t="array" aca="1" ref="K254:L254" ca="1">Opt3Spd(H254:J254,$E$3:$G$3,$K$3:$M$3,$N$3:$P$3,$H$3,$I$3,$Q$3,$J$3)</f>
        <v>190.16431736599952</v>
      </c>
      <c r="L254" s="12">
        <f ca="1"/>
        <v>5.2816440847209378E-2</v>
      </c>
      <c r="M254" s="12">
        <f t="array" aca="1" ref="M254:N254" ca="1">Opt3Spd(H254:J254,$E$3:$G$3,$K$3:$M$3,$N$3:$P$3,$H$4,$I$3,$Q$3,$J$3)</f>
        <v>5.0906093290249643E-2</v>
      </c>
      <c r="N254" s="12">
        <f ca="1"/>
        <v>209.93940516813794</v>
      </c>
      <c r="O254" s="12">
        <f t="shared" ca="1" si="38"/>
        <v>0.10372253413745902</v>
      </c>
    </row>
    <row r="255" spans="2:15" x14ac:dyDescent="0.15">
      <c r="B255" s="6">
        <f t="shared" ca="1" si="39"/>
        <v>1.1721830157170257</v>
      </c>
      <c r="C255" s="6">
        <f t="shared" ca="1" si="39"/>
        <v>-0.48136374278303723</v>
      </c>
      <c r="D255" s="6">
        <f t="shared" ca="1" si="39"/>
        <v>-1.741237997703373</v>
      </c>
      <c r="E255" s="8">
        <f t="shared" ca="1" si="32"/>
        <v>2.6688730782461402E-2</v>
      </c>
      <c r="F255" s="8">
        <f t="shared" ca="1" si="33"/>
        <v>3.2414561550072003E-2</v>
      </c>
      <c r="G255" s="8">
        <f t="shared" ca="1" si="34"/>
        <v>2.311720976443371E-2</v>
      </c>
      <c r="H255" s="10">
        <f t="shared" ca="1" si="35"/>
        <v>4123.1819428223653</v>
      </c>
      <c r="I255" s="10">
        <f t="shared" ca="1" si="36"/>
        <v>561.63352148323918</v>
      </c>
      <c r="J255" s="10">
        <f t="shared" ca="1" si="37"/>
        <v>2287.6900810332736</v>
      </c>
      <c r="K255" s="12">
        <f t="array" aca="1" ref="K255:L255" ca="1">Opt3Spd(H255:J255,$E$3:$G$3,$K$3:$M$3,$N$3:$P$3,$H$3,$I$3,$Q$3,$J$3)</f>
        <v>255.72508361127097</v>
      </c>
      <c r="L255" s="12">
        <f ca="1"/>
        <v>1.8156787252792128E-3</v>
      </c>
      <c r="M255" s="12">
        <f t="array" aca="1" ref="M255:N255" ca="1">Opt3Spd(H255:J255,$E$3:$G$3,$K$3:$M$3,$N$3:$P$3,$H$4,$I$3,$Q$3,$J$3)</f>
        <v>0.8066631818037564</v>
      </c>
      <c r="N255" s="12">
        <f ca="1"/>
        <v>145.08339524925805</v>
      </c>
      <c r="O255" s="12">
        <f t="shared" ca="1" si="38"/>
        <v>0.80847886052903561</v>
      </c>
    </row>
    <row r="256" spans="2:15" x14ac:dyDescent="0.15">
      <c r="B256" s="6">
        <f t="shared" ca="1" si="39"/>
        <v>-2.0524207539119628</v>
      </c>
      <c r="C256" s="6">
        <f t="shared" ca="1" si="39"/>
        <v>-1.3397049066528044</v>
      </c>
      <c r="D256" s="6">
        <f t="shared" ca="1" si="39"/>
        <v>0.87533397830994986</v>
      </c>
      <c r="E256" s="8">
        <f t="shared" ca="1" si="32"/>
        <v>-4.6730334955404552E-2</v>
      </c>
      <c r="F256" s="8">
        <f t="shared" ca="1" si="33"/>
        <v>-0.10692930642452261</v>
      </c>
      <c r="G256" s="8">
        <f t="shared" ca="1" si="34"/>
        <v>-6.9966744692713495E-2</v>
      </c>
      <c r="H256" s="10">
        <f t="shared" ca="1" si="35"/>
        <v>3828.3309748190954</v>
      </c>
      <c r="I256" s="10">
        <f t="shared" ca="1" si="36"/>
        <v>485.83045730505972</v>
      </c>
      <c r="J256" s="10">
        <f t="shared" ca="1" si="37"/>
        <v>2079.5543588670926</v>
      </c>
      <c r="K256" s="12">
        <f t="array" aca="1" ref="K256:L256" ca="1">Opt3Spd(H256:J256,$E$3:$G$3,$K$3:$M$3,$N$3:$P$3,$H$3,$I$3,$Q$3,$J$3)</f>
        <v>186.27861528433618</v>
      </c>
      <c r="L256" s="12">
        <f ca="1"/>
        <v>5.3551586882576885E-2</v>
      </c>
      <c r="M256" s="12">
        <f t="array" aca="1" ref="M256:N256" ca="1">Opt3Spd(H256:J256,$E$3:$G$3,$K$3:$M$3,$N$3:$P$3,$H$4,$I$3,$Q$3,$J$3)</f>
        <v>3.6282517641962997E-2</v>
      </c>
      <c r="N256" s="12">
        <f ca="1"/>
        <v>213.81121882018834</v>
      </c>
      <c r="O256" s="12">
        <f t="shared" ca="1" si="38"/>
        <v>8.9834104524539882E-2</v>
      </c>
    </row>
    <row r="257" spans="2:15" x14ac:dyDescent="0.15">
      <c r="B257" s="6">
        <f t="shared" ca="1" si="39"/>
        <v>0.1105222836848688</v>
      </c>
      <c r="C257" s="6">
        <f t="shared" ca="1" si="39"/>
        <v>0.19640033209364052</v>
      </c>
      <c r="D257" s="6">
        <f t="shared" ca="1" si="39"/>
        <v>-1.173888713401914</v>
      </c>
      <c r="E257" s="8">
        <f t="shared" ca="1" si="32"/>
        <v>2.5164154702616601E-3</v>
      </c>
      <c r="F257" s="8">
        <f t="shared" ca="1" si="33"/>
        <v>8.6146086730358208E-3</v>
      </c>
      <c r="G257" s="8">
        <f t="shared" ca="1" si="34"/>
        <v>-7.8749468804198402E-3</v>
      </c>
      <c r="H257" s="10">
        <f t="shared" ca="1" si="35"/>
        <v>4026.105924528571</v>
      </c>
      <c r="I257" s="10">
        <f t="shared" ca="1" si="36"/>
        <v>548.68634711813149</v>
      </c>
      <c r="J257" s="10">
        <f t="shared" ca="1" si="37"/>
        <v>2218.3916187753812</v>
      </c>
      <c r="K257" s="12">
        <f t="array" aca="1" ref="K257:L257" ca="1">Opt3Spd(H257:J257,$E$3:$G$3,$K$3:$M$3,$N$3:$P$3,$H$3,$I$3,$Q$3,$J$3)</f>
        <v>214.0279155467299</v>
      </c>
      <c r="L257" s="12">
        <f ca="1"/>
        <v>1.595579485979215E-2</v>
      </c>
      <c r="M257" s="12">
        <f t="array" aca="1" ref="M257:N257" ca="1">Opt3Spd(H257:J257,$E$3:$G$3,$K$3:$M$3,$N$3:$P$3,$H$4,$I$3,$Q$3,$J$3)</f>
        <v>0.14931759735114269</v>
      </c>
      <c r="N257" s="12">
        <f ca="1"/>
        <v>186.13735784548103</v>
      </c>
      <c r="O257" s="12">
        <f t="shared" ca="1" si="38"/>
        <v>0.16527339221093484</v>
      </c>
    </row>
    <row r="258" spans="2:15" x14ac:dyDescent="0.15">
      <c r="B258" s="6">
        <f t="shared" ca="1" si="39"/>
        <v>0.52709902932991859</v>
      </c>
      <c r="C258" s="6">
        <f t="shared" ca="1" si="39"/>
        <v>1.6060044561316307</v>
      </c>
      <c r="D258" s="6">
        <f t="shared" ca="1" si="39"/>
        <v>9.8898179373900871E-2</v>
      </c>
      <c r="E258" s="8">
        <f t="shared" ca="1" si="32"/>
        <v>1.2001201093054362E-2</v>
      </c>
      <c r="F258" s="8">
        <f t="shared" ca="1" si="33"/>
        <v>5.6471585600976842E-2</v>
      </c>
      <c r="G258" s="8">
        <f t="shared" ca="1" si="34"/>
        <v>2.5080513030703196E-2</v>
      </c>
      <c r="H258" s="10">
        <f t="shared" ca="1" si="35"/>
        <v>4064.1968235897061</v>
      </c>
      <c r="I258" s="10">
        <f t="shared" ca="1" si="36"/>
        <v>574.72054256693139</v>
      </c>
      <c r="J258" s="10">
        <f t="shared" ca="1" si="37"/>
        <v>2292.0800271366525</v>
      </c>
      <c r="K258" s="12">
        <f t="array" aca="1" ref="K258:L258" ca="1">Opt3Spd(H258:J258,$E$3:$G$3,$K$3:$M$3,$N$3:$P$3,$H$3,$I$3,$Q$3,$J$3)</f>
        <v>173.72646643967892</v>
      </c>
      <c r="L258" s="12">
        <f ca="1"/>
        <v>0.1225245253895082</v>
      </c>
      <c r="M258" s="12">
        <f t="array" aca="1" ref="M258:N258" ca="1">Opt3Spd(H258:J258,$E$3:$G$3,$K$3:$M$3,$N$3:$P$3,$H$4,$I$3,$Q$3,$J$3)</f>
        <v>2.4580223044380567E-2</v>
      </c>
      <c r="N258" s="12">
        <f ca="1"/>
        <v>226.42063830875497</v>
      </c>
      <c r="O258" s="12">
        <f t="shared" ca="1" si="38"/>
        <v>0.14710474843388877</v>
      </c>
    </row>
    <row r="259" spans="2:15" x14ac:dyDescent="0.15">
      <c r="B259" s="6">
        <f t="shared" ca="1" si="39"/>
        <v>0.42629247288289379</v>
      </c>
      <c r="C259" s="6">
        <f t="shared" ca="1" si="39"/>
        <v>-0.25065951100928774</v>
      </c>
      <c r="D259" s="6">
        <f t="shared" ca="1" si="39"/>
        <v>1.062842767241676</v>
      </c>
      <c r="E259" s="8">
        <f t="shared" ca="1" si="32"/>
        <v>9.7059971786076695E-3</v>
      </c>
      <c r="F259" s="8">
        <f t="shared" ca="1" si="33"/>
        <v>1.0050401622317958E-2</v>
      </c>
      <c r="G259" s="8">
        <f t="shared" ca="1" si="34"/>
        <v>2.625615673877196E-2</v>
      </c>
      <c r="H259" s="10">
        <f t="shared" ca="1" si="35"/>
        <v>4054.979284669289</v>
      </c>
      <c r="I259" s="10">
        <f t="shared" ca="1" si="36"/>
        <v>549.46741848254101</v>
      </c>
      <c r="J259" s="10">
        <f t="shared" ca="1" si="37"/>
        <v>2294.7087664678943</v>
      </c>
      <c r="K259" s="12">
        <f t="array" aca="1" ref="K259:L259" ca="1">Opt3Spd(H259:J259,$E$3:$G$3,$K$3:$M$3,$N$3:$P$3,$H$3,$I$3,$Q$3,$J$3)</f>
        <v>203.50664463487806</v>
      </c>
      <c r="L259" s="12">
        <f ca="1"/>
        <v>2.9612771601932764E-2</v>
      </c>
      <c r="M259" s="12">
        <f t="array" aca="1" ref="M259:N259" ca="1">Opt3Spd(H259:J259,$E$3:$G$3,$K$3:$M$3,$N$3:$P$3,$H$4,$I$3,$Q$3,$J$3)</f>
        <v>9.9838314038361631E-2</v>
      </c>
      <c r="N259" s="12">
        <f ca="1"/>
        <v>196.62280645076223</v>
      </c>
      <c r="O259" s="12">
        <f t="shared" ca="1" si="38"/>
        <v>0.12945108564029439</v>
      </c>
    </row>
    <row r="260" spans="2:15" x14ac:dyDescent="0.15">
      <c r="B260" s="6">
        <f t="shared" ca="1" si="39"/>
        <v>-0.30735716176490907</v>
      </c>
      <c r="C260" s="6">
        <f t="shared" ca="1" si="39"/>
        <v>-0.70617546174420143</v>
      </c>
      <c r="D260" s="6">
        <f t="shared" ca="1" si="39"/>
        <v>2.0196639472782048</v>
      </c>
      <c r="E260" s="8">
        <f t="shared" ca="1" si="32"/>
        <v>-6.9980305416619008E-3</v>
      </c>
      <c r="F260" s="8">
        <f t="shared" ca="1" si="33"/>
        <v>-2.7634870661827213E-2</v>
      </c>
      <c r="G260" s="8">
        <f t="shared" ca="1" si="34"/>
        <v>8.1737807509550189E-3</v>
      </c>
      <c r="H260" s="10">
        <f t="shared" ca="1" si="35"/>
        <v>3987.8959093446856</v>
      </c>
      <c r="I260" s="10">
        <f t="shared" ca="1" si="36"/>
        <v>528.96663035996596</v>
      </c>
      <c r="J260" s="10">
        <f t="shared" ca="1" si="37"/>
        <v>2254.2765737591353</v>
      </c>
      <c r="K260" s="12">
        <f t="array" aca="1" ref="K260:L260" ca="1">Opt3Spd(H260:J260,$E$3:$G$3,$K$3:$M$3,$N$3:$P$3,$H$3,$I$3,$Q$3,$J$3)</f>
        <v>189.46628755247366</v>
      </c>
      <c r="L260" s="12">
        <f ca="1"/>
        <v>5.5273663301250053E-2</v>
      </c>
      <c r="M260" s="12">
        <f t="array" aca="1" ref="M260:N260" ca="1">Opt3Spd(H260:J260,$E$3:$G$3,$K$3:$M$3,$N$3:$P$3,$H$4,$I$3,$Q$3,$J$3)</f>
        <v>5.0078375471030334E-2</v>
      </c>
      <c r="N260" s="12">
        <f ca="1"/>
        <v>210.63906448629862</v>
      </c>
      <c r="O260" s="12">
        <f t="shared" ca="1" si="38"/>
        <v>0.10535203877228039</v>
      </c>
    </row>
    <row r="261" spans="2:15" x14ac:dyDescent="0.15">
      <c r="B261" s="6">
        <f t="shared" ca="1" si="39"/>
        <v>1.6458874779359163</v>
      </c>
      <c r="C261" s="6">
        <f t="shared" ca="1" si="39"/>
        <v>1.3322745492481924</v>
      </c>
      <c r="D261" s="6">
        <f t="shared" ca="1" si="39"/>
        <v>-9.2469741832517202E-2</v>
      </c>
      <c r="E261" s="8">
        <f t="shared" ref="E261:E324" ca="1" si="40">B261*$U$3*$C$6</f>
        <v>3.7474223058918898E-2</v>
      </c>
      <c r="F261" s="8">
        <f t="shared" ref="F261:F324" ca="1" si="41">($N$3*B261+C261*SQRT(1-$N$3^2))*$V$3*$C$6</f>
        <v>9.1678744710008447E-2</v>
      </c>
      <c r="G261" s="8">
        <f t="shared" ref="G261:G324" ca="1" si="42">(D261/$T$3+($P$3-$N$3*$O$3)*C261+$O$3*B261*SQRT(1/(1-$N$3^2)))*$W$3*$C$6</f>
        <v>6.3349698415336636E-2</v>
      </c>
      <c r="H261" s="10">
        <f t="shared" ref="H261:H324" ca="1" si="43">B$3*(1+E261)</f>
        <v>4166.4964798046185</v>
      </c>
      <c r="I261" s="10">
        <f t="shared" ref="I261:I324" ca="1" si="44">C$3*(1+F261)</f>
        <v>593.87323712224463</v>
      </c>
      <c r="J261" s="10">
        <f t="shared" ref="J261:J324" ca="1" si="45">D$3*(1+G261)</f>
        <v>2377.6499256566926</v>
      </c>
      <c r="K261" s="12">
        <f t="array" aca="1" ref="K261:L261" ca="1">Opt3Spd(H261:J261,$E$3:$G$3,$K$3:$M$3,$N$3:$P$3,$H$3,$I$3,$Q$3,$J$3)</f>
        <v>202.5100240707277</v>
      </c>
      <c r="L261" s="12">
        <f ca="1"/>
        <v>3.5686490046828112E-2</v>
      </c>
      <c r="M261" s="12">
        <f t="array" aca="1" ref="M261:N261" ca="1">Opt3Spd(H261:J261,$E$3:$G$3,$K$3:$M$3,$N$3:$P$3,$H$4,$I$3,$Q$3,$J$3)</f>
        <v>0.10459240279920401</v>
      </c>
      <c r="N261" s="12">
        <f ca="1"/>
        <v>197.63025482211833</v>
      </c>
      <c r="O261" s="12">
        <f t="shared" ca="1" si="38"/>
        <v>0.14027889284603212</v>
      </c>
    </row>
    <row r="262" spans="2:15" x14ac:dyDescent="0.15">
      <c r="B262" s="6">
        <f t="shared" ca="1" si="39"/>
        <v>-1.1477229906115445</v>
      </c>
      <c r="C262" s="6">
        <f t="shared" ca="1" si="39"/>
        <v>1.5392835771096149</v>
      </c>
      <c r="D262" s="6">
        <f t="shared" ca="1" si="39"/>
        <v>-2.4939437478759938</v>
      </c>
      <c r="E262" s="8">
        <f t="shared" ca="1" si="40"/>
        <v>-2.6131815167562213E-2</v>
      </c>
      <c r="F262" s="8">
        <f t="shared" ca="1" si="41"/>
        <v>-7.1872661257567708E-3</v>
      </c>
      <c r="G262" s="8">
        <f t="shared" ca="1" si="42"/>
        <v>-6.4265099168022394E-2</v>
      </c>
      <c r="H262" s="10">
        <f t="shared" ca="1" si="43"/>
        <v>3911.0546302870698</v>
      </c>
      <c r="I262" s="10">
        <f t="shared" ca="1" si="44"/>
        <v>540.09012722758825</v>
      </c>
      <c r="J262" s="10">
        <f t="shared" ca="1" si="45"/>
        <v>2092.3032382603019</v>
      </c>
      <c r="K262" s="12">
        <f t="array" aca="1" ref="K262:L262" ca="1">Opt3Spd(H262:J262,$E$3:$G$3,$K$3:$M$3,$N$3:$P$3,$H$3,$I$3,$Q$3,$J$3)</f>
        <v>175.84956686855048</v>
      </c>
      <c r="L262" s="12">
        <f ca="1"/>
        <v>9.0759275772825276E-2</v>
      </c>
      <c r="M262" s="12">
        <f t="array" aca="1" ref="M262:N262" ca="1">Opt3Spd(H262:J262,$E$3:$G$3,$K$3:$M$3,$N$3:$P$3,$H$4,$I$3,$Q$3,$J$3)</f>
        <v>2.1799160760395342E-2</v>
      </c>
      <c r="N262" s="12">
        <f ca="1"/>
        <v>224.26299156798274</v>
      </c>
      <c r="O262" s="12">
        <f t="shared" ca="1" si="38"/>
        <v>0.11255843653322062</v>
      </c>
    </row>
    <row r="263" spans="2:15" x14ac:dyDescent="0.15">
      <c r="B263" s="6">
        <f t="shared" ca="1" si="39"/>
        <v>3.0225930394589012E-2</v>
      </c>
      <c r="C263" s="6">
        <f t="shared" ca="1" si="39"/>
        <v>0.58850843045140966</v>
      </c>
      <c r="D263" s="6">
        <f t="shared" ca="1" si="39"/>
        <v>-0.46689928725929236</v>
      </c>
      <c r="E263" s="8">
        <f t="shared" ca="1" si="40"/>
        <v>6.8819604800121538E-4</v>
      </c>
      <c r="F263" s="8">
        <f t="shared" ca="1" si="41"/>
        <v>1.4650110422159298E-2</v>
      </c>
      <c r="G263" s="8">
        <f t="shared" ca="1" si="42"/>
        <v>-2.1550291238895923E-3</v>
      </c>
      <c r="H263" s="10">
        <f t="shared" ca="1" si="43"/>
        <v>4018.7637953287726</v>
      </c>
      <c r="I263" s="10">
        <f t="shared" ca="1" si="44"/>
        <v>551.96966006965465</v>
      </c>
      <c r="J263" s="10">
        <f t="shared" ca="1" si="45"/>
        <v>2231.1813548789828</v>
      </c>
      <c r="K263" s="12">
        <f t="array" aca="1" ref="K263:L263" ca="1">Opt3Spd(H263:J263,$E$3:$G$3,$K$3:$M$3,$N$3:$P$3,$H$3,$I$3,$Q$3,$J$3)</f>
        <v>195.06362759597482</v>
      </c>
      <c r="L263" s="12">
        <f ca="1"/>
        <v>4.1965818141306954E-2</v>
      </c>
      <c r="M263" s="12">
        <f t="array" aca="1" ref="M263:N263" ca="1">Opt3Spd(H263:J263,$E$3:$G$3,$K$3:$M$3,$N$3:$P$3,$H$4,$I$3,$Q$3,$J$3)</f>
        <v>6.4402148588126096E-2</v>
      </c>
      <c r="N263" s="12">
        <f ca="1"/>
        <v>205.04274037075461</v>
      </c>
      <c r="O263" s="12">
        <f t="shared" ca="1" si="38"/>
        <v>0.10636796672943305</v>
      </c>
    </row>
    <row r="264" spans="2:15" x14ac:dyDescent="0.15">
      <c r="B264" s="6">
        <f t="shared" ca="1" si="39"/>
        <v>1.1300648161593403</v>
      </c>
      <c r="C264" s="6">
        <f t="shared" ca="1" si="39"/>
        <v>2.2506802155169447</v>
      </c>
      <c r="D264" s="6">
        <f t="shared" ca="1" si="39"/>
        <v>-0.16651529667164333</v>
      </c>
      <c r="E264" s="8">
        <f t="shared" ca="1" si="40"/>
        <v>2.5729766803317372E-2</v>
      </c>
      <c r="F264" s="8">
        <f t="shared" ca="1" si="41"/>
        <v>9.3657834077539526E-2</v>
      </c>
      <c r="G264" s="8">
        <f t="shared" ca="1" si="42"/>
        <v>4.6276506256181044E-2</v>
      </c>
      <c r="H264" s="10">
        <f t="shared" ca="1" si="43"/>
        <v>4119.3307434821227</v>
      </c>
      <c r="I264" s="10">
        <f t="shared" ca="1" si="44"/>
        <v>594.94986173818154</v>
      </c>
      <c r="J264" s="10">
        <f t="shared" ca="1" si="45"/>
        <v>2339.4742679888204</v>
      </c>
      <c r="K264" s="12">
        <f t="array" aca="1" ref="K264:L264" ca="1">Opt3Spd(H264:J264,$E$3:$G$3,$K$3:$M$3,$N$3:$P$3,$H$3,$I$3,$Q$3,$J$3)</f>
        <v>172.80951481953616</v>
      </c>
      <c r="L264" s="12">
        <f ca="1"/>
        <v>0.13568411291407756</v>
      </c>
      <c r="M264" s="12">
        <f t="array" aca="1" ref="M264:N264" ca="1">Opt3Spd(H264:J264,$E$3:$G$3,$K$3:$M$3,$N$3:$P$3,$H$4,$I$3,$Q$3,$J$3)</f>
        <v>2.5080569531466868E-2</v>
      </c>
      <c r="N264" s="12">
        <f ca="1"/>
        <v>227.35124986290938</v>
      </c>
      <c r="O264" s="12">
        <f t="shared" ca="1" si="38"/>
        <v>0.16076468244554443</v>
      </c>
    </row>
    <row r="265" spans="2:15" x14ac:dyDescent="0.15">
      <c r="B265" s="6">
        <f t="shared" ca="1" si="39"/>
        <v>-0.97313923731298813</v>
      </c>
      <c r="C265" s="6">
        <f t="shared" ca="1" si="39"/>
        <v>0.47610388186059349</v>
      </c>
      <c r="D265" s="6">
        <f t="shared" ca="1" si="39"/>
        <v>1.634743512570191</v>
      </c>
      <c r="E265" s="8">
        <f t="shared" ca="1" si="40"/>
        <v>-2.2156822586794734E-2</v>
      </c>
      <c r="F265" s="8">
        <f t="shared" ca="1" si="41"/>
        <v>-2.5152244078984316E-2</v>
      </c>
      <c r="G265" s="8">
        <f t="shared" ca="1" si="42"/>
        <v>-1.6954425798716737E-2</v>
      </c>
      <c r="H265" s="10">
        <f t="shared" ca="1" si="43"/>
        <v>3927.0182004914323</v>
      </c>
      <c r="I265" s="10">
        <f t="shared" ca="1" si="44"/>
        <v>530.31717922103257</v>
      </c>
      <c r="J265" s="10">
        <f t="shared" ca="1" si="45"/>
        <v>2198.0899039140695</v>
      </c>
      <c r="K265" s="12">
        <f t="array" aca="1" ref="K265:L265" ca="1">Opt3Spd(H265:J265,$E$3:$G$3,$K$3:$M$3,$N$3:$P$3,$H$3,$I$3,$Q$3,$J$3)</f>
        <v>154.71798517429193</v>
      </c>
      <c r="L265" s="12">
        <f ca="1"/>
        <v>0.2522233935467284</v>
      </c>
      <c r="M265" s="12">
        <f t="array" aca="1" ref="M265:N265" ca="1">Opt3Spd(H265:J265,$E$3:$G$3,$K$3:$M$3,$N$3:$P$3,$H$4,$I$3,$Q$3,$J$3)</f>
        <v>7.8699943826530117E-3</v>
      </c>
      <c r="N265" s="12">
        <f ca="1"/>
        <v>245.54210821363745</v>
      </c>
      <c r="O265" s="12">
        <f t="shared" ca="1" si="38"/>
        <v>0.26009338792938141</v>
      </c>
    </row>
    <row r="266" spans="2:15" x14ac:dyDescent="0.15">
      <c r="B266" s="6">
        <f t="shared" ca="1" si="39"/>
        <v>-1.1095150392530464</v>
      </c>
      <c r="C266" s="6">
        <f t="shared" ca="1" si="39"/>
        <v>1.1954653772199708</v>
      </c>
      <c r="D266" s="6">
        <f t="shared" ca="1" si="39"/>
        <v>0.74536556208545557</v>
      </c>
      <c r="E266" s="8">
        <f t="shared" ca="1" si="40"/>
        <v>-2.5261881280205411E-2</v>
      </c>
      <c r="F266" s="8">
        <f t="shared" ca="1" si="41"/>
        <v>-1.3673862533462517E-2</v>
      </c>
      <c r="G266" s="8">
        <f t="shared" ca="1" si="42"/>
        <v>-2.9350957171824659E-2</v>
      </c>
      <c r="H266" s="10">
        <f t="shared" ca="1" si="43"/>
        <v>3914.5482847786948</v>
      </c>
      <c r="I266" s="10">
        <f t="shared" ca="1" si="44"/>
        <v>536.56141878179642</v>
      </c>
      <c r="J266" s="10">
        <f t="shared" ca="1" si="45"/>
        <v>2170.3712597638</v>
      </c>
      <c r="K266" s="12">
        <f t="array" aca="1" ref="K266:L266" ca="1">Opt3Spd(H266:J266,$E$3:$G$3,$K$3:$M$3,$N$3:$P$3,$H$3,$I$3,$Q$3,$J$3)</f>
        <v>146.21892613724549</v>
      </c>
      <c r="L266" s="12">
        <f ca="1"/>
        <v>0.35454129132517664</v>
      </c>
      <c r="M266" s="12">
        <f t="array" aca="1" ref="M266:N266" ca="1">Opt3Spd(H266:J266,$E$3:$G$3,$K$3:$M$3,$N$3:$P$3,$H$4,$I$3,$Q$3,$J$3)</f>
        <v>4.7085759146504591E-3</v>
      </c>
      <c r="N266" s="12">
        <f ca="1"/>
        <v>254.14032372999435</v>
      </c>
      <c r="O266" s="12">
        <f t="shared" ca="1" si="38"/>
        <v>0.3592498672398271</v>
      </c>
    </row>
    <row r="267" spans="2:15" x14ac:dyDescent="0.15">
      <c r="B267" s="6">
        <f t="shared" ca="1" si="39"/>
        <v>0.69181313925564092</v>
      </c>
      <c r="C267" s="6">
        <f t="shared" ca="1" si="39"/>
        <v>7.3976196968527155E-2</v>
      </c>
      <c r="D267" s="6">
        <f t="shared" ca="1" si="39"/>
        <v>-0.99149598634344394</v>
      </c>
      <c r="E267" s="8">
        <f t="shared" ca="1" si="40"/>
        <v>1.5751477694009301E-2</v>
      </c>
      <c r="F267" s="8">
        <f t="shared" ca="1" si="41"/>
        <v>2.73623840010465E-2</v>
      </c>
      <c r="G267" s="8">
        <f t="shared" ca="1" si="42"/>
        <v>1.5068379785941529E-2</v>
      </c>
      <c r="H267" s="10">
        <f t="shared" ca="1" si="43"/>
        <v>4079.2579344191413</v>
      </c>
      <c r="I267" s="10">
        <f t="shared" ca="1" si="44"/>
        <v>558.88513689656929</v>
      </c>
      <c r="J267" s="10">
        <f t="shared" ca="1" si="45"/>
        <v>2269.6928972013652</v>
      </c>
      <c r="K267" s="12">
        <f t="array" aca="1" ref="K267:L267" ca="1">Opt3Spd(H267:J267,$E$3:$G$3,$K$3:$M$3,$N$3:$P$3,$H$3,$I$3,$Q$3,$J$3)</f>
        <v>225.2048255957493</v>
      </c>
      <c r="L267" s="12">
        <f ca="1"/>
        <v>9.5588118015257351E-3</v>
      </c>
      <c r="M267" s="12">
        <f t="array" aca="1" ref="M267:N267" ca="1">Opt3Spd(H267:J267,$E$3:$G$3,$K$3:$M$3,$N$3:$P$3,$H$4,$I$3,$Q$3,$J$3)</f>
        <v>0.24858871501857394</v>
      </c>
      <c r="N267" s="12">
        <f ca="1"/>
        <v>175.0533219310708</v>
      </c>
      <c r="O267" s="12">
        <f t="shared" ref="O267:O330" ca="1" si="46">L267+M267</f>
        <v>0.25814752682009967</v>
      </c>
    </row>
    <row r="268" spans="2:15" x14ac:dyDescent="0.15">
      <c r="B268" s="6">
        <f t="shared" ca="1" si="39"/>
        <v>-0.43003462427526556</v>
      </c>
      <c r="C268" s="6">
        <f t="shared" ca="1" si="39"/>
        <v>-0.86431373779378895</v>
      </c>
      <c r="D268" s="6">
        <f t="shared" ca="1" si="39"/>
        <v>4.7395883709290418E-2</v>
      </c>
      <c r="E268" s="8">
        <f t="shared" ca="1" si="40"/>
        <v>-9.7911999752009395E-3</v>
      </c>
      <c r="F268" s="8">
        <f t="shared" ca="1" si="41"/>
        <v>-3.5820770501392159E-2</v>
      </c>
      <c r="G268" s="8">
        <f t="shared" ca="1" si="42"/>
        <v>-1.7802939461586773E-2</v>
      </c>
      <c r="H268" s="10">
        <f t="shared" ca="1" si="43"/>
        <v>3976.6785408995929</v>
      </c>
      <c r="I268" s="10">
        <f t="shared" ca="1" si="44"/>
        <v>524.51350084724265</v>
      </c>
      <c r="J268" s="10">
        <f t="shared" ca="1" si="45"/>
        <v>2196.1926273638919</v>
      </c>
      <c r="K268" s="12">
        <f t="array" aca="1" ref="K268:L268" ca="1">Opt3Spd(H268:J268,$E$3:$G$3,$K$3:$M$3,$N$3:$P$3,$H$3,$I$3,$Q$3,$J$3)</f>
        <v>214.37561825895386</v>
      </c>
      <c r="L268" s="12">
        <f ca="1"/>
        <v>1.4992396894967897E-2</v>
      </c>
      <c r="M268" s="12">
        <f t="array" aca="1" ref="M268:N268" ca="1">Opt3Spd(H268:J268,$E$3:$G$3,$K$3:$M$3,$N$3:$P$3,$H$4,$I$3,$Q$3,$J$3)</f>
        <v>0.14828190921320328</v>
      </c>
      <c r="N268" s="12">
        <f ca="1"/>
        <v>185.78765604715431</v>
      </c>
      <c r="O268" s="12">
        <f t="shared" ca="1" si="46"/>
        <v>0.16327430610817117</v>
      </c>
    </row>
    <row r="269" spans="2:15" x14ac:dyDescent="0.15">
      <c r="B269" s="6">
        <f t="shared" ca="1" si="39"/>
        <v>-1.2573649510179448</v>
      </c>
      <c r="C269" s="6">
        <f t="shared" ca="1" si="39"/>
        <v>-1.305281191225711</v>
      </c>
      <c r="D269" s="6">
        <f t="shared" ca="1" si="39"/>
        <v>0.52722762344360019</v>
      </c>
      <c r="E269" s="8">
        <f t="shared" ca="1" si="40"/>
        <v>-2.8628187086035838E-2</v>
      </c>
      <c r="F269" s="8">
        <f t="shared" ca="1" si="41"/>
        <v>-7.6646541037598034E-2</v>
      </c>
      <c r="G269" s="8">
        <f t="shared" ca="1" si="42"/>
        <v>-4.4366152312479076E-2</v>
      </c>
      <c r="H269" s="10">
        <f t="shared" ca="1" si="43"/>
        <v>3901.02920066248</v>
      </c>
      <c r="I269" s="10">
        <f t="shared" ca="1" si="44"/>
        <v>502.30428167554669</v>
      </c>
      <c r="J269" s="10">
        <f t="shared" ca="1" si="45"/>
        <v>2136.7972834292968</v>
      </c>
      <c r="K269" s="12">
        <f t="array" aca="1" ref="K269:L269" ca="1">Opt3Spd(H269:J269,$E$3:$G$3,$K$3:$M$3,$N$3:$P$3,$H$3,$I$3,$Q$3,$J$3)</f>
        <v>203.96740372764202</v>
      </c>
      <c r="L269" s="12">
        <f ca="1"/>
        <v>2.3695460685075886E-2</v>
      </c>
      <c r="M269" s="12">
        <f t="array" aca="1" ref="M269:N269" ca="1">Opt3Spd(H269:J269,$E$3:$G$3,$K$3:$M$3,$N$3:$P$3,$H$4,$I$3,$Q$3,$J$3)</f>
        <v>8.8828703691891775E-2</v>
      </c>
      <c r="N269" s="12">
        <f ca="1"/>
        <v>196.14512043673494</v>
      </c>
      <c r="O269" s="12">
        <f t="shared" ca="1" si="46"/>
        <v>0.11252416437696766</v>
      </c>
    </row>
    <row r="270" spans="2:15" x14ac:dyDescent="0.15">
      <c r="B270" s="6">
        <f t="shared" ca="1" si="39"/>
        <v>-0.49664016940572081</v>
      </c>
      <c r="C270" s="6">
        <f t="shared" ca="1" si="39"/>
        <v>0.35914152172613578</v>
      </c>
      <c r="D270" s="6">
        <f t="shared" ca="1" si="39"/>
        <v>-1.2968142220993661</v>
      </c>
      <c r="E270" s="8">
        <f t="shared" ca="1" si="40"/>
        <v>-1.1307701612548442E-2</v>
      </c>
      <c r="F270" s="8">
        <f t="shared" ca="1" si="41"/>
        <v>-1.0166006704624028E-2</v>
      </c>
      <c r="G270" s="8">
        <f t="shared" ca="1" si="42"/>
        <v>-3.1018207220229025E-2</v>
      </c>
      <c r="H270" s="10">
        <f t="shared" ca="1" si="43"/>
        <v>3970.5882703240054</v>
      </c>
      <c r="I270" s="10">
        <f t="shared" ca="1" si="44"/>
        <v>538.46969235268455</v>
      </c>
      <c r="J270" s="10">
        <f t="shared" ca="1" si="45"/>
        <v>2166.6432886555676</v>
      </c>
      <c r="K270" s="12">
        <f t="array" aca="1" ref="K270:L270" ca="1">Opt3Spd(H270:J270,$E$3:$G$3,$K$3:$M$3,$N$3:$P$3,$H$3,$I$3,$Q$3,$J$3)</f>
        <v>200.74445149138387</v>
      </c>
      <c r="L270" s="12">
        <f ca="1"/>
        <v>2.933325945764409E-2</v>
      </c>
      <c r="M270" s="12">
        <f t="array" aca="1" ref="M270:N270" ca="1">Opt3Spd(H270:J270,$E$3:$G$3,$K$3:$M$3,$N$3:$P$3,$H$4,$I$3,$Q$3,$J$3)</f>
        <v>7.8916594488570802E-2</v>
      </c>
      <c r="N270" s="12">
        <f ca="1"/>
        <v>199.36379836256233</v>
      </c>
      <c r="O270" s="12">
        <f t="shared" ca="1" si="46"/>
        <v>0.10824985394621489</v>
      </c>
    </row>
    <row r="271" spans="2:15" x14ac:dyDescent="0.15">
      <c r="B271" s="6">
        <f t="shared" ca="1" si="39"/>
        <v>-0.9008037709739527</v>
      </c>
      <c r="C271" s="6">
        <f t="shared" ca="1" si="39"/>
        <v>-0.53044455490136277</v>
      </c>
      <c r="D271" s="6">
        <f t="shared" ca="1" si="39"/>
        <v>-0.23653281934815831</v>
      </c>
      <c r="E271" s="8">
        <f t="shared" ca="1" si="40"/>
        <v>-2.050985981625382E-2</v>
      </c>
      <c r="F271" s="8">
        <f t="shared" ca="1" si="41"/>
        <v>-4.5608103075205741E-2</v>
      </c>
      <c r="G271" s="8">
        <f t="shared" ca="1" si="42"/>
        <v>-3.7153727731081838E-2</v>
      </c>
      <c r="H271" s="10">
        <f t="shared" ca="1" si="43"/>
        <v>3933.6324029779244</v>
      </c>
      <c r="I271" s="10">
        <f t="shared" ca="1" si="44"/>
        <v>519.18919192708802</v>
      </c>
      <c r="J271" s="10">
        <f t="shared" ca="1" si="45"/>
        <v>2152.9242647933011</v>
      </c>
      <c r="K271" s="12">
        <f t="array" aca="1" ref="K271:L271" ca="1">Opt3Spd(H271:J271,$E$3:$G$3,$K$3:$M$3,$N$3:$P$3,$H$3,$I$3,$Q$3,$J$3)</f>
        <v>201.49507462398151</v>
      </c>
      <c r="L271" s="12">
        <f ca="1"/>
        <v>2.7511126048693768E-2</v>
      </c>
      <c r="M271" s="12">
        <f t="array" aca="1" ref="M271:N271" ca="1">Opt3Spd(H271:J271,$E$3:$G$3,$K$3:$M$3,$N$3:$P$3,$H$4,$I$3,$Q$3,$J$3)</f>
        <v>8.043379907280368E-2</v>
      </c>
      <c r="N271" s="12">
        <f ca="1"/>
        <v>198.61287030113999</v>
      </c>
      <c r="O271" s="12">
        <f t="shared" ca="1" si="46"/>
        <v>0.10794492512149745</v>
      </c>
    </row>
    <row r="272" spans="2:15" x14ac:dyDescent="0.15">
      <c r="B272" s="6">
        <f t="shared" ca="1" si="39"/>
        <v>1.0909619631912943</v>
      </c>
      <c r="C272" s="6">
        <f t="shared" ca="1" si="39"/>
        <v>-1.8377438985803269</v>
      </c>
      <c r="D272" s="6">
        <f t="shared" ca="1" si="39"/>
        <v>1.4035096980824135</v>
      </c>
      <c r="E272" s="8">
        <f t="shared" ca="1" si="40"/>
        <v>2.4839457438911527E-2</v>
      </c>
      <c r="F272" s="8">
        <f t="shared" ca="1" si="41"/>
        <v>-1.7793542487967043E-3</v>
      </c>
      <c r="G272" s="8">
        <f t="shared" ca="1" si="42"/>
        <v>4.9696916473373862E-2</v>
      </c>
      <c r="H272" s="10">
        <f t="shared" ca="1" si="43"/>
        <v>4115.7552610746689</v>
      </c>
      <c r="I272" s="10">
        <f t="shared" ca="1" si="44"/>
        <v>543.03203128865459</v>
      </c>
      <c r="J272" s="10">
        <f t="shared" ca="1" si="45"/>
        <v>2347.122305234464</v>
      </c>
      <c r="K272" s="12">
        <f t="array" aca="1" ref="K272:L272" ca="1">Opt3Spd(H272:J272,$E$3:$G$3,$K$3:$M$3,$N$3:$P$3,$H$3,$I$3,$Q$3,$J$3)</f>
        <v>248.34581372849857</v>
      </c>
      <c r="L272" s="12">
        <f ca="1"/>
        <v>2.9553329088685132E-3</v>
      </c>
      <c r="M272" s="12">
        <f t="array" aca="1" ref="M272:N272" ca="1">Opt3Spd(H272:J272,$E$3:$G$3,$K$3:$M$3,$N$3:$P$3,$H$4,$I$3,$Q$3,$J$3)</f>
        <v>0.63532342171882306</v>
      </c>
      <c r="N272" s="12">
        <f ca="1"/>
        <v>152.29246502612912</v>
      </c>
      <c r="O272" s="12">
        <f t="shared" ca="1" si="46"/>
        <v>0.63827875462769157</v>
      </c>
    </row>
    <row r="273" spans="2:15" x14ac:dyDescent="0.15">
      <c r="B273" s="6">
        <f t="shared" ca="1" si="39"/>
        <v>1.2560954293536684</v>
      </c>
      <c r="C273" s="6">
        <f t="shared" ca="1" si="39"/>
        <v>0.22907250390674072</v>
      </c>
      <c r="D273" s="6">
        <f t="shared" ca="1" si="39"/>
        <v>0.69318938113587802</v>
      </c>
      <c r="E273" s="8">
        <f t="shared" ca="1" si="40"/>
        <v>2.8599282110049945E-2</v>
      </c>
      <c r="F273" s="8">
        <f t="shared" ca="1" si="41"/>
        <v>5.1859029701436868E-2</v>
      </c>
      <c r="G273" s="8">
        <f t="shared" ca="1" si="42"/>
        <v>5.4196478370884621E-2</v>
      </c>
      <c r="H273" s="10">
        <f t="shared" ca="1" si="43"/>
        <v>4130.8547169539606</v>
      </c>
      <c r="I273" s="10">
        <f t="shared" ca="1" si="44"/>
        <v>572.21131215758169</v>
      </c>
      <c r="J273" s="10">
        <f t="shared" ca="1" si="45"/>
        <v>2357.1833256372979</v>
      </c>
      <c r="K273" s="12">
        <f t="array" aca="1" ref="K273:L273" ca="1">Opt3Spd(H273:J273,$E$3:$G$3,$K$3:$M$3,$N$3:$P$3,$H$3,$I$3,$Q$3,$J$3)</f>
        <v>211.7465161993332</v>
      </c>
      <c r="L273" s="12">
        <f ca="1"/>
        <v>2.1561516152132754E-2</v>
      </c>
      <c r="M273" s="12">
        <f t="array" aca="1" ref="M273:N273" ca="1">Opt3Spd(H273:J273,$E$3:$G$3,$K$3:$M$3,$N$3:$P$3,$H$4,$I$3,$Q$3,$J$3)</f>
        <v>0.15167644439469541</v>
      </c>
      <c r="N273" s="12">
        <f ca="1"/>
        <v>188.42672176121363</v>
      </c>
      <c r="O273" s="12">
        <f t="shared" ca="1" si="46"/>
        <v>0.17323796054682816</v>
      </c>
    </row>
    <row r="274" spans="2:15" x14ac:dyDescent="0.15">
      <c r="B274" s="6">
        <f t="shared" ca="1" si="39"/>
        <v>-0.16053650950964882</v>
      </c>
      <c r="C274" s="6">
        <f t="shared" ca="1" si="39"/>
        <v>0.22810238850940753</v>
      </c>
      <c r="D274" s="6">
        <f t="shared" ca="1" si="39"/>
        <v>0.98808674849862965</v>
      </c>
      <c r="E274" s="8">
        <f t="shared" ca="1" si="40"/>
        <v>-3.6551593271791517E-3</v>
      </c>
      <c r="F274" s="8">
        <f t="shared" ca="1" si="41"/>
        <v>-7.1113263506998711E-4</v>
      </c>
      <c r="G274" s="8">
        <f t="shared" ca="1" si="42"/>
        <v>5.2904661636375356E-3</v>
      </c>
      <c r="H274" s="10">
        <f t="shared" ca="1" si="43"/>
        <v>4001.3208801420483</v>
      </c>
      <c r="I274" s="10">
        <f t="shared" ca="1" si="44"/>
        <v>543.61314384652201</v>
      </c>
      <c r="J274" s="10">
        <f t="shared" ca="1" si="45"/>
        <v>2247.8294823418933</v>
      </c>
      <c r="K274" s="12">
        <f t="array" aca="1" ref="K274:L274" ca="1">Opt3Spd(H274:J274,$E$3:$G$3,$K$3:$M$3,$N$3:$P$3,$H$3,$I$3,$Q$3,$J$3)</f>
        <v>182.70134580387048</v>
      </c>
      <c r="L274" s="12">
        <f ca="1"/>
        <v>7.6236987204310935E-2</v>
      </c>
      <c r="M274" s="12">
        <f t="array" aca="1" ref="M274:N274" ca="1">Opt3Spd(H274:J274,$E$3:$G$3,$K$3:$M$3,$N$3:$P$3,$H$4,$I$3,$Q$3,$J$3)</f>
        <v>3.6061249117530281E-2</v>
      </c>
      <c r="N274" s="12">
        <f ca="1"/>
        <v>217.41095243245135</v>
      </c>
      <c r="O274" s="12">
        <f t="shared" ca="1" si="46"/>
        <v>0.11229823632184122</v>
      </c>
    </row>
    <row r="275" spans="2:15" x14ac:dyDescent="0.15">
      <c r="B275" s="6">
        <f t="shared" ca="1" si="39"/>
        <v>-0.30641052826662907</v>
      </c>
      <c r="C275" s="6">
        <f t="shared" ca="1" si="39"/>
        <v>6.2403120264543491E-2</v>
      </c>
      <c r="D275" s="6">
        <f t="shared" ca="1" si="39"/>
        <v>-1.6784029338688216</v>
      </c>
      <c r="E275" s="8">
        <f t="shared" ca="1" si="40"/>
        <v>-6.9764772123212613E-3</v>
      </c>
      <c r="F275" s="8">
        <f t="shared" ca="1" si="41"/>
        <v>-9.9312901743706591E-3</v>
      </c>
      <c r="G275" s="8">
        <f t="shared" ca="1" si="42"/>
        <v>-2.8955987798012301E-2</v>
      </c>
      <c r="H275" s="10">
        <f t="shared" ca="1" si="43"/>
        <v>3987.9824675153177</v>
      </c>
      <c r="I275" s="10">
        <f t="shared" ca="1" si="44"/>
        <v>538.59737814514233</v>
      </c>
      <c r="J275" s="10">
        <f t="shared" ca="1" si="45"/>
        <v>2171.2544112836445</v>
      </c>
      <c r="K275" s="12">
        <f t="array" aca="1" ref="K275:L275" ca="1">Opt3Spd(H275:J275,$E$3:$G$3,$K$3:$M$3,$N$3:$P$3,$H$3,$I$3,$Q$3,$J$3)</f>
        <v>215.61323412515253</v>
      </c>
      <c r="L275" s="12">
        <f ca="1"/>
        <v>1.3777283884792269E-2</v>
      </c>
      <c r="M275" s="12">
        <f t="array" aca="1" ref="M275:N275" ca="1">Opt3Spd(H275:J275,$E$3:$G$3,$K$3:$M$3,$N$3:$P$3,$H$4,$I$3,$Q$3,$J$3)</f>
        <v>0.15397251619330454</v>
      </c>
      <c r="N275" s="12">
        <f ca="1"/>
        <v>184.55451567492557</v>
      </c>
      <c r="O275" s="12">
        <f t="shared" ca="1" si="46"/>
        <v>0.16774980007809681</v>
      </c>
    </row>
    <row r="276" spans="2:15" x14ac:dyDescent="0.15">
      <c r="B276" s="6">
        <f t="shared" ca="1" si="39"/>
        <v>-0.23777687541865442</v>
      </c>
      <c r="C276" s="6">
        <f t="shared" ca="1" si="39"/>
        <v>1.3340345337798076</v>
      </c>
      <c r="D276" s="6">
        <f t="shared" ca="1" si="39"/>
        <v>-2.5165217327854035</v>
      </c>
      <c r="E276" s="8">
        <f t="shared" ca="1" si="40"/>
        <v>-5.4137988089355653E-3</v>
      </c>
      <c r="F276" s="8">
        <f t="shared" ca="1" si="41"/>
        <v>2.1847468482971429E-2</v>
      </c>
      <c r="G276" s="8">
        <f t="shared" ca="1" si="42"/>
        <v>-3.1671515166431893E-2</v>
      </c>
      <c r="H276" s="10">
        <f t="shared" ca="1" si="43"/>
        <v>3994.2581839833147</v>
      </c>
      <c r="I276" s="10">
        <f t="shared" ca="1" si="44"/>
        <v>555.88502285473646</v>
      </c>
      <c r="J276" s="10">
        <f t="shared" ca="1" si="45"/>
        <v>2165.1824920878585</v>
      </c>
      <c r="K276" s="12">
        <f t="array" aca="1" ref="K276:L276" ca="1">Opt3Spd(H276:J276,$E$3:$G$3,$K$3:$M$3,$N$3:$P$3,$H$3,$I$3,$Q$3,$J$3)</f>
        <v>197.28617110033019</v>
      </c>
      <c r="L276" s="12">
        <f ca="1"/>
        <v>3.5269728523189769E-2</v>
      </c>
      <c r="M276" s="12">
        <f t="array" aca="1" ref="M276:N276" ca="1">Opt3Spd(H276:J276,$E$3:$G$3,$K$3:$M$3,$N$3:$P$3,$H$4,$I$3,$Q$3,$J$3)</f>
        <v>6.7549042796638759E-2</v>
      </c>
      <c r="N276" s="12">
        <f ca="1"/>
        <v>202.81664767098962</v>
      </c>
      <c r="O276" s="12">
        <f t="shared" ca="1" si="46"/>
        <v>0.10281877131982853</v>
      </c>
    </row>
    <row r="277" spans="2:15" x14ac:dyDescent="0.15">
      <c r="B277" s="6">
        <f t="shared" ca="1" si="39"/>
        <v>2.1114612564033592</v>
      </c>
      <c r="C277" s="6">
        <f t="shared" ca="1" si="39"/>
        <v>-0.31562615701648172</v>
      </c>
      <c r="D277" s="6">
        <f t="shared" ca="1" si="39"/>
        <v>-0.57894301697614325</v>
      </c>
      <c r="E277" s="8">
        <f t="shared" ca="1" si="40"/>
        <v>4.8074592682334882E-2</v>
      </c>
      <c r="F277" s="8">
        <f t="shared" ca="1" si="41"/>
        <v>7.106575290894307E-2</v>
      </c>
      <c r="G277" s="8">
        <f t="shared" ca="1" si="42"/>
        <v>7.048788787503163E-2</v>
      </c>
      <c r="H277" s="10">
        <f t="shared" ca="1" si="43"/>
        <v>4209.0675642122569</v>
      </c>
      <c r="I277" s="10">
        <f t="shared" ca="1" si="44"/>
        <v>582.65976958246506</v>
      </c>
      <c r="J277" s="10">
        <f t="shared" ca="1" si="45"/>
        <v>2393.6109172885708</v>
      </c>
      <c r="K277" s="12">
        <f t="array" aca="1" ref="K277:L277" ca="1">Opt3Spd(H277:J277,$E$3:$G$3,$K$3:$M$3,$N$3:$P$3,$H$3,$I$3,$Q$3,$J$3)</f>
        <v>255.00876603912116</v>
      </c>
      <c r="L277" s="12">
        <f ca="1"/>
        <v>2.291803093839917E-3</v>
      </c>
      <c r="M277" s="12">
        <f t="array" aca="1" ref="M277:N277" ca="1">Opt3Spd(H277:J277,$E$3:$G$3,$K$3:$M$3,$N$3:$P$3,$H$4,$I$3,$Q$3,$J$3)</f>
        <v>0.83471019239546251</v>
      </c>
      <c r="N277" s="12">
        <f ca="1"/>
        <v>145.82823595636813</v>
      </c>
      <c r="O277" s="12">
        <f t="shared" ca="1" si="46"/>
        <v>0.83700199548930243</v>
      </c>
    </row>
    <row r="278" spans="2:15" x14ac:dyDescent="0.15">
      <c r="B278" s="6">
        <f t="shared" ca="1" si="39"/>
        <v>-8.3931361638594174E-2</v>
      </c>
      <c r="C278" s="6">
        <f t="shared" ca="1" si="39"/>
        <v>1.2231052645865148</v>
      </c>
      <c r="D278" s="6">
        <f t="shared" ca="1" si="39"/>
        <v>-0.62810358602197847</v>
      </c>
      <c r="E278" s="8">
        <f t="shared" ca="1" si="40"/>
        <v>-1.9109827432601256E-3</v>
      </c>
      <c r="F278" s="8">
        <f t="shared" ca="1" si="41"/>
        <v>2.5004042470865531E-2</v>
      </c>
      <c r="G278" s="8">
        <f t="shared" ca="1" si="42"/>
        <v>-6.2240844114027777E-3</v>
      </c>
      <c r="H278" s="10">
        <f t="shared" ca="1" si="43"/>
        <v>4008.3254933030671</v>
      </c>
      <c r="I278" s="10">
        <f t="shared" ca="1" si="44"/>
        <v>557.60219910415083</v>
      </c>
      <c r="J278" s="10">
        <f t="shared" ca="1" si="45"/>
        <v>2222.0829472561036</v>
      </c>
      <c r="K278" s="12">
        <f t="array" aca="1" ref="K278:L278" ca="1">Opt3Spd(H278:J278,$E$3:$G$3,$K$3:$M$3,$N$3:$P$3,$H$3,$I$3,$Q$3,$J$3)</f>
        <v>180.20498891572447</v>
      </c>
      <c r="L278" s="12">
        <f ca="1"/>
        <v>8.448780735056971E-2</v>
      </c>
      <c r="M278" s="12">
        <f t="array" aca="1" ref="M278:N278" ca="1">Opt3Spd(H278:J278,$E$3:$G$3,$K$3:$M$3,$N$3:$P$3,$H$4,$I$3,$Q$3,$J$3)</f>
        <v>3.1299556068075329E-2</v>
      </c>
      <c r="N278" s="12">
        <f ca="1"/>
        <v>219.91079844769416</v>
      </c>
      <c r="O278" s="12">
        <f t="shared" ca="1" si="46"/>
        <v>0.11578736341864504</v>
      </c>
    </row>
    <row r="279" spans="2:15" x14ac:dyDescent="0.15">
      <c r="B279" s="6">
        <f t="shared" ca="1" si="39"/>
        <v>0.71548629269413744</v>
      </c>
      <c r="C279" s="6">
        <f t="shared" ca="1" si="39"/>
        <v>0.77450196342170397</v>
      </c>
      <c r="D279" s="6">
        <f t="shared" ca="1" si="39"/>
        <v>-0.3927390715948097</v>
      </c>
      <c r="E279" s="8">
        <f t="shared" ca="1" si="40"/>
        <v>1.6290477500712226E-2</v>
      </c>
      <c r="F279" s="8">
        <f t="shared" ca="1" si="41"/>
        <v>4.4344539086556334E-2</v>
      </c>
      <c r="G279" s="8">
        <f t="shared" ca="1" si="42"/>
        <v>2.4350288826339009E-2</v>
      </c>
      <c r="H279" s="10">
        <f t="shared" ca="1" si="43"/>
        <v>4081.4225576428603</v>
      </c>
      <c r="I279" s="10">
        <f t="shared" ca="1" si="44"/>
        <v>568.12342926308668</v>
      </c>
      <c r="J279" s="10">
        <f t="shared" ca="1" si="45"/>
        <v>2290.4472458156938</v>
      </c>
      <c r="K279" s="12">
        <f t="array" aca="1" ref="K279:L279" ca="1">Opt3Spd(H279:J279,$E$3:$G$3,$K$3:$M$3,$N$3:$P$3,$H$3,$I$3,$Q$3,$J$3)</f>
        <v>202.23340304629482</v>
      </c>
      <c r="L279" s="12">
        <f ca="1"/>
        <v>3.1955132220218729E-2</v>
      </c>
      <c r="M279" s="12">
        <f t="array" aca="1" ref="M279:N279" ca="1">Opt3Spd(H279:J279,$E$3:$G$3,$K$3:$M$3,$N$3:$P$3,$H$4,$I$3,$Q$3,$J$3)</f>
        <v>9.4746146642842533E-2</v>
      </c>
      <c r="N279" s="12">
        <f ca="1"/>
        <v>197.89329823256824</v>
      </c>
      <c r="O279" s="12">
        <f t="shared" ca="1" si="46"/>
        <v>0.12670127886306126</v>
      </c>
    </row>
    <row r="280" spans="2:15" x14ac:dyDescent="0.15">
      <c r="B280" s="6">
        <f t="shared" ca="1" si="39"/>
        <v>-1.2271098110804384</v>
      </c>
      <c r="C280" s="6">
        <f t="shared" ca="1" si="39"/>
        <v>1.260592200587646</v>
      </c>
      <c r="D280" s="6">
        <f t="shared" ca="1" si="39"/>
        <v>-0.57701770190224166</v>
      </c>
      <c r="E280" s="8">
        <f t="shared" ca="1" si="40"/>
        <v>-2.7939325983502395E-2</v>
      </c>
      <c r="F280" s="8">
        <f t="shared" ca="1" si="41"/>
        <v>-1.6538698404262697E-2</v>
      </c>
      <c r="G280" s="8">
        <f t="shared" ca="1" si="42"/>
        <v>-4.7569557400448451E-2</v>
      </c>
      <c r="H280" s="10">
        <f t="shared" ca="1" si="43"/>
        <v>3903.7956668502547</v>
      </c>
      <c r="I280" s="10">
        <f t="shared" ca="1" si="44"/>
        <v>535.00294806808108</v>
      </c>
      <c r="J280" s="10">
        <f t="shared" ca="1" si="45"/>
        <v>2129.6344696525971</v>
      </c>
      <c r="K280" s="12">
        <f t="array" aca="1" ref="K280:L280" ca="1">Opt3Spd(H280:J280,$E$3:$G$3,$K$3:$M$3,$N$3:$P$3,$H$3,$I$3,$Q$3,$J$3)</f>
        <v>158.18052940669008</v>
      </c>
      <c r="L280" s="12">
        <f ca="1"/>
        <v>0.20681429166370435</v>
      </c>
      <c r="M280" s="12">
        <f t="array" aca="1" ref="M280:N280" ca="1">Opt3Spd(H280:J280,$E$3:$G$3,$K$3:$M$3,$N$3:$P$3,$H$4,$I$3,$Q$3,$J$3)</f>
        <v>8.8047484732107772E-3</v>
      </c>
      <c r="N280" s="12">
        <f ca="1"/>
        <v>242.03508963344683</v>
      </c>
      <c r="O280" s="12">
        <f t="shared" ca="1" si="46"/>
        <v>0.21561904013691513</v>
      </c>
    </row>
    <row r="281" spans="2:15" x14ac:dyDescent="0.15">
      <c r="B281" s="6">
        <f t="shared" ca="1" si="39"/>
        <v>0.91048434304142978</v>
      </c>
      <c r="C281" s="6">
        <f t="shared" ca="1" si="39"/>
        <v>0.64883488275415935</v>
      </c>
      <c r="D281" s="6">
        <f t="shared" ca="1" si="39"/>
        <v>-0.70107513735198301</v>
      </c>
      <c r="E281" s="8">
        <f t="shared" ca="1" si="40"/>
        <v>2.0730270945117577E-2</v>
      </c>
      <c r="F281" s="8">
        <f t="shared" ca="1" si="41"/>
        <v>4.8688805250614475E-2</v>
      </c>
      <c r="G281" s="8">
        <f t="shared" ca="1" si="42"/>
        <v>2.7864671334373044E-2</v>
      </c>
      <c r="H281" s="10">
        <f t="shared" ca="1" si="43"/>
        <v>4099.2527681155925</v>
      </c>
      <c r="I281" s="10">
        <f t="shared" ca="1" si="44"/>
        <v>570.48671005633423</v>
      </c>
      <c r="J281" s="10">
        <f t="shared" ca="1" si="45"/>
        <v>2298.3054051036584</v>
      </c>
      <c r="K281" s="12">
        <f t="array" aca="1" ref="K281:L281" ca="1">Opt3Spd(H281:J281,$E$3:$G$3,$K$3:$M$3,$N$3:$P$3,$H$3,$I$3,$Q$3,$J$3)</f>
        <v>212.34085209737418</v>
      </c>
      <c r="L281" s="12">
        <f ca="1"/>
        <v>1.9522623745615419E-2</v>
      </c>
      <c r="M281" s="12">
        <f t="array" aca="1" ref="M281:N281" ca="1">Opt3Spd(H281:J281,$E$3:$G$3,$K$3:$M$3,$N$3:$P$3,$H$4,$I$3,$Q$3,$J$3)</f>
        <v>0.14870249728227769</v>
      </c>
      <c r="N281" s="12">
        <f ca="1"/>
        <v>187.82737302365371</v>
      </c>
      <c r="O281" s="12">
        <f t="shared" ca="1" si="46"/>
        <v>0.16822512102789311</v>
      </c>
    </row>
    <row r="282" spans="2:15" x14ac:dyDescent="0.15">
      <c r="B282" s="6">
        <f t="shared" ca="1" si="39"/>
        <v>-1.40023840425251</v>
      </c>
      <c r="C282" s="6">
        <f t="shared" ca="1" si="39"/>
        <v>0.13399167722383562</v>
      </c>
      <c r="D282" s="6">
        <f t="shared" ca="1" si="39"/>
        <v>-0.94225801820513022</v>
      </c>
      <c r="E282" s="8">
        <f t="shared" ca="1" si="40"/>
        <v>-3.1881186897678236E-2</v>
      </c>
      <c r="F282" s="8">
        <f t="shared" ca="1" si="41"/>
        <v>-4.8859499701026127E-2</v>
      </c>
      <c r="G282" s="8">
        <f t="shared" ca="1" si="42"/>
        <v>-6.1091433845331514E-2</v>
      </c>
      <c r="H282" s="10">
        <f t="shared" ca="1" si="43"/>
        <v>3887.9651534189243</v>
      </c>
      <c r="I282" s="10">
        <f t="shared" ca="1" si="44"/>
        <v>517.42043216264176</v>
      </c>
      <c r="J282" s="10">
        <f t="shared" ca="1" si="45"/>
        <v>2099.3995539218386</v>
      </c>
      <c r="K282" s="12">
        <f t="array" aca="1" ref="K282:L282" ca="1">Opt3Spd(H282:J282,$E$3:$G$3,$K$3:$M$3,$N$3:$P$3,$H$3,$I$3,$Q$3,$J$3)</f>
        <v>185.44998872946258</v>
      </c>
      <c r="L282" s="12">
        <f ca="1"/>
        <v>5.7303731684214654E-2</v>
      </c>
      <c r="M282" s="12">
        <f t="array" aca="1" ref="M282:N282" ca="1">Opt3Spd(H282:J282,$E$3:$G$3,$K$3:$M$3,$N$3:$P$3,$H$4,$I$3,$Q$3,$J$3)</f>
        <v>3.5505977954953138E-2</v>
      </c>
      <c r="N282" s="12">
        <f ca="1"/>
        <v>214.64282098017659</v>
      </c>
      <c r="O282" s="12">
        <f t="shared" ca="1" si="46"/>
        <v>9.2809709639167792E-2</v>
      </c>
    </row>
    <row r="283" spans="2:15" x14ac:dyDescent="0.15">
      <c r="B283" s="6">
        <f t="shared" ca="1" si="39"/>
        <v>0.58186918261753395</v>
      </c>
      <c r="C283" s="6">
        <f t="shared" ca="1" si="39"/>
        <v>0.50057137518539185</v>
      </c>
      <c r="D283" s="6">
        <f t="shared" ca="1" si="39"/>
        <v>-1.1193219321497291E-2</v>
      </c>
      <c r="E283" s="8">
        <f t="shared" ca="1" si="40"/>
        <v>1.3248229804789411E-2</v>
      </c>
      <c r="F283" s="8">
        <f t="shared" ca="1" si="41"/>
        <v>3.3090958008889407E-2</v>
      </c>
      <c r="G283" s="8">
        <f t="shared" ca="1" si="42"/>
        <v>2.2710829680389122E-2</v>
      </c>
      <c r="H283" s="10">
        <f t="shared" ca="1" si="43"/>
        <v>4069.2048908960342</v>
      </c>
      <c r="I283" s="10">
        <f t="shared" ca="1" si="44"/>
        <v>562.00148115683578</v>
      </c>
      <c r="J283" s="10">
        <f t="shared" ca="1" si="45"/>
        <v>2286.7814151653502</v>
      </c>
      <c r="K283" s="12">
        <f t="array" aca="1" ref="K283:L283" ca="1">Opt3Spd(H283:J283,$E$3:$G$3,$K$3:$M$3,$N$3:$P$3,$H$3,$I$3,$Q$3,$J$3)</f>
        <v>201.64437214191116</v>
      </c>
      <c r="L283" s="12">
        <f ca="1"/>
        <v>3.2558679489511633E-2</v>
      </c>
      <c r="M283" s="12">
        <f t="array" aca="1" ref="M283:N283" ca="1">Opt3Spd(H283:J283,$E$3:$G$3,$K$3:$M$3,$N$3:$P$3,$H$4,$I$3,$Q$3,$J$3)</f>
        <v>9.1721236076937274E-2</v>
      </c>
      <c r="N283" s="12">
        <f ca="1"/>
        <v>198.4799077736553</v>
      </c>
      <c r="O283" s="12">
        <f t="shared" ca="1" si="46"/>
        <v>0.12427991556644891</v>
      </c>
    </row>
    <row r="284" spans="2:15" x14ac:dyDescent="0.15">
      <c r="B284" s="6">
        <f t="shared" ca="1" si="39"/>
        <v>1.4896366295228243</v>
      </c>
      <c r="C284" s="6">
        <f t="shared" ca="1" si="39"/>
        <v>0.58821609955657628</v>
      </c>
      <c r="D284" s="6">
        <f t="shared" ca="1" si="39"/>
        <v>-1.2592909889671338</v>
      </c>
      <c r="E284" s="8">
        <f t="shared" ca="1" si="40"/>
        <v>3.391664137422154E-2</v>
      </c>
      <c r="F284" s="8">
        <f t="shared" ca="1" si="41"/>
        <v>6.8778065684858253E-2</v>
      </c>
      <c r="G284" s="8">
        <f t="shared" ca="1" si="42"/>
        <v>4.3019106126819411E-2</v>
      </c>
      <c r="H284" s="10">
        <f t="shared" ca="1" si="43"/>
        <v>4152.209231758874</v>
      </c>
      <c r="I284" s="10">
        <f t="shared" ca="1" si="44"/>
        <v>581.41526773256282</v>
      </c>
      <c r="J284" s="10">
        <f t="shared" ca="1" si="45"/>
        <v>2332.1907212995684</v>
      </c>
      <c r="K284" s="12">
        <f t="array" aca="1" ref="K284:L284" ca="1">Opt3Spd(H284:J284,$E$3:$G$3,$K$3:$M$3,$N$3:$P$3,$H$3,$I$3,$Q$3,$J$3)</f>
        <v>230.85733314289655</v>
      </c>
      <c r="L284" s="12">
        <f ca="1"/>
        <v>7.890405907346576E-3</v>
      </c>
      <c r="M284" s="12">
        <f t="array" aca="1" ref="M284:N284" ca="1">Opt3Spd(H284:J284,$E$3:$G$3,$K$3:$M$3,$N$3:$P$3,$H$4,$I$3,$Q$3,$J$3)</f>
        <v>0.32777078342396138</v>
      </c>
      <c r="N284" s="12">
        <f ca="1"/>
        <v>169.47832804643477</v>
      </c>
      <c r="O284" s="12">
        <f t="shared" ca="1" si="46"/>
        <v>0.33566118933130795</v>
      </c>
    </row>
    <row r="285" spans="2:15" x14ac:dyDescent="0.15">
      <c r="B285" s="6">
        <f t="shared" ca="1" si="39"/>
        <v>-0.50653936037113145</v>
      </c>
      <c r="C285" s="6">
        <f t="shared" ca="1" si="39"/>
        <v>0.19723966398716125</v>
      </c>
      <c r="D285" s="6">
        <f t="shared" ca="1" si="39"/>
        <v>-0.52997278036256523</v>
      </c>
      <c r="E285" s="8">
        <f t="shared" ca="1" si="40"/>
        <v>-1.1533090343742785E-2</v>
      </c>
      <c r="F285" s="8">
        <f t="shared" ca="1" si="41"/>
        <v>-1.4255082903459844E-2</v>
      </c>
      <c r="G285" s="8">
        <f t="shared" ca="1" si="42"/>
        <v>-2.3682680200777042E-2</v>
      </c>
      <c r="H285" s="10">
        <f t="shared" ca="1" si="43"/>
        <v>3969.6831091795289</v>
      </c>
      <c r="I285" s="10">
        <f t="shared" ca="1" si="44"/>
        <v>536.24523490051786</v>
      </c>
      <c r="J285" s="10">
        <f t="shared" ca="1" si="45"/>
        <v>2183.0455270710627</v>
      </c>
      <c r="K285" s="12">
        <f t="array" aca="1" ref="K285:L285" ca="1">Opt3Spd(H285:J285,$E$3:$G$3,$K$3:$M$3,$N$3:$P$3,$H$3,$I$3,$Q$3,$J$3)</f>
        <v>195.20716103845348</v>
      </c>
      <c r="L285" s="12">
        <f ca="1"/>
        <v>3.9191235284533832E-2</v>
      </c>
      <c r="M285" s="12">
        <f t="array" aca="1" ref="M285:N285" ca="1">Opt3Spd(H285:J285,$E$3:$G$3,$K$3:$M$3,$N$3:$P$3,$H$4,$I$3,$Q$3,$J$3)</f>
        <v>6.1793183469593949E-2</v>
      </c>
      <c r="N285" s="12">
        <f ca="1"/>
        <v>204.89382338030066</v>
      </c>
      <c r="O285" s="12">
        <f t="shared" ca="1" si="46"/>
        <v>0.10098441875412778</v>
      </c>
    </row>
    <row r="286" spans="2:15" x14ac:dyDescent="0.15">
      <c r="B286" s="6">
        <f t="shared" ca="1" si="39"/>
        <v>0.7106428677489165</v>
      </c>
      <c r="C286" s="6">
        <f t="shared" ca="1" si="39"/>
        <v>-0.95855702586721192</v>
      </c>
      <c r="D286" s="6">
        <f t="shared" ca="1" si="39"/>
        <v>1.0561561293379551</v>
      </c>
      <c r="E286" s="8">
        <f t="shared" ca="1" si="40"/>
        <v>1.6180200468290815E-2</v>
      </c>
      <c r="F286" s="8">
        <f t="shared" ca="1" si="41"/>
        <v>4.3244578310056179E-3</v>
      </c>
      <c r="G286" s="8">
        <f t="shared" ca="1" si="42"/>
        <v>3.4576488832906371E-2</v>
      </c>
      <c r="H286" s="10">
        <f t="shared" ca="1" si="43"/>
        <v>4080.9796850806556</v>
      </c>
      <c r="I286" s="10">
        <f t="shared" ca="1" si="44"/>
        <v>546.35250506006696</v>
      </c>
      <c r="J286" s="10">
        <f t="shared" ca="1" si="45"/>
        <v>2313.3130290303784</v>
      </c>
      <c r="K286" s="12">
        <f t="array" aca="1" ref="K286:L286" ca="1">Opt3Spd(H286:J286,$E$3:$G$3,$K$3:$M$3,$N$3:$P$3,$H$3,$I$3,$Q$3,$J$3)</f>
        <v>225.16915248145119</v>
      </c>
      <c r="L286" s="12">
        <f ca="1"/>
        <v>9.9900120919755864E-3</v>
      </c>
      <c r="M286" s="12">
        <f t="array" aca="1" ref="M286:N286" ca="1">Opt3Spd(H286:J286,$E$3:$G$3,$K$3:$M$3,$N$3:$P$3,$H$4,$I$3,$Q$3,$J$3)</f>
        <v>0.25470846254712853</v>
      </c>
      <c r="N286" s="12">
        <f ca="1"/>
        <v>175.0955459931879</v>
      </c>
      <c r="O286" s="12">
        <f t="shared" ca="1" si="46"/>
        <v>0.26469847463910412</v>
      </c>
    </row>
    <row r="287" spans="2:15" x14ac:dyDescent="0.15">
      <c r="B287" s="6">
        <f t="shared" ca="1" si="39"/>
        <v>-0.89064240516175541</v>
      </c>
      <c r="C287" s="6">
        <f t="shared" ca="1" si="39"/>
        <v>0.35008203517541459</v>
      </c>
      <c r="D287" s="6">
        <f t="shared" ca="1" si="39"/>
        <v>-1.6824062297686944</v>
      </c>
      <c r="E287" s="8">
        <f t="shared" ca="1" si="40"/>
        <v>-2.0278501783499908E-2</v>
      </c>
      <c r="F287" s="8">
        <f t="shared" ca="1" si="41"/>
        <v>-2.4989199296977991E-2</v>
      </c>
      <c r="G287" s="8">
        <f t="shared" ca="1" si="42"/>
        <v>-4.9627240679115781E-2</v>
      </c>
      <c r="H287" s="10">
        <f t="shared" ca="1" si="43"/>
        <v>3934.5615368374647</v>
      </c>
      <c r="I287" s="10">
        <f t="shared" ca="1" si="44"/>
        <v>530.40587558244397</v>
      </c>
      <c r="J287" s="10">
        <f t="shared" ca="1" si="45"/>
        <v>2125.0334898414972</v>
      </c>
      <c r="K287" s="12">
        <f t="array" aca="1" ref="K287:L287" ca="1">Opt3Spd(H287:J287,$E$3:$G$3,$K$3:$M$3,$N$3:$P$3,$H$3,$I$3,$Q$3,$J$3)</f>
        <v>198.42672777365192</v>
      </c>
      <c r="L287" s="12">
        <f ca="1"/>
        <v>3.1336788846147101E-2</v>
      </c>
      <c r="M287" s="12">
        <f t="array" aca="1" ref="M287:N287" ca="1">Opt3Spd(H287:J287,$E$3:$G$3,$K$3:$M$3,$N$3:$P$3,$H$4,$I$3,$Q$3,$J$3)</f>
        <v>6.8231777971483609E-2</v>
      </c>
      <c r="N287" s="12">
        <f ca="1"/>
        <v>201.6728407931657</v>
      </c>
      <c r="O287" s="12">
        <f t="shared" ca="1" si="46"/>
        <v>9.956856681763071E-2</v>
      </c>
    </row>
    <row r="288" spans="2:15" x14ac:dyDescent="0.15">
      <c r="B288" s="6">
        <f t="shared" ca="1" si="39"/>
        <v>0.68448615925519385</v>
      </c>
      <c r="C288" s="6">
        <f t="shared" ca="1" si="39"/>
        <v>-0.51715038296923221</v>
      </c>
      <c r="D288" s="6">
        <f t="shared" ca="1" si="39"/>
        <v>-1.2860465108637762</v>
      </c>
      <c r="E288" s="8">
        <f t="shared" ca="1" si="40"/>
        <v>1.5584654088771516E-2</v>
      </c>
      <c r="F288" s="8">
        <f t="shared" ca="1" si="41"/>
        <v>1.3501488861619955E-2</v>
      </c>
      <c r="G288" s="8">
        <f t="shared" ca="1" si="42"/>
        <v>9.9453124463253668E-3</v>
      </c>
      <c r="H288" s="10">
        <f t="shared" ca="1" si="43"/>
        <v>4078.5879708205061</v>
      </c>
      <c r="I288" s="10">
        <f t="shared" ca="1" si="44"/>
        <v>551.34480994072135</v>
      </c>
      <c r="J288" s="10">
        <f t="shared" ca="1" si="45"/>
        <v>2258.2377186299836</v>
      </c>
      <c r="K288" s="12">
        <f t="array" aca="1" ref="K288:L288" ca="1">Opt3Spd(H288:J288,$E$3:$G$3,$K$3:$M$3,$N$3:$P$3,$H$3,$I$3,$Q$3,$J$3)</f>
        <v>242.32109274609775</v>
      </c>
      <c r="L288" s="12">
        <f ca="1"/>
        <v>3.6771457375834871E-3</v>
      </c>
      <c r="M288" s="12">
        <f t="array" aca="1" ref="M288:N288" ca="1">Opt3Spd(H288:J288,$E$3:$G$3,$K$3:$M$3,$N$3:$P$3,$H$4,$I$3,$Q$3,$J$3)</f>
        <v>0.48370166502156309</v>
      </c>
      <c r="N288" s="12">
        <f ca="1"/>
        <v>158.16628606466139</v>
      </c>
      <c r="O288" s="12">
        <f t="shared" ca="1" si="46"/>
        <v>0.48737881075914657</v>
      </c>
    </row>
    <row r="289" spans="2:15" x14ac:dyDescent="0.15">
      <c r="B289" s="6">
        <f t="shared" ca="1" si="39"/>
        <v>0.87829391518324385</v>
      </c>
      <c r="C289" s="6">
        <f t="shared" ca="1" si="39"/>
        <v>-0.57710120809344867</v>
      </c>
      <c r="D289" s="6">
        <f t="shared" ca="1" si="39"/>
        <v>1.8862977189157568</v>
      </c>
      <c r="E289" s="8">
        <f t="shared" ca="1" si="40"/>
        <v>1.999734643472971E-2</v>
      </c>
      <c r="F289" s="8">
        <f t="shared" ca="1" si="41"/>
        <v>1.9312320770986987E-2</v>
      </c>
      <c r="G289" s="8">
        <f t="shared" ca="1" si="42"/>
        <v>5.0686614308703588E-2</v>
      </c>
      <c r="H289" s="10">
        <f t="shared" ca="1" si="43"/>
        <v>4096.3093432818741</v>
      </c>
      <c r="I289" s="10">
        <f t="shared" ca="1" si="44"/>
        <v>554.50590249941683</v>
      </c>
      <c r="J289" s="10">
        <f t="shared" ca="1" si="45"/>
        <v>2349.3352695942613</v>
      </c>
      <c r="K289" s="12">
        <f t="array" aca="1" ref="K289:L289" ca="1">Opt3Spd(H289:J289,$E$3:$G$3,$K$3:$M$3,$N$3:$P$3,$H$3,$I$3,$Q$3,$J$3)</f>
        <v>209.45578013173122</v>
      </c>
      <c r="L289" s="12">
        <f ca="1"/>
        <v>2.3515646054647732E-2</v>
      </c>
      <c r="M289" s="12">
        <f t="array" aca="1" ref="M289:N289" ca="1">Opt3Spd(H289:J289,$E$3:$G$3,$K$3:$M$3,$N$3:$P$3,$H$4,$I$3,$Q$3,$J$3)</f>
        <v>0.13562736414574594</v>
      </c>
      <c r="N289" s="12">
        <f ca="1"/>
        <v>190.70336287846916</v>
      </c>
      <c r="O289" s="12">
        <f t="shared" ca="1" si="46"/>
        <v>0.15914301020039368</v>
      </c>
    </row>
    <row r="290" spans="2:15" x14ac:dyDescent="0.15">
      <c r="B290" s="6">
        <f t="shared" ca="1" si="39"/>
        <v>-0.51905851233559941</v>
      </c>
      <c r="C290" s="6">
        <f t="shared" ca="1" si="39"/>
        <v>1.0231181157531362</v>
      </c>
      <c r="D290" s="6">
        <f t="shared" ca="1" si="39"/>
        <v>-0.48522929611767673</v>
      </c>
      <c r="E290" s="8">
        <f t="shared" ca="1" si="40"/>
        <v>-1.1818131392729513E-2</v>
      </c>
      <c r="F290" s="8">
        <f t="shared" ca="1" si="41"/>
        <v>4.2662421337329075E-3</v>
      </c>
      <c r="G290" s="8">
        <f t="shared" ca="1" si="42"/>
        <v>-2.1268457608545111E-2</v>
      </c>
      <c r="H290" s="10">
        <f t="shared" ca="1" si="43"/>
        <v>3968.5383843267982</v>
      </c>
      <c r="I290" s="10">
        <f t="shared" ca="1" si="44"/>
        <v>546.32083572075067</v>
      </c>
      <c r="J290" s="10">
        <f t="shared" ca="1" si="45"/>
        <v>2188.4437287872929</v>
      </c>
      <c r="K290" s="12">
        <f t="array" aca="1" ref="K290:L290" ca="1">Opt3Spd(H290:J290,$E$3:$G$3,$K$3:$M$3,$N$3:$P$3,$H$3,$I$3,$Q$3,$J$3)</f>
        <v>175.3049865778828</v>
      </c>
      <c r="L290" s="12">
        <f ca="1"/>
        <v>0.101803797932007</v>
      </c>
      <c r="M290" s="12">
        <f t="array" aca="1" ref="M290:N290" ca="1">Opt3Spd(H290:J290,$E$3:$G$3,$K$3:$M$3,$N$3:$P$3,$H$4,$I$3,$Q$3,$J$3)</f>
        <v>2.3495804447149382E-2</v>
      </c>
      <c r="N290" s="12">
        <f ca="1"/>
        <v>224.82031302449636</v>
      </c>
      <c r="O290" s="12">
        <f t="shared" ca="1" si="46"/>
        <v>0.12529960237915638</v>
      </c>
    </row>
    <row r="291" spans="2:15" x14ac:dyDescent="0.15">
      <c r="B291" s="6">
        <f t="shared" ca="1" si="39"/>
        <v>0.16203921808861338</v>
      </c>
      <c r="C291" s="6">
        <f t="shared" ca="1" si="39"/>
        <v>-0.91119951940637289</v>
      </c>
      <c r="D291" s="6">
        <f t="shared" ca="1" si="39"/>
        <v>0.36885250079305665</v>
      </c>
      <c r="E291" s="8">
        <f t="shared" ca="1" si="40"/>
        <v>3.6893735959159729E-3</v>
      </c>
      <c r="F291" s="8">
        <f t="shared" ca="1" si="41"/>
        <v>-1.4936503047517681E-2</v>
      </c>
      <c r="G291" s="8">
        <f t="shared" ca="1" si="42"/>
        <v>7.2372774279101295E-3</v>
      </c>
      <c r="H291" s="10">
        <f t="shared" ca="1" si="43"/>
        <v>4030.8165243611988</v>
      </c>
      <c r="I291" s="10">
        <f t="shared" ca="1" si="44"/>
        <v>535.87454234215033</v>
      </c>
      <c r="J291" s="10">
        <f t="shared" ca="1" si="45"/>
        <v>2252.1825523288071</v>
      </c>
      <c r="K291" s="12">
        <f t="array" aca="1" ref="K291:L291" ca="1">Opt3Spd(H291:J291,$E$3:$G$3,$K$3:$M$3,$N$3:$P$3,$H$3,$I$3,$Q$3,$J$3)</f>
        <v>222.33663327306817</v>
      </c>
      <c r="L291" s="12">
        <f ca="1"/>
        <v>1.0652823713598991E-2</v>
      </c>
      <c r="M291" s="12">
        <f t="array" aca="1" ref="M291:N291" ca="1">Opt3Spd(H291:J291,$E$3:$G$3,$K$3:$M$3,$N$3:$P$3,$H$4,$I$3,$Q$3,$J$3)</f>
        <v>0.2169263159071555</v>
      </c>
      <c r="N291" s="12">
        <f ca="1"/>
        <v>177.89094586655258</v>
      </c>
      <c r="O291" s="12">
        <f t="shared" ca="1" si="46"/>
        <v>0.22757913962075449</v>
      </c>
    </row>
    <row r="292" spans="2:15" x14ac:dyDescent="0.15">
      <c r="B292" s="6">
        <f t="shared" ca="1" si="39"/>
        <v>1.4673329374393449</v>
      </c>
      <c r="C292" s="6">
        <f t="shared" ca="1" si="39"/>
        <v>0.82500846208234035</v>
      </c>
      <c r="D292" s="6">
        <f t="shared" ca="1" si="39"/>
        <v>-0.36634923838477562</v>
      </c>
      <c r="E292" s="8">
        <f t="shared" ca="1" si="40"/>
        <v>3.3408822010274543E-2</v>
      </c>
      <c r="F292" s="8">
        <f t="shared" ca="1" si="41"/>
        <v>7.3394243849232821E-2</v>
      </c>
      <c r="G292" s="8">
        <f t="shared" ca="1" si="42"/>
        <v>5.2399663111010922E-2</v>
      </c>
      <c r="H292" s="10">
        <f t="shared" ca="1" si="43"/>
        <v>4150.1698291932626</v>
      </c>
      <c r="I292" s="10">
        <f t="shared" ca="1" si="44"/>
        <v>583.92646865398262</v>
      </c>
      <c r="J292" s="10">
        <f t="shared" ca="1" si="45"/>
        <v>2353.1656467162202</v>
      </c>
      <c r="K292" s="12">
        <f t="array" aca="1" ref="K292:L292" ca="1">Opt3Spd(H292:J292,$E$3:$G$3,$K$3:$M$3,$N$3:$P$3,$H$3,$I$3,$Q$3,$J$3)</f>
        <v>214.32378893794453</v>
      </c>
      <c r="L292" s="12">
        <f ca="1"/>
        <v>1.9132949164259117E-2</v>
      </c>
      <c r="M292" s="12">
        <f t="array" aca="1" ref="M292:N292" ca="1">Opt3Spd(H292:J292,$E$3:$G$3,$K$3:$M$3,$N$3:$P$3,$H$4,$I$3,$Q$3,$J$3)</f>
        <v>0.16968374112865625</v>
      </c>
      <c r="N292" s="12">
        <f ca="1"/>
        <v>185.8650277523484</v>
      </c>
      <c r="O292" s="12">
        <f t="shared" ca="1" si="46"/>
        <v>0.18881669029291537</v>
      </c>
    </row>
    <row r="293" spans="2:15" x14ac:dyDescent="0.15">
      <c r="B293" s="6">
        <f t="shared" ca="1" si="39"/>
        <v>1.9100833209376729E-2</v>
      </c>
      <c r="C293" s="6">
        <f t="shared" ca="1" si="39"/>
        <v>-1.0702219533768507</v>
      </c>
      <c r="D293" s="6">
        <f t="shared" ca="1" si="39"/>
        <v>-0.79558241720706879</v>
      </c>
      <c r="E293" s="8">
        <f t="shared" ca="1" si="40"/>
        <v>4.3489539467002315E-4</v>
      </c>
      <c r="F293" s="8">
        <f t="shared" ca="1" si="41"/>
        <v>-2.3894277216292968E-2</v>
      </c>
      <c r="G293" s="8">
        <f t="shared" ca="1" si="42"/>
        <v>-1.0880472380885516E-2</v>
      </c>
      <c r="H293" s="10">
        <f t="shared" ca="1" si="43"/>
        <v>4017.7465399049947</v>
      </c>
      <c r="I293" s="10">
        <f t="shared" ca="1" si="44"/>
        <v>531.00151319433655</v>
      </c>
      <c r="J293" s="10">
        <f t="shared" ca="1" si="45"/>
        <v>2211.6712637563401</v>
      </c>
      <c r="K293" s="12">
        <f t="array" aca="1" ref="K293:L293" ca="1">Opt3Spd(H293:J293,$E$3:$G$3,$K$3:$M$3,$N$3:$P$3,$H$3,$I$3,$Q$3,$J$3)</f>
        <v>237.31295860783143</v>
      </c>
      <c r="L293" s="12">
        <f ca="1"/>
        <v>4.471691944900158E-3</v>
      </c>
      <c r="M293" s="12">
        <f t="array" aca="1" ref="M293:N293" ca="1">Opt3Spd(H293:J293,$E$3:$G$3,$K$3:$M$3,$N$3:$P$3,$H$4,$I$3,$Q$3,$J$3)</f>
        <v>0.38649155336478458</v>
      </c>
      <c r="N293" s="12">
        <f ca="1"/>
        <v>163.07800463747824</v>
      </c>
      <c r="O293" s="12">
        <f t="shared" ca="1" si="46"/>
        <v>0.39096324530968474</v>
      </c>
    </row>
    <row r="294" spans="2:15" x14ac:dyDescent="0.15">
      <c r="B294" s="6">
        <f t="shared" ca="1" si="39"/>
        <v>-0.46633796462860405</v>
      </c>
      <c r="C294" s="6">
        <f t="shared" ca="1" si="39"/>
        <v>0.64266745139493642</v>
      </c>
      <c r="D294" s="6">
        <f t="shared" ca="1" si="39"/>
        <v>-0.11779434027210184</v>
      </c>
      <c r="E294" s="8">
        <f t="shared" ca="1" si="40"/>
        <v>-1.0617768918960671E-2</v>
      </c>
      <c r="F294" s="8">
        <f t="shared" ca="1" si="41"/>
        <v>-2.52415633934093E-3</v>
      </c>
      <c r="G294" s="8">
        <f t="shared" ca="1" si="42"/>
        <v>-1.652172306063221E-2</v>
      </c>
      <c r="H294" s="10">
        <f t="shared" ca="1" si="43"/>
        <v>3973.3590400214539</v>
      </c>
      <c r="I294" s="10">
        <f t="shared" ca="1" si="44"/>
        <v>542.6268589513985</v>
      </c>
      <c r="J294" s="10">
        <f t="shared" ca="1" si="45"/>
        <v>2199.0574272364261</v>
      </c>
      <c r="K294" s="12">
        <f t="array" aca="1" ref="K294:L294" ca="1">Opt3Spd(H294:J294,$E$3:$G$3,$K$3:$M$3,$N$3:$P$3,$H$3,$I$3,$Q$3,$J$3)</f>
        <v>180.70725466264844</v>
      </c>
      <c r="L294" s="12">
        <f ca="1"/>
        <v>7.9902581645455939E-2</v>
      </c>
      <c r="M294" s="12">
        <f t="array" aca="1" ref="M294:N294" ca="1">Opt3Spd(H294:J294,$E$3:$G$3,$K$3:$M$3,$N$3:$P$3,$H$4,$I$3,$Q$3,$J$3)</f>
        <v>3.1136007996492854E-2</v>
      </c>
      <c r="N294" s="12">
        <f ca="1"/>
        <v>219.4037839269935</v>
      </c>
      <c r="O294" s="12">
        <f t="shared" ca="1" si="46"/>
        <v>0.11103858964194879</v>
      </c>
    </row>
    <row r="295" spans="2:15" x14ac:dyDescent="0.15">
      <c r="B295" s="6">
        <f t="shared" ca="1" si="39"/>
        <v>0.2212555591023945</v>
      </c>
      <c r="C295" s="6">
        <f t="shared" ca="1" si="39"/>
        <v>1.093025211430974</v>
      </c>
      <c r="D295" s="6">
        <f t="shared" ca="1" si="39"/>
        <v>-1.7620738269762328</v>
      </c>
      <c r="E295" s="8">
        <f t="shared" ca="1" si="40"/>
        <v>5.0376348845104797E-3</v>
      </c>
      <c r="F295" s="8">
        <f t="shared" ca="1" si="41"/>
        <v>3.3334153761642921E-2</v>
      </c>
      <c r="G295" s="8">
        <f t="shared" ca="1" si="42"/>
        <v>-7.4698784911692209E-3</v>
      </c>
      <c r="H295" s="10">
        <f t="shared" ca="1" si="43"/>
        <v>4036.2311416961943</v>
      </c>
      <c r="I295" s="10">
        <f t="shared" ca="1" si="44"/>
        <v>562.13377964633378</v>
      </c>
      <c r="J295" s="10">
        <f t="shared" ca="1" si="45"/>
        <v>2219.2973516937454</v>
      </c>
      <c r="K295" s="12">
        <f t="array" aca="1" ref="K295:L295" ca="1">Opt3Spd(H295:J295,$E$3:$G$3,$K$3:$M$3,$N$3:$P$3,$H$3,$I$3,$Q$3,$J$3)</f>
        <v>202.197885889281</v>
      </c>
      <c r="L295" s="12">
        <f ca="1"/>
        <v>2.9467474093735291E-2</v>
      </c>
      <c r="M295" s="12">
        <f t="array" aca="1" ref="M295:N295" ca="1">Opt3Spd(H295:J295,$E$3:$G$3,$K$3:$M$3,$N$3:$P$3,$H$4,$I$3,$Q$3,$J$3)</f>
        <v>8.8930506553547062E-2</v>
      </c>
      <c r="N295" s="12">
        <f ca="1"/>
        <v>197.92051209136628</v>
      </c>
      <c r="O295" s="12">
        <f t="shared" ca="1" si="46"/>
        <v>0.11839798064728235</v>
      </c>
    </row>
    <row r="296" spans="2:15" x14ac:dyDescent="0.15">
      <c r="B296" s="6">
        <f t="shared" ca="1" si="39"/>
        <v>-2.1064052981483452</v>
      </c>
      <c r="C296" s="6">
        <f t="shared" ca="1" si="39"/>
        <v>0.87051123910396</v>
      </c>
      <c r="D296" s="6">
        <f t="shared" ca="1" si="39"/>
        <v>9.6576432519072289E-2</v>
      </c>
      <c r="E296" s="8">
        <f t="shared" ca="1" si="40"/>
        <v>-4.7959476606682747E-2</v>
      </c>
      <c r="F296" s="8">
        <f t="shared" ca="1" si="41"/>
        <v>-5.8122235522217888E-2</v>
      </c>
      <c r="G296" s="8">
        <f t="shared" ca="1" si="42"/>
        <v>-7.3830002403166867E-2</v>
      </c>
      <c r="H296" s="10">
        <f t="shared" ca="1" si="43"/>
        <v>3823.3947419475621</v>
      </c>
      <c r="I296" s="10">
        <f t="shared" ca="1" si="44"/>
        <v>512.38150387591349</v>
      </c>
      <c r="J296" s="10">
        <f t="shared" ca="1" si="45"/>
        <v>2070.9161146265192</v>
      </c>
      <c r="K296" s="12">
        <f t="array" aca="1" ref="K296:L296" ca="1">Opt3Spd(H296:J296,$E$3:$G$3,$K$3:$M$3,$N$3:$P$3,$H$3,$I$3,$Q$3,$J$3)</f>
        <v>143.49344816554503</v>
      </c>
      <c r="L296" s="12">
        <f ca="1"/>
        <v>0.36716973270426934</v>
      </c>
      <c r="M296" s="12">
        <f t="array" aca="1" ref="M296:N296" ca="1">Opt3Spd(H296:J296,$E$3:$G$3,$K$3:$M$3,$N$3:$P$3,$H$4,$I$3,$Q$3,$J$3)</f>
        <v>3.479869593227658E-3</v>
      </c>
      <c r="N296" s="12">
        <f ca="1"/>
        <v>256.87720143675244</v>
      </c>
      <c r="O296" s="12">
        <f t="shared" ca="1" si="46"/>
        <v>0.37064960229749699</v>
      </c>
    </row>
    <row r="297" spans="2:15" x14ac:dyDescent="0.15">
      <c r="B297" s="6">
        <f t="shared" ca="1" si="39"/>
        <v>2.1109366522807993</v>
      </c>
      <c r="C297" s="6">
        <f t="shared" ca="1" si="39"/>
        <v>0.49402908085708441</v>
      </c>
      <c r="D297" s="6">
        <f t="shared" ca="1" si="39"/>
        <v>-1.3457814696133268</v>
      </c>
      <c r="E297" s="8">
        <f t="shared" ca="1" si="40"/>
        <v>4.8062648286275024E-2</v>
      </c>
      <c r="F297" s="8">
        <f t="shared" ca="1" si="41"/>
        <v>8.9659050603961926E-2</v>
      </c>
      <c r="G297" s="8">
        <f t="shared" ca="1" si="42"/>
        <v>6.4649848626204667E-2</v>
      </c>
      <c r="H297" s="10">
        <f t="shared" ca="1" si="43"/>
        <v>4209.0195955176805</v>
      </c>
      <c r="I297" s="10">
        <f t="shared" ca="1" si="44"/>
        <v>592.77452352855528</v>
      </c>
      <c r="J297" s="10">
        <f t="shared" ca="1" si="45"/>
        <v>2380.5570615281936</v>
      </c>
      <c r="K297" s="12">
        <f t="array" aca="1" ref="K297:L297" ca="1">Opt3Spd(H297:J297,$E$3:$G$3,$K$3:$M$3,$N$3:$P$3,$H$3,$I$3,$Q$3,$J$3)</f>
        <v>245.30575281913571</v>
      </c>
      <c r="L297" s="12">
        <f ca="1"/>
        <v>3.9257112402992789E-3</v>
      </c>
      <c r="M297" s="12">
        <f t="array" aca="1" ref="M297:N297" ca="1">Opt3Spd(H297:J297,$E$3:$G$3,$K$3:$M$3,$N$3:$P$3,$H$4,$I$3,$Q$3,$J$3)</f>
        <v>0.5873265759847186</v>
      </c>
      <c r="N297" s="12">
        <f ca="1"/>
        <v>155.28549946808931</v>
      </c>
      <c r="O297" s="12">
        <f t="shared" ca="1" si="46"/>
        <v>0.59125228722501788</v>
      </c>
    </row>
    <row r="298" spans="2:15" x14ac:dyDescent="0.15">
      <c r="B298" s="6">
        <f t="shared" ca="1" si="39"/>
        <v>-0.72844342962522302</v>
      </c>
      <c r="C298" s="6">
        <f t="shared" ca="1" si="39"/>
        <v>-1.602213493216389</v>
      </c>
      <c r="D298" s="6">
        <f t="shared" ca="1" si="39"/>
        <v>-1.4067740201211509</v>
      </c>
      <c r="E298" s="8">
        <f t="shared" ca="1" si="40"/>
        <v>-1.6585490766242016E-2</v>
      </c>
      <c r="F298" s="8">
        <f t="shared" ca="1" si="41"/>
        <v>-6.3853008986805834E-2</v>
      </c>
      <c r="G298" s="8">
        <f t="shared" ca="1" si="42"/>
        <v>-4.6399446262916713E-2</v>
      </c>
      <c r="H298" s="10">
        <f t="shared" ca="1" si="43"/>
        <v>3949.392669082772</v>
      </c>
      <c r="I298" s="10">
        <f t="shared" ca="1" si="44"/>
        <v>509.26396311117765</v>
      </c>
      <c r="J298" s="10">
        <f t="shared" ca="1" si="45"/>
        <v>2132.2508381561183</v>
      </c>
      <c r="K298" s="12">
        <f t="array" aca="1" ref="K298:L298" ca="1">Opt3Spd(H298:J298,$E$3:$G$3,$K$3:$M$3,$N$3:$P$3,$H$3,$I$3,$Q$3,$J$3)</f>
        <v>243.447701752076</v>
      </c>
      <c r="L298" s="12">
        <f ca="1"/>
        <v>2.7927252474455599E-3</v>
      </c>
      <c r="M298" s="12">
        <f t="array" aca="1" ref="M298:N298" ca="1">Opt3Spd(H298:J298,$E$3:$G$3,$K$3:$M$3,$N$3:$P$3,$H$4,$I$3,$Q$3,$J$3)</f>
        <v>0.46764176676303038</v>
      </c>
      <c r="N298" s="12">
        <f ca="1"/>
        <v>157.02273273993447</v>
      </c>
      <c r="O298" s="12">
        <f t="shared" ca="1" si="46"/>
        <v>0.47043449201047594</v>
      </c>
    </row>
    <row r="299" spans="2:15" x14ac:dyDescent="0.15">
      <c r="B299" s="6">
        <f t="shared" ca="1" si="39"/>
        <v>-0.50903342868336809</v>
      </c>
      <c r="C299" s="6">
        <f t="shared" ca="1" si="39"/>
        <v>1.8117293241035433</v>
      </c>
      <c r="D299" s="6">
        <f t="shared" ca="1" si="39"/>
        <v>-0.23602846828862711</v>
      </c>
      <c r="E299" s="8">
        <f t="shared" ca="1" si="40"/>
        <v>-1.1589876286591166E-2</v>
      </c>
      <c r="F299" s="8">
        <f t="shared" ca="1" si="41"/>
        <v>2.2767094238921738E-2</v>
      </c>
      <c r="G299" s="8">
        <f t="shared" ca="1" si="42"/>
        <v>-1.5956086985412572E-2</v>
      </c>
      <c r="H299" s="10">
        <f t="shared" ca="1" si="43"/>
        <v>3969.4550568330501</v>
      </c>
      <c r="I299" s="10">
        <f t="shared" ca="1" si="44"/>
        <v>556.38529926597346</v>
      </c>
      <c r="J299" s="10">
        <f t="shared" ca="1" si="45"/>
        <v>2200.3221895006172</v>
      </c>
      <c r="K299" s="12">
        <f t="array" aca="1" ref="K299:L299" ca="1">Opt3Spd(H299:J299,$E$3:$G$3,$K$3:$M$3,$N$3:$P$3,$H$3,$I$3,$Q$3,$J$3)</f>
        <v>154.338247132785</v>
      </c>
      <c r="L299" s="12">
        <f ca="1"/>
        <v>0.26076387560124203</v>
      </c>
      <c r="M299" s="12">
        <f t="array" aca="1" ref="M299:N299" ca="1">Opt3Spd(H299:J299,$E$3:$G$3,$K$3:$M$3,$N$3:$P$3,$H$4,$I$3,$Q$3,$J$3)</f>
        <v>7.8501267386901219E-3</v>
      </c>
      <c r="N299" s="12">
        <f ca="1"/>
        <v>245.93036686955494</v>
      </c>
      <c r="O299" s="12">
        <f t="shared" ca="1" si="46"/>
        <v>0.26861400233993216</v>
      </c>
    </row>
    <row r="300" spans="2:15" x14ac:dyDescent="0.15">
      <c r="B300" s="6">
        <f t="shared" ca="1" si="39"/>
        <v>-1.1586146953137819</v>
      </c>
      <c r="C300" s="6">
        <f t="shared" ca="1" si="39"/>
        <v>-1.8307075334340883</v>
      </c>
      <c r="D300" s="6">
        <f t="shared" ca="1" si="39"/>
        <v>-0.64669126074106642</v>
      </c>
      <c r="E300" s="8">
        <f t="shared" ca="1" si="40"/>
        <v>-2.6379801847681676E-2</v>
      </c>
      <c r="F300" s="8">
        <f t="shared" ca="1" si="41"/>
        <v>-8.5062308709946841E-2</v>
      </c>
      <c r="G300" s="8">
        <f t="shared" ca="1" si="42"/>
        <v>-5.4769347592602345E-2</v>
      </c>
      <c r="H300" s="10">
        <f t="shared" ca="1" si="43"/>
        <v>3910.0587157797104</v>
      </c>
      <c r="I300" s="10">
        <f t="shared" ca="1" si="44"/>
        <v>497.72610406178893</v>
      </c>
      <c r="J300" s="10">
        <f t="shared" ca="1" si="45"/>
        <v>2113.5357387829413</v>
      </c>
      <c r="K300" s="12">
        <f t="array" aca="1" ref="K300:L300" ca="1">Opt3Spd(H300:J300,$E$3:$G$3,$K$3:$M$3,$N$3:$P$3,$H$3,$I$3,$Q$3,$J$3)</f>
        <v>231.93427465710647</v>
      </c>
      <c r="L300" s="12">
        <f ca="1"/>
        <v>5.194767729335581E-3</v>
      </c>
      <c r="M300" s="12">
        <f t="array" aca="1" ref="M300:N300" ca="1">Opt3Spd(H300:J300,$E$3:$G$3,$K$3:$M$3,$N$3:$P$3,$H$4,$I$3,$Q$3,$J$3)</f>
        <v>0.29298623111706235</v>
      </c>
      <c r="N300" s="12">
        <f ca="1"/>
        <v>168.36390634173992</v>
      </c>
      <c r="O300" s="12">
        <f t="shared" ca="1" si="46"/>
        <v>0.29818099884639793</v>
      </c>
    </row>
    <row r="301" spans="2:15" x14ac:dyDescent="0.15">
      <c r="B301" s="6">
        <f t="shared" ca="1" si="39"/>
        <v>2.3808867972728933</v>
      </c>
      <c r="C301" s="6">
        <f t="shared" ca="1" si="39"/>
        <v>0.44282560783121572</v>
      </c>
      <c r="D301" s="6">
        <f t="shared" ca="1" si="39"/>
        <v>1.3419171081751795</v>
      </c>
      <c r="E301" s="8">
        <f t="shared" ca="1" si="40"/>
        <v>5.4208980938922569E-2</v>
      </c>
      <c r="F301" s="8">
        <f t="shared" ca="1" si="41"/>
        <v>9.8495359991528669E-2</v>
      </c>
      <c r="G301" s="8">
        <f t="shared" ca="1" si="42"/>
        <v>0.10305093486273223</v>
      </c>
      <c r="H301" s="10">
        <f t="shared" ca="1" si="43"/>
        <v>4233.7032674507127</v>
      </c>
      <c r="I301" s="10">
        <f t="shared" ca="1" si="44"/>
        <v>597.58147583539153</v>
      </c>
      <c r="J301" s="10">
        <f t="shared" ca="1" si="45"/>
        <v>2466.4218903530691</v>
      </c>
      <c r="K301" s="12">
        <f t="array" aca="1" ref="K301:L301" ca="1">Opt3Spd(H301:J301,$E$3:$G$3,$K$3:$M$3,$N$3:$P$3,$H$3,$I$3,$Q$3,$J$3)</f>
        <v>219.3792319425911</v>
      </c>
      <c r="L301" s="12">
        <f ca="1"/>
        <v>1.7271005039219745E-2</v>
      </c>
      <c r="M301" s="12">
        <f t="array" aca="1" ref="M301:N301" ca="1">Opt3Spd(H301:J301,$E$3:$G$3,$K$3:$M$3,$N$3:$P$3,$H$4,$I$3,$Q$3,$J$3)</f>
        <v>0.22850205955392155</v>
      </c>
      <c r="N301" s="12">
        <f ca="1"/>
        <v>180.86654112200205</v>
      </c>
      <c r="O301" s="12">
        <f t="shared" ca="1" si="46"/>
        <v>0.2457730645931413</v>
      </c>
    </row>
    <row r="302" spans="2:15" x14ac:dyDescent="0.15">
      <c r="B302" s="6">
        <f t="shared" ca="1" si="39"/>
        <v>0.57186971470600545</v>
      </c>
      <c r="C302" s="6">
        <f t="shared" ca="1" si="39"/>
        <v>0.54870817832932051</v>
      </c>
      <c r="D302" s="6">
        <f t="shared" ca="1" si="39"/>
        <v>-0.49325333037405455</v>
      </c>
      <c r="E302" s="8">
        <f t="shared" ca="1" si="40"/>
        <v>1.3020557928059992E-2</v>
      </c>
      <c r="F302" s="8">
        <f t="shared" ca="1" si="41"/>
        <v>3.3826635336996057E-2</v>
      </c>
      <c r="G302" s="8">
        <f t="shared" ca="1" si="42"/>
        <v>1.7347792652789663E-2</v>
      </c>
      <c r="H302" s="10">
        <f t="shared" ca="1" si="43"/>
        <v>4068.2905606390891</v>
      </c>
      <c r="I302" s="10">
        <f t="shared" ca="1" si="44"/>
        <v>562.40168962332586</v>
      </c>
      <c r="J302" s="10">
        <f t="shared" ca="1" si="45"/>
        <v>2274.7896643716376</v>
      </c>
      <c r="K302" s="12">
        <f t="array" aca="1" ref="K302:L302" ca="1">Opt3Spd(H302:J302,$E$3:$G$3,$K$3:$M$3,$N$3:$P$3,$H$3,$I$3,$Q$3,$J$3)</f>
        <v>206.07884087391426</v>
      </c>
      <c r="L302" s="12">
        <f ca="1"/>
        <v>2.5815817965622045E-2</v>
      </c>
      <c r="M302" s="12">
        <f t="array" aca="1" ref="M302:N302" ca="1">Opt3Spd(H302:J302,$E$3:$G$3,$K$3:$M$3,$N$3:$P$3,$H$4,$I$3,$Q$3,$J$3)</f>
        <v>0.11072967736067696</v>
      </c>
      <c r="N302" s="12">
        <f ca="1"/>
        <v>194.05770462141203</v>
      </c>
      <c r="O302" s="12">
        <f t="shared" ca="1" si="46"/>
        <v>0.136545495326299</v>
      </c>
    </row>
    <row r="303" spans="2:15" x14ac:dyDescent="0.15">
      <c r="B303" s="6">
        <f t="shared" ca="1" si="39"/>
        <v>0.97593566324816439</v>
      </c>
      <c r="C303" s="6">
        <f t="shared" ca="1" si="39"/>
        <v>0.64820349821183554</v>
      </c>
      <c r="D303" s="6">
        <f t="shared" ca="1" si="39"/>
        <v>1.5711847510530987</v>
      </c>
      <c r="E303" s="8">
        <f t="shared" ca="1" si="40"/>
        <v>2.2220492728689221E-2</v>
      </c>
      <c r="F303" s="8">
        <f t="shared" ca="1" si="41"/>
        <v>5.1102110324614883E-2</v>
      </c>
      <c r="G303" s="8">
        <f t="shared" ca="1" si="42"/>
        <v>5.4473921660406696E-2</v>
      </c>
      <c r="H303" s="10">
        <f t="shared" ca="1" si="43"/>
        <v>4105.2374987984167</v>
      </c>
      <c r="I303" s="10">
        <f t="shared" ca="1" si="44"/>
        <v>571.79954801659051</v>
      </c>
      <c r="J303" s="10">
        <f t="shared" ca="1" si="45"/>
        <v>2357.8036888326692</v>
      </c>
      <c r="K303" s="12">
        <f t="array" aca="1" ref="K303:L303" ca="1">Opt3Spd(H303:J303,$E$3:$G$3,$K$3:$M$3,$N$3:$P$3,$H$3,$I$3,$Q$3,$J$3)</f>
        <v>186.52889385422782</v>
      </c>
      <c r="L303" s="12">
        <f ca="1"/>
        <v>7.2516298690516123E-2</v>
      </c>
      <c r="M303" s="12">
        <f t="array" aca="1" ref="M303:N303" ca="1">Opt3Spd(H303:J303,$E$3:$G$3,$K$3:$M$3,$N$3:$P$3,$H$4,$I$3,$Q$3,$J$3)</f>
        <v>4.8859205430469288E-2</v>
      </c>
      <c r="N303" s="12">
        <f ca="1"/>
        <v>213.59248164989316</v>
      </c>
      <c r="O303" s="12">
        <f t="shared" ca="1" si="46"/>
        <v>0.12137550412098541</v>
      </c>
    </row>
    <row r="304" spans="2:15" x14ac:dyDescent="0.15">
      <c r="B304" s="6">
        <f t="shared" ca="1" si="39"/>
        <v>-0.61599529760298477</v>
      </c>
      <c r="C304" s="6">
        <f t="shared" ca="1" si="39"/>
        <v>-1.2061604673312303</v>
      </c>
      <c r="D304" s="6">
        <f t="shared" ca="1" si="39"/>
        <v>-0.37331373934875967</v>
      </c>
      <c r="E304" s="8">
        <f t="shared" ca="1" si="40"/>
        <v>-1.4025226812326578E-2</v>
      </c>
      <c r="F304" s="8">
        <f t="shared" ca="1" si="41"/>
        <v>-5.0577248448879758E-2</v>
      </c>
      <c r="G304" s="8">
        <f t="shared" ca="1" si="42"/>
        <v>-3.0109045783869023E-2</v>
      </c>
      <c r="H304" s="10">
        <f t="shared" ca="1" si="43"/>
        <v>3959.6746891216967</v>
      </c>
      <c r="I304" s="10">
        <f t="shared" ca="1" si="44"/>
        <v>516.48597684380934</v>
      </c>
      <c r="J304" s="10">
        <f t="shared" ca="1" si="45"/>
        <v>2168.6761736272688</v>
      </c>
      <c r="K304" s="12">
        <f t="array" aca="1" ref="K304:L304" ca="1">Opt3Spd(H304:J304,$E$3:$G$3,$K$3:$M$3,$N$3:$P$3,$H$3,$I$3,$Q$3,$J$3)</f>
        <v>223.96772809163917</v>
      </c>
      <c r="L304" s="12">
        <f ca="1"/>
        <v>8.6887336717609287E-3</v>
      </c>
      <c r="M304" s="12">
        <f t="array" aca="1" ref="M304:N304" ca="1">Opt3Spd(H304:J304,$E$3:$G$3,$K$3:$M$3,$N$3:$P$3,$H$4,$I$3,$Q$3,$J$3)</f>
        <v>0.21864567329391704</v>
      </c>
      <c r="N304" s="12">
        <f ca="1"/>
        <v>176.25960631532649</v>
      </c>
      <c r="O304" s="12">
        <f t="shared" ca="1" si="46"/>
        <v>0.22733440696567797</v>
      </c>
    </row>
    <row r="305" spans="2:15" x14ac:dyDescent="0.15">
      <c r="B305" s="6">
        <f t="shared" ca="1" si="39"/>
        <v>0.8401504067732094</v>
      </c>
      <c r="C305" s="6">
        <f t="shared" ca="1" si="39"/>
        <v>1.241089313920664</v>
      </c>
      <c r="D305" s="6">
        <f t="shared" ca="1" si="39"/>
        <v>-0.9818932961407687</v>
      </c>
      <c r="E305" s="8">
        <f t="shared" ca="1" si="40"/>
        <v>1.9128879810146139E-2</v>
      </c>
      <c r="F305" s="8">
        <f t="shared" ca="1" si="41"/>
        <v>5.9694911480511315E-2</v>
      </c>
      <c r="G305" s="8">
        <f t="shared" ca="1" si="42"/>
        <v>2.4008443152848197E-2</v>
      </c>
      <c r="H305" s="10">
        <f t="shared" ca="1" si="43"/>
        <v>4092.8215813175466</v>
      </c>
      <c r="I305" s="10">
        <f t="shared" ca="1" si="44"/>
        <v>576.47403184539826</v>
      </c>
      <c r="J305" s="10">
        <f t="shared" ca="1" si="45"/>
        <v>2289.6828788897687</v>
      </c>
      <c r="K305" s="12">
        <f t="array" aca="1" ref="K305:L305" ca="1">Opt3Spd(H305:J305,$E$3:$G$3,$K$3:$M$3,$N$3:$P$3,$H$3,$I$3,$Q$3,$J$3)</f>
        <v>200.65650164332828</v>
      </c>
      <c r="L305" s="12">
        <f ca="1"/>
        <v>3.4810723303280611E-2</v>
      </c>
      <c r="M305" s="12">
        <f t="array" aca="1" ref="M305:N305" ca="1">Opt3Spd(H305:J305,$E$3:$G$3,$K$3:$M$3,$N$3:$P$3,$H$4,$I$3,$Q$3,$J$3)</f>
        <v>8.8603793715707369E-2</v>
      </c>
      <c r="N305" s="12">
        <f ca="1"/>
        <v>199.46691287369072</v>
      </c>
      <c r="O305" s="12">
        <f t="shared" ca="1" si="46"/>
        <v>0.12341451701898798</v>
      </c>
    </row>
    <row r="306" spans="2:15" x14ac:dyDescent="0.15">
      <c r="B306" s="6">
        <f t="shared" ca="1" si="39"/>
        <v>-1.2083454248909331</v>
      </c>
      <c r="C306" s="6">
        <f t="shared" ca="1" si="39"/>
        <v>1.1372382240346606</v>
      </c>
      <c r="D306" s="6">
        <f t="shared" ca="1" si="39"/>
        <v>0.39215159441477887</v>
      </c>
      <c r="E306" s="8">
        <f t="shared" ca="1" si="40"/>
        <v>-2.7512090948874714E-2</v>
      </c>
      <c r="F306" s="8">
        <f t="shared" ca="1" si="41"/>
        <v>-1.8678383862183283E-2</v>
      </c>
      <c r="G306" s="8">
        <f t="shared" ca="1" si="42"/>
        <v>-3.6913664155629036E-2</v>
      </c>
      <c r="H306" s="10">
        <f t="shared" ca="1" si="43"/>
        <v>3905.511442749319</v>
      </c>
      <c r="I306" s="10">
        <f t="shared" ca="1" si="44"/>
        <v>533.83895917897235</v>
      </c>
      <c r="J306" s="10">
        <f t="shared" ca="1" si="45"/>
        <v>2153.4610469480135</v>
      </c>
      <c r="K306" s="12">
        <f t="array" aca="1" ref="K306:L306" ca="1">Opt3Spd(H306:J306,$E$3:$G$3,$K$3:$M$3,$N$3:$P$3,$H$3,$I$3,$Q$3,$J$3)</f>
        <v>149.93805141542498</v>
      </c>
      <c r="L306" s="12">
        <f ca="1"/>
        <v>0.29946682646846057</v>
      </c>
      <c r="M306" s="12">
        <f t="array" aca="1" ref="M306:N306" ca="1">Opt3Spd(H306:J306,$E$3:$G$3,$K$3:$M$3,$N$3:$P$3,$H$4,$I$3,$Q$3,$J$3)</f>
        <v>5.6982798080987829E-3</v>
      </c>
      <c r="N306" s="12">
        <f ca="1"/>
        <v>250.36711369085157</v>
      </c>
      <c r="O306" s="12">
        <f t="shared" ca="1" si="46"/>
        <v>0.30516510627655935</v>
      </c>
    </row>
    <row r="307" spans="2:15" x14ac:dyDescent="0.15">
      <c r="B307" s="6">
        <f t="shared" ca="1" si="39"/>
        <v>1.1252415854227795</v>
      </c>
      <c r="C307" s="6">
        <f t="shared" ca="1" si="39"/>
        <v>0.40469749760124468</v>
      </c>
      <c r="D307" s="6">
        <f t="shared" ca="1" si="39"/>
        <v>5.6164289860692121E-2</v>
      </c>
      <c r="E307" s="8">
        <f t="shared" ca="1" si="40"/>
        <v>2.5619949560699313E-2</v>
      </c>
      <c r="F307" s="8">
        <f t="shared" ca="1" si="41"/>
        <v>5.104255508549143E-2</v>
      </c>
      <c r="G307" s="8">
        <f t="shared" ca="1" si="42"/>
        <v>4.3112692249301844E-2</v>
      </c>
      <c r="H307" s="10">
        <f t="shared" ca="1" si="43"/>
        <v>4118.889717435768</v>
      </c>
      <c r="I307" s="10">
        <f t="shared" ca="1" si="44"/>
        <v>571.7671499665073</v>
      </c>
      <c r="J307" s="10">
        <f t="shared" ca="1" si="45"/>
        <v>2332.399979869439</v>
      </c>
      <c r="K307" s="12">
        <f t="array" aca="1" ref="K307:L307" ca="1">Opt3Spd(H307:J307,$E$3:$G$3,$K$3:$M$3,$N$3:$P$3,$H$3,$I$3,$Q$3,$J$3)</f>
        <v>212.88207347623506</v>
      </c>
      <c r="L307" s="12">
        <f ca="1"/>
        <v>1.9785921598213463E-2</v>
      </c>
      <c r="M307" s="12">
        <f t="array" aca="1" ref="M307:N307" ca="1">Opt3Spd(H307:J307,$E$3:$G$3,$K$3:$M$3,$N$3:$P$3,$H$4,$I$3,$Q$3,$J$3)</f>
        <v>0.15622821063180581</v>
      </c>
      <c r="N307" s="12">
        <f ca="1"/>
        <v>187.29394065599496</v>
      </c>
      <c r="O307" s="12">
        <f t="shared" ca="1" si="46"/>
        <v>0.17601413223001927</v>
      </c>
    </row>
    <row r="308" spans="2:15" x14ac:dyDescent="0.15">
      <c r="B308" s="6">
        <f t="shared" ca="1" si="39"/>
        <v>0.96911967046186898</v>
      </c>
      <c r="C308" s="6">
        <f t="shared" ca="1" si="39"/>
        <v>0.59924814944666993</v>
      </c>
      <c r="D308" s="6">
        <f t="shared" ca="1" si="39"/>
        <v>-0.86885521103444863</v>
      </c>
      <c r="E308" s="8">
        <f t="shared" ca="1" si="40"/>
        <v>2.206530348430543E-2</v>
      </c>
      <c r="F308" s="8">
        <f t="shared" ca="1" si="41"/>
        <v>4.9723871286368654E-2</v>
      </c>
      <c r="G308" s="8">
        <f t="shared" ca="1" si="42"/>
        <v>2.8087518818140846E-2</v>
      </c>
      <c r="H308" s="10">
        <f t="shared" ca="1" si="43"/>
        <v>4104.6142587929708</v>
      </c>
      <c r="I308" s="10">
        <f t="shared" ca="1" si="44"/>
        <v>571.04978597978447</v>
      </c>
      <c r="J308" s="10">
        <f t="shared" ca="1" si="45"/>
        <v>2298.8036920773629</v>
      </c>
      <c r="K308" s="12">
        <f t="array" aca="1" ref="K308:L308" ca="1">Opt3Spd(H308:J308,$E$3:$G$3,$K$3:$M$3,$N$3:$P$3,$H$3,$I$3,$Q$3,$J$3)</f>
        <v>216.54852919753898</v>
      </c>
      <c r="L308" s="12">
        <f ca="1"/>
        <v>1.577401090503372E-2</v>
      </c>
      <c r="M308" s="12">
        <f t="array" aca="1" ref="M308:N308" ca="1">Opt3Spd(H308:J308,$E$3:$G$3,$K$3:$M$3,$N$3:$P$3,$H$4,$I$3,$Q$3,$J$3)</f>
        <v>0.17795945135566882</v>
      </c>
      <c r="N308" s="12">
        <f ca="1"/>
        <v>183.64520426472171</v>
      </c>
      <c r="O308" s="12">
        <f t="shared" ca="1" si="46"/>
        <v>0.19373346226070254</v>
      </c>
    </row>
    <row r="309" spans="2:15" x14ac:dyDescent="0.15">
      <c r="B309" s="6">
        <f t="shared" ca="1" si="39"/>
        <v>-0.1236061958074092</v>
      </c>
      <c r="C309" s="6">
        <f t="shared" ca="1" si="39"/>
        <v>-0.63268338849725214</v>
      </c>
      <c r="D309" s="6">
        <f t="shared" ca="1" si="39"/>
        <v>1.87694943453628</v>
      </c>
      <c r="E309" s="8">
        <f t="shared" ca="1" si="40"/>
        <v>-2.8143152039532132E-3</v>
      </c>
      <c r="F309" s="8">
        <f t="shared" ca="1" si="41"/>
        <v>-1.9129428776368067E-2</v>
      </c>
      <c r="G309" s="8">
        <f t="shared" ca="1" si="42"/>
        <v>1.3617492305759718E-2</v>
      </c>
      <c r="H309" s="10">
        <f t="shared" ca="1" si="43"/>
        <v>4004.6977101409238</v>
      </c>
      <c r="I309" s="10">
        <f t="shared" ca="1" si="44"/>
        <v>533.59359074565577</v>
      </c>
      <c r="J309" s="10">
        <f t="shared" ca="1" si="45"/>
        <v>2266.4487127956786</v>
      </c>
      <c r="K309" s="12">
        <f t="array" aca="1" ref="K309:L309" ca="1">Opt3Spd(H309:J309,$E$3:$G$3,$K$3:$M$3,$N$3:$P$3,$H$3,$I$3,$Q$3,$J$3)</f>
        <v>192.77151951266933</v>
      </c>
      <c r="L309" s="12">
        <f ca="1"/>
        <v>4.7910962634205134E-2</v>
      </c>
      <c r="M309" s="12">
        <f t="array" aca="1" ref="M309:N309" ca="1">Opt3Spd(H309:J309,$E$3:$G$3,$K$3:$M$3,$N$3:$P$3,$H$4,$I$3,$Q$3,$J$3)</f>
        <v>5.9288067106574083E-2</v>
      </c>
      <c r="N309" s="12">
        <f ca="1"/>
        <v>207.33567951707144</v>
      </c>
      <c r="O309" s="12">
        <f t="shared" ca="1" si="46"/>
        <v>0.10719902974077922</v>
      </c>
    </row>
    <row r="310" spans="2:15" x14ac:dyDescent="0.15">
      <c r="B310" s="6">
        <f t="shared" ca="1" si="39"/>
        <v>-0.75852220696746897</v>
      </c>
      <c r="C310" s="6">
        <f t="shared" ca="1" si="39"/>
        <v>-0.23761268572845312</v>
      </c>
      <c r="D310" s="6">
        <f t="shared" ca="1" si="39"/>
        <v>0.63850891474924754</v>
      </c>
      <c r="E310" s="8">
        <f t="shared" ca="1" si="40"/>
        <v>-1.7270336374810871E-2</v>
      </c>
      <c r="F310" s="8">
        <f t="shared" ca="1" si="41"/>
        <v>-3.3598614886353004E-2</v>
      </c>
      <c r="G310" s="8">
        <f t="shared" ca="1" si="42"/>
        <v>-2.17545848821055E-2</v>
      </c>
      <c r="H310" s="10">
        <f t="shared" ca="1" si="43"/>
        <v>3946.6423291187593</v>
      </c>
      <c r="I310" s="10">
        <f t="shared" ca="1" si="44"/>
        <v>525.72235350182405</v>
      </c>
      <c r="J310" s="10">
        <f t="shared" ca="1" si="45"/>
        <v>2187.3567482036124</v>
      </c>
      <c r="K310" s="12">
        <f t="array" aca="1" ref="K310:L310" ca="1">Opt3Spd(H310:J310,$E$3:$G$3,$K$3:$M$3,$N$3:$P$3,$H$3,$I$3,$Q$3,$J$3)</f>
        <v>186.86670544699928</v>
      </c>
      <c r="L310" s="12">
        <f ca="1"/>
        <v>5.8516032964689657E-2</v>
      </c>
      <c r="M310" s="12">
        <f t="array" aca="1" ref="M310:N310" ca="1">Opt3Spd(H310:J310,$E$3:$G$3,$K$3:$M$3,$N$3:$P$3,$H$4,$I$3,$Q$3,$J$3)</f>
        <v>4.1475736194573898E-2</v>
      </c>
      <c r="N310" s="12">
        <f ca="1"/>
        <v>213.23328632215998</v>
      </c>
      <c r="O310" s="12">
        <f t="shared" ca="1" si="46"/>
        <v>9.9991769159263555E-2</v>
      </c>
    </row>
    <row r="311" spans="2:15" x14ac:dyDescent="0.15">
      <c r="B311" s="6">
        <f t="shared" ca="1" si="39"/>
        <v>0.7141323112511021</v>
      </c>
      <c r="C311" s="6">
        <f t="shared" ca="1" si="39"/>
        <v>-2.5452716150941819</v>
      </c>
      <c r="D311" s="6">
        <f t="shared" ca="1" si="39"/>
        <v>-0.92520819477535465</v>
      </c>
      <c r="E311" s="8">
        <f t="shared" ca="1" si="40"/>
        <v>1.6259649510771159E-2</v>
      </c>
      <c r="F311" s="8">
        <f t="shared" ca="1" si="41"/>
        <v>-3.2022290207644258E-2</v>
      </c>
      <c r="G311" s="8">
        <f t="shared" ca="1" si="42"/>
        <v>8.9909171598925135E-3</v>
      </c>
      <c r="H311" s="10">
        <f t="shared" ca="1" si="43"/>
        <v>4081.298752435257</v>
      </c>
      <c r="I311" s="10">
        <f t="shared" ca="1" si="44"/>
        <v>526.57987412704153</v>
      </c>
      <c r="J311" s="10">
        <f t="shared" ca="1" si="45"/>
        <v>2256.1036907695197</v>
      </c>
      <c r="K311" s="12">
        <f t="array" aca="1" ref="K311:L311" ca="1">Opt3Spd(H311:J311,$E$3:$G$3,$K$3:$M$3,$N$3:$P$3,$H$3,$I$3,$Q$3,$J$3)</f>
        <v>285.71937970474073</v>
      </c>
      <c r="L311" s="12">
        <f ca="1"/>
        <v>2.7125751012135879E-4</v>
      </c>
      <c r="M311" s="12">
        <f t="array" aca="1" ref="M311:N311" ca="1">Opt3Spd(H311:J311,$E$3:$G$3,$K$3:$M$3,$N$3:$P$3,$H$4,$I$3,$Q$3,$J$3)</f>
        <v>2.1524287600245202</v>
      </c>
      <c r="N311" s="12">
        <f ca="1"/>
        <v>116.43332031279391</v>
      </c>
      <c r="O311" s="12">
        <f t="shared" ca="1" si="46"/>
        <v>2.1527000175346416</v>
      </c>
    </row>
    <row r="312" spans="2:15" x14ac:dyDescent="0.15">
      <c r="B312" s="6">
        <f t="shared" ca="1" si="39"/>
        <v>-0.44606080855298547</v>
      </c>
      <c r="C312" s="6">
        <f t="shared" ca="1" si="39"/>
        <v>0.82650667217910112</v>
      </c>
      <c r="D312" s="6">
        <f t="shared" ca="1" si="39"/>
        <v>1.3564579521198483</v>
      </c>
      <c r="E312" s="8">
        <f t="shared" ca="1" si="40"/>
        <v>-1.0156090535739003E-2</v>
      </c>
      <c r="F312" s="8">
        <f t="shared" ca="1" si="41"/>
        <v>2.4541820915189505E-3</v>
      </c>
      <c r="G312" s="8">
        <f t="shared" ca="1" si="42"/>
        <v>4.6219642208924176E-4</v>
      </c>
      <c r="H312" s="10">
        <f t="shared" ca="1" si="43"/>
        <v>3975.2131404084726</v>
      </c>
      <c r="I312" s="10">
        <f t="shared" ca="1" si="44"/>
        <v>545.3350750577863</v>
      </c>
      <c r="J312" s="10">
        <f t="shared" ca="1" si="45"/>
        <v>2237.0334711997916</v>
      </c>
      <c r="K312" s="12">
        <f t="array" aca="1" ref="K312:L312" ca="1">Opt3Spd(H312:J312,$E$3:$G$3,$K$3:$M$3,$N$3:$P$3,$H$3,$I$3,$Q$3,$J$3)</f>
        <v>159.37493565084242</v>
      </c>
      <c r="L312" s="12">
        <f ca="1"/>
        <v>0.21465093472374974</v>
      </c>
      <c r="M312" s="12">
        <f t="array" aca="1" ref="M312:N312" ca="1">Opt3Spd(H312:J312,$E$3:$G$3,$K$3:$M$3,$N$3:$P$3,$H$4,$I$3,$Q$3,$J$3)</f>
        <v>1.0726212037822869E-2</v>
      </c>
      <c r="N312" s="12">
        <f ca="1"/>
        <v>240.85044149591914</v>
      </c>
      <c r="O312" s="12">
        <f t="shared" ca="1" si="46"/>
        <v>0.22537714676157261</v>
      </c>
    </row>
    <row r="313" spans="2:15" x14ac:dyDescent="0.15">
      <c r="B313" s="6">
        <f t="shared" ca="1" si="39"/>
        <v>1.4410424013816288</v>
      </c>
      <c r="C313" s="6">
        <f t="shared" ca="1" si="39"/>
        <v>1.838765855075333</v>
      </c>
      <c r="D313" s="6">
        <f t="shared" ca="1" si="39"/>
        <v>1.4103063444687829</v>
      </c>
      <c r="E313" s="8">
        <f t="shared" ca="1" si="40"/>
        <v>3.2810228591360541E-2</v>
      </c>
      <c r="F313" s="8">
        <f t="shared" ca="1" si="41"/>
        <v>9.5723794317060823E-2</v>
      </c>
      <c r="G313" s="8">
        <f t="shared" ca="1" si="42"/>
        <v>7.3303508307877893E-2</v>
      </c>
      <c r="H313" s="10">
        <f t="shared" ca="1" si="43"/>
        <v>4147.765878022904</v>
      </c>
      <c r="I313" s="10">
        <f t="shared" ca="1" si="44"/>
        <v>596.07374410848104</v>
      </c>
      <c r="J313" s="10">
        <f t="shared" ca="1" si="45"/>
        <v>2399.9066445764151</v>
      </c>
      <c r="K313" s="12">
        <f t="array" aca="1" ref="K313:L313" ca="1">Opt3Spd(H313:J313,$E$3:$G$3,$K$3:$M$3,$N$3:$P$3,$H$3,$I$3,$Q$3,$J$3)</f>
        <v>169.26132047681631</v>
      </c>
      <c r="L313" s="12">
        <f ca="1"/>
        <v>0.16675531568967017</v>
      </c>
      <c r="M313" s="12">
        <f t="array" aca="1" ref="M313:N313" ca="1">Opt3Spd(H313:J313,$E$3:$G$3,$K$3:$M$3,$N$3:$P$3,$H$4,$I$3,$Q$3,$J$3)</f>
        <v>2.2388150100184578E-2</v>
      </c>
      <c r="N313" s="12">
        <f ca="1"/>
        <v>230.92782298897356</v>
      </c>
      <c r="O313" s="12">
        <f t="shared" ca="1" si="46"/>
        <v>0.18914346578985475</v>
      </c>
    </row>
    <row r="314" spans="2:15" x14ac:dyDescent="0.15">
      <c r="B314" s="6">
        <f t="shared" ca="1" si="39"/>
        <v>-0.10320850411645612</v>
      </c>
      <c r="C314" s="6">
        <f t="shared" ca="1" si="39"/>
        <v>0.45840429183283171</v>
      </c>
      <c r="D314" s="6">
        <f t="shared" ca="1" si="39"/>
        <v>-1.4626740575795867</v>
      </c>
      <c r="E314" s="8">
        <f t="shared" ca="1" si="40"/>
        <v>-2.349892417729431E-3</v>
      </c>
      <c r="F314" s="8">
        <f t="shared" ca="1" si="41"/>
        <v>6.7096593470098156E-3</v>
      </c>
      <c r="G314" s="8">
        <f t="shared" ca="1" si="42"/>
        <v>-1.8042924557472723E-2</v>
      </c>
      <c r="H314" s="10">
        <f t="shared" ca="1" si="43"/>
        <v>4006.5628320503988</v>
      </c>
      <c r="I314" s="10">
        <f t="shared" ca="1" si="44"/>
        <v>547.65005468477329</v>
      </c>
      <c r="J314" s="10">
        <f t="shared" ca="1" si="45"/>
        <v>2195.656020689491</v>
      </c>
      <c r="K314" s="12">
        <f t="array" aca="1" ref="K314:L314" ca="1">Opt3Spd(H314:J314,$E$3:$G$3,$K$3:$M$3,$N$3:$P$3,$H$3,$I$3,$Q$3,$J$3)</f>
        <v>207.51641602990298</v>
      </c>
      <c r="L314" s="12">
        <f ca="1"/>
        <v>2.1681819887135134E-2</v>
      </c>
      <c r="M314" s="12">
        <f t="array" aca="1" ref="M314:N314" ca="1">Opt3Spd(H314:J314,$E$3:$G$3,$K$3:$M$3,$N$3:$P$3,$H$4,$I$3,$Q$3,$J$3)</f>
        <v>0.11018983701583629</v>
      </c>
      <c r="N314" s="12">
        <f ca="1"/>
        <v>192.61545562699999</v>
      </c>
      <c r="O314" s="12">
        <f t="shared" ca="1" si="46"/>
        <v>0.13187165690297142</v>
      </c>
    </row>
    <row r="315" spans="2:15" x14ac:dyDescent="0.15">
      <c r="B315" s="6">
        <f t="shared" ca="1" si="39"/>
        <v>-0.98440582640407959</v>
      </c>
      <c r="C315" s="6">
        <f t="shared" ca="1" si="39"/>
        <v>1.1786683007116856</v>
      </c>
      <c r="D315" s="6">
        <f t="shared" ca="1" si="39"/>
        <v>-0.6280778894865563</v>
      </c>
      <c r="E315" s="8">
        <f t="shared" ca="1" si="40"/>
        <v>-2.2413344784315933E-2</v>
      </c>
      <c r="F315" s="8">
        <f t="shared" ca="1" si="41"/>
        <v>-9.4192613705708743E-3</v>
      </c>
      <c r="G315" s="8">
        <f t="shared" ca="1" si="42"/>
        <v>-3.9434777344709723E-2</v>
      </c>
      <c r="H315" s="10">
        <f t="shared" ca="1" si="43"/>
        <v>3925.9880073461873</v>
      </c>
      <c r="I315" s="10">
        <f t="shared" ca="1" si="44"/>
        <v>538.87592181440937</v>
      </c>
      <c r="J315" s="10">
        <f t="shared" ca="1" si="45"/>
        <v>2147.8238378572291</v>
      </c>
      <c r="K315" s="12">
        <f t="array" aca="1" ref="K315:L315" ca="1">Opt3Spd(H315:J315,$E$3:$G$3,$K$3:$M$3,$N$3:$P$3,$H$3,$I$3,$Q$3,$J$3)</f>
        <v>165.03018617275075</v>
      </c>
      <c r="L315" s="12">
        <f ca="1"/>
        <v>0.15557265823304078</v>
      </c>
      <c r="M315" s="12">
        <f t="array" aca="1" ref="M315:N315" ca="1">Opt3Spd(H315:J315,$E$3:$G$3,$K$3:$M$3,$N$3:$P$3,$H$4,$I$3,$Q$3,$J$3)</f>
        <v>1.3087277602400471E-2</v>
      </c>
      <c r="N315" s="12">
        <f ca="1"/>
        <v>235.1384737630847</v>
      </c>
      <c r="O315" s="12">
        <f t="shared" ca="1" si="46"/>
        <v>0.16865993583544125</v>
      </c>
    </row>
    <row r="316" spans="2:15" x14ac:dyDescent="0.15">
      <c r="B316" s="6">
        <f t="shared" ca="1" si="39"/>
        <v>2.054482326974989</v>
      </c>
      <c r="C316" s="6">
        <f t="shared" ca="1" si="39"/>
        <v>-1.0508931568228861</v>
      </c>
      <c r="D316" s="6">
        <f t="shared" ca="1" si="39"/>
        <v>0.32106717695964621</v>
      </c>
      <c r="E316" s="8">
        <f t="shared" ca="1" si="40"/>
        <v>4.6777273673787034E-2</v>
      </c>
      <c r="F316" s="8">
        <f t="shared" ca="1" si="41"/>
        <v>5.2049520714084571E-2</v>
      </c>
      <c r="G316" s="8">
        <f t="shared" ca="1" si="42"/>
        <v>7.5847973505912464E-2</v>
      </c>
      <c r="H316" s="10">
        <f t="shared" ca="1" si="43"/>
        <v>4203.8575310739288</v>
      </c>
      <c r="I316" s="10">
        <f t="shared" ca="1" si="44"/>
        <v>572.31493926846201</v>
      </c>
      <c r="J316" s="10">
        <f t="shared" ca="1" si="45"/>
        <v>2405.5960687592205</v>
      </c>
      <c r="K316" s="12">
        <f t="array" aca="1" ref="K316:L316" ca="1">Opt3Spd(H316:J316,$E$3:$G$3,$K$3:$M$3,$N$3:$P$3,$H$3,$I$3,$Q$3,$J$3)</f>
        <v>260.35728829329787</v>
      </c>
      <c r="L316" s="12">
        <f ca="1"/>
        <v>1.6944285187037167E-3</v>
      </c>
      <c r="M316" s="12">
        <f t="array" aca="1" ref="M316:N316" ca="1">Opt3Spd(H316:J316,$E$3:$G$3,$K$3:$M$3,$N$3:$P$3,$H$4,$I$3,$Q$3,$J$3)</f>
        <v>1.0077006601399745</v>
      </c>
      <c r="N316" s="12">
        <f ca="1"/>
        <v>140.65210679536079</v>
      </c>
      <c r="O316" s="12">
        <f t="shared" ca="1" si="46"/>
        <v>1.0093950886586782</v>
      </c>
    </row>
    <row r="317" spans="2:15" x14ac:dyDescent="0.15">
      <c r="B317" s="6">
        <f t="shared" ca="1" si="39"/>
        <v>-0.35289278150552122</v>
      </c>
      <c r="C317" s="6">
        <f t="shared" ca="1" si="39"/>
        <v>-1.182738639113688</v>
      </c>
      <c r="D317" s="6">
        <f t="shared" ca="1" si="39"/>
        <v>0.48524167744288987</v>
      </c>
      <c r="E317" s="8">
        <f t="shared" ca="1" si="40"/>
        <v>-8.0348037076050545E-3</v>
      </c>
      <c r="F317" s="8">
        <f t="shared" ca="1" si="41"/>
        <v>-4.027941817683009E-2</v>
      </c>
      <c r="G317" s="8">
        <f t="shared" ca="1" si="42"/>
        <v>-1.1228856777995726E-2</v>
      </c>
      <c r="H317" s="10">
        <f t="shared" ca="1" si="43"/>
        <v>3983.7322283102585</v>
      </c>
      <c r="I317" s="10">
        <f t="shared" ca="1" si="44"/>
        <v>522.08799651180436</v>
      </c>
      <c r="J317" s="10">
        <f t="shared" ca="1" si="45"/>
        <v>2210.8922762444017</v>
      </c>
      <c r="K317" s="12">
        <f t="array" aca="1" ref="K317:L317" ca="1">Opt3Spd(H317:J317,$E$3:$G$3,$K$3:$M$3,$N$3:$P$3,$H$3,$I$3,$Q$3,$J$3)</f>
        <v>217.95793089517906</v>
      </c>
      <c r="L317" s="12">
        <f ca="1"/>
        <v>1.2635126008490261E-2</v>
      </c>
      <c r="M317" s="12">
        <f t="array" aca="1" ref="M317:N317" ca="1">Opt3Spd(H317:J317,$E$3:$G$3,$K$3:$M$3,$N$3:$P$3,$H$4,$I$3,$Q$3,$J$3)</f>
        <v>0.17482161492337056</v>
      </c>
      <c r="N317" s="12">
        <f ca="1"/>
        <v>182.22952584575279</v>
      </c>
      <c r="O317" s="12">
        <f t="shared" ca="1" si="46"/>
        <v>0.18745674093186082</v>
      </c>
    </row>
    <row r="318" spans="2:15" x14ac:dyDescent="0.15">
      <c r="B318" s="6">
        <f t="shared" ca="1" si="39"/>
        <v>-0.61876527727383457</v>
      </c>
      <c r="C318" s="6">
        <f t="shared" ca="1" si="39"/>
        <v>-0.27130383752733678</v>
      </c>
      <c r="D318" s="6">
        <f t="shared" ca="1" si="39"/>
        <v>-0.17732754094566339</v>
      </c>
      <c r="E318" s="8">
        <f t="shared" ca="1" si="40"/>
        <v>-1.4088294815118769E-2</v>
      </c>
      <c r="F318" s="8">
        <f t="shared" ca="1" si="41"/>
        <v>-2.9189047791572734E-2</v>
      </c>
      <c r="G318" s="8">
        <f t="shared" ca="1" si="42"/>
        <v>-2.5409097119032005E-2</v>
      </c>
      <c r="H318" s="10">
        <f t="shared" ca="1" si="43"/>
        <v>3959.4214080224833</v>
      </c>
      <c r="I318" s="10">
        <f t="shared" ca="1" si="44"/>
        <v>528.1211580013844</v>
      </c>
      <c r="J318" s="10">
        <f t="shared" ca="1" si="45"/>
        <v>2179.1852588418442</v>
      </c>
      <c r="K318" s="12">
        <f t="array" aca="1" ref="K318:L318" ca="1">Opt3Spd(H318:J318,$E$3:$G$3,$K$3:$M$3,$N$3:$P$3,$H$3,$I$3,$Q$3,$J$3)</f>
        <v>199.8657764743084</v>
      </c>
      <c r="L318" s="12">
        <f ca="1"/>
        <v>3.085067496249394E-2</v>
      </c>
      <c r="M318" s="12">
        <f t="array" aca="1" ref="M318:N318" ca="1">Opt3Spd(H318:J318,$E$3:$G$3,$K$3:$M$3,$N$3:$P$3,$H$4,$I$3,$Q$3,$J$3)</f>
        <v>7.6389474237725352E-2</v>
      </c>
      <c r="N318" s="12">
        <f ca="1"/>
        <v>200.2414636748918</v>
      </c>
      <c r="O318" s="12">
        <f t="shared" ca="1" si="46"/>
        <v>0.10724014920021929</v>
      </c>
    </row>
    <row r="319" spans="2:15" x14ac:dyDescent="0.15">
      <c r="B319" s="6">
        <f t="shared" ca="1" si="39"/>
        <v>-0.15110729244108259</v>
      </c>
      <c r="C319" s="6">
        <f t="shared" ca="1" si="39"/>
        <v>-0.56196287725333505</v>
      </c>
      <c r="D319" s="6">
        <f t="shared" ca="1" si="39"/>
        <v>2.5098180996220618</v>
      </c>
      <c r="E319" s="8">
        <f t="shared" ca="1" si="40"/>
        <v>-3.4404711492597531E-3</v>
      </c>
      <c r="F319" s="8">
        <f t="shared" ca="1" si="41"/>
        <v>-1.8523782901289046E-2</v>
      </c>
      <c r="G319" s="8">
        <f t="shared" ca="1" si="42"/>
        <v>1.9554430626745237E-2</v>
      </c>
      <c r="H319" s="10">
        <f t="shared" ca="1" si="43"/>
        <v>4002.1830678645729</v>
      </c>
      <c r="I319" s="10">
        <f t="shared" ca="1" si="44"/>
        <v>533.92306210169875</v>
      </c>
      <c r="J319" s="10">
        <f t="shared" ca="1" si="45"/>
        <v>2279.7237068814024</v>
      </c>
      <c r="K319" s="12">
        <f t="array" aca="1" ref="K319:L319" ca="1">Opt3Spd(H319:J319,$E$3:$G$3,$K$3:$M$3,$N$3:$P$3,$H$3,$I$3,$Q$3,$J$3)</f>
        <v>183.12082957707912</v>
      </c>
      <c r="L319" s="12">
        <f ca="1"/>
        <v>7.6514515925282467E-2</v>
      </c>
      <c r="M319" s="12">
        <f t="array" aca="1" ref="M319:N319" ca="1">Opt3Spd(H319:J319,$E$3:$G$3,$K$3:$M$3,$N$3:$P$3,$H$4,$I$3,$Q$3,$J$3)</f>
        <v>3.7818578620620436E-2</v>
      </c>
      <c r="N319" s="12">
        <f ca="1"/>
        <v>216.99350351746679</v>
      </c>
      <c r="O319" s="12">
        <f t="shared" ca="1" si="46"/>
        <v>0.1143330945459029</v>
      </c>
    </row>
    <row r="320" spans="2:15" x14ac:dyDescent="0.15">
      <c r="B320" s="6">
        <f t="shared" ref="B320:D383" ca="1" si="47">NORMINV(RAND(),0,1)</f>
        <v>-1.9343283006506813</v>
      </c>
      <c r="C320" s="6">
        <f t="shared" ca="1" si="47"/>
        <v>-0.13828395075037433</v>
      </c>
      <c r="D320" s="6">
        <f t="shared" ca="1" si="47"/>
        <v>-1.5187603754911279</v>
      </c>
      <c r="E320" s="8">
        <f t="shared" ca="1" si="40"/>
        <v>-4.404155884256962E-2</v>
      </c>
      <c r="F320" s="8">
        <f t="shared" ca="1" si="41"/>
        <v>-7.4929979818412734E-2</v>
      </c>
      <c r="G320" s="8">
        <f t="shared" ca="1" si="42"/>
        <v>-8.764494727560132E-2</v>
      </c>
      <c r="H320" s="10">
        <f t="shared" ca="1" si="43"/>
        <v>3839.1290996882403</v>
      </c>
      <c r="I320" s="10">
        <f t="shared" ca="1" si="44"/>
        <v>503.23809097878348</v>
      </c>
      <c r="J320" s="10">
        <f t="shared" ca="1" si="45"/>
        <v>2040.0258978917554</v>
      </c>
      <c r="K320" s="12">
        <f t="array" aca="1" ref="K320:L320" ca="1">Opt3Spd(H320:J320,$E$3:$G$3,$K$3:$M$3,$N$3:$P$3,$H$3,$I$3,$Q$3,$J$3)</f>
        <v>188.98052349699697</v>
      </c>
      <c r="L320" s="12">
        <f ca="1"/>
        <v>4.5318320688011227E-2</v>
      </c>
      <c r="M320" s="12">
        <f t="array" aca="1" ref="M320:N320" ca="1">Opt3Spd(H320:J320,$E$3:$G$3,$K$3:$M$3,$N$3:$P$3,$H$4,$I$3,$Q$3,$J$3)</f>
        <v>3.9933393489626212E-2</v>
      </c>
      <c r="N320" s="12">
        <f ca="1"/>
        <v>211.10472821718068</v>
      </c>
      <c r="O320" s="12">
        <f t="shared" ca="1" si="46"/>
        <v>8.5251714177637439E-2</v>
      </c>
    </row>
    <row r="321" spans="2:15" x14ac:dyDescent="0.15">
      <c r="B321" s="6">
        <f t="shared" ca="1" si="47"/>
        <v>-3.7395647051242036E-2</v>
      </c>
      <c r="C321" s="6">
        <f t="shared" ca="1" si="47"/>
        <v>9.8817243570071142E-2</v>
      </c>
      <c r="D321" s="6">
        <f t="shared" ca="1" si="47"/>
        <v>-0.73885821631968529</v>
      </c>
      <c r="E321" s="8">
        <f t="shared" ca="1" si="40"/>
        <v>-8.5143901865532626E-4</v>
      </c>
      <c r="F321" s="8">
        <f t="shared" ca="1" si="41"/>
        <v>8.845238516762314E-4</v>
      </c>
      <c r="G321" s="8">
        <f t="shared" ca="1" si="42"/>
        <v>-8.9580884330869026E-3</v>
      </c>
      <c r="H321" s="10">
        <f t="shared" ca="1" si="43"/>
        <v>4012.5806209010802</v>
      </c>
      <c r="I321" s="10">
        <f t="shared" ca="1" si="44"/>
        <v>544.48118097531187</v>
      </c>
      <c r="J321" s="10">
        <f t="shared" ca="1" si="45"/>
        <v>2215.9697142636178</v>
      </c>
      <c r="K321" s="12">
        <f t="array" aca="1" ref="K321:L321" ca="1">Opt3Spd(H321:J321,$E$3:$G$3,$K$3:$M$3,$N$3:$P$3,$H$3,$I$3,$Q$3,$J$3)</f>
        <v>208.44697792124657</v>
      </c>
      <c r="L321" s="12">
        <f ca="1"/>
        <v>2.1103712474314307E-2</v>
      </c>
      <c r="M321" s="12">
        <f t="array" aca="1" ref="M321:N321" ca="1">Opt3Spd(H321:J321,$E$3:$G$3,$K$3:$M$3,$N$3:$P$3,$H$4,$I$3,$Q$3,$J$3)</f>
        <v>0.1165890793371851</v>
      </c>
      <c r="N321" s="12">
        <f ca="1"/>
        <v>191.69071487056493</v>
      </c>
      <c r="O321" s="12">
        <f t="shared" ca="1" si="46"/>
        <v>0.1376927918114994</v>
      </c>
    </row>
    <row r="322" spans="2:15" x14ac:dyDescent="0.15">
      <c r="B322" s="6">
        <f t="shared" ca="1" si="47"/>
        <v>0.42277533658535577</v>
      </c>
      <c r="C322" s="6">
        <f t="shared" ca="1" si="47"/>
        <v>-3.4995207213547922E-3</v>
      </c>
      <c r="D322" s="6">
        <f t="shared" ca="1" si="47"/>
        <v>0.48312626959877664</v>
      </c>
      <c r="E322" s="8">
        <f t="shared" ca="1" si="40"/>
        <v>9.625917615509072E-3</v>
      </c>
      <c r="F322" s="8">
        <f t="shared" ca="1" si="41"/>
        <v>1.5601775393230153E-2</v>
      </c>
      <c r="G322" s="8">
        <f t="shared" ca="1" si="42"/>
        <v>2.0668689755455761E-2</v>
      </c>
      <c r="H322" s="10">
        <f t="shared" ca="1" si="43"/>
        <v>4054.6576851438845</v>
      </c>
      <c r="I322" s="10">
        <f t="shared" ca="1" si="44"/>
        <v>552.48736581391711</v>
      </c>
      <c r="J322" s="10">
        <f t="shared" ca="1" si="45"/>
        <v>2282.2151902931992</v>
      </c>
      <c r="K322" s="12">
        <f t="array" aca="1" ref="K322:L322" ca="1">Opt3Spd(H322:J322,$E$3:$G$3,$K$3:$M$3,$N$3:$P$3,$H$3,$I$3,$Q$3,$J$3)</f>
        <v>204.59805593652868</v>
      </c>
      <c r="L322" s="12">
        <f ca="1"/>
        <v>2.7751241511168701E-2</v>
      </c>
      <c r="M322" s="12">
        <f t="array" aca="1" ref="M322:N322" ca="1">Opt3Spd(H322:J322,$E$3:$G$3,$K$3:$M$3,$N$3:$P$3,$H$4,$I$3,$Q$3,$J$3)</f>
        <v>0.1038796846821981</v>
      </c>
      <c r="N322" s="12">
        <f ca="1"/>
        <v>195.53357498966469</v>
      </c>
      <c r="O322" s="12">
        <f t="shared" ca="1" si="46"/>
        <v>0.1316309261933668</v>
      </c>
    </row>
    <row r="323" spans="2:15" x14ac:dyDescent="0.15">
      <c r="B323" s="6">
        <f t="shared" ca="1" si="47"/>
        <v>0.68075504624741767</v>
      </c>
      <c r="C323" s="6">
        <f t="shared" ca="1" si="47"/>
        <v>-9.5419544248097635E-2</v>
      </c>
      <c r="D323" s="6">
        <f t="shared" ca="1" si="47"/>
        <v>-0.34689993667015673</v>
      </c>
      <c r="E323" s="8">
        <f t="shared" ca="1" si="40"/>
        <v>1.5499702618524727E-2</v>
      </c>
      <c r="F323" s="8">
        <f t="shared" ca="1" si="41"/>
        <v>2.3058046930867583E-2</v>
      </c>
      <c r="G323" s="8">
        <f t="shared" ca="1" si="42"/>
        <v>2.1037289294326994E-2</v>
      </c>
      <c r="H323" s="10">
        <f t="shared" ca="1" si="43"/>
        <v>4078.2468057159949</v>
      </c>
      <c r="I323" s="10">
        <f t="shared" ca="1" si="44"/>
        <v>556.54357753039199</v>
      </c>
      <c r="J323" s="10">
        <f t="shared" ca="1" si="45"/>
        <v>2283.039378862115</v>
      </c>
      <c r="K323" s="12">
        <f t="array" aca="1" ref="K323:L323" ca="1">Opt3Spd(H323:J323,$E$3:$G$3,$K$3:$M$3,$N$3:$P$3,$H$3,$I$3,$Q$3,$J$3)</f>
        <v>221.26931833680692</v>
      </c>
      <c r="L323" s="12">
        <f ca="1"/>
        <v>1.1926100496566505E-2</v>
      </c>
      <c r="M323" s="12">
        <f t="array" aca="1" ref="M323:N323" ca="1">Opt3Spd(H323:J323,$E$3:$G$3,$K$3:$M$3,$N$3:$P$3,$H$4,$I$3,$Q$3,$J$3)</f>
        <v>0.21318419185851312</v>
      </c>
      <c r="N323" s="12">
        <f ca="1"/>
        <v>178.95579195554816</v>
      </c>
      <c r="O323" s="12">
        <f t="shared" ca="1" si="46"/>
        <v>0.22511029235507962</v>
      </c>
    </row>
    <row r="324" spans="2:15" x14ac:dyDescent="0.15">
      <c r="B324" s="6">
        <f t="shared" ca="1" si="47"/>
        <v>0.66825382701683389</v>
      </c>
      <c r="C324" s="6">
        <f t="shared" ca="1" si="47"/>
        <v>-0.65571347910298761</v>
      </c>
      <c r="D324" s="6">
        <f t="shared" ca="1" si="47"/>
        <v>-0.89872482236091877</v>
      </c>
      <c r="E324" s="8">
        <f t="shared" ca="1" si="40"/>
        <v>1.5215069869180982E-2</v>
      </c>
      <c r="F324" s="8">
        <f t="shared" ca="1" si="41"/>
        <v>9.7140172336344123E-3</v>
      </c>
      <c r="G324" s="8">
        <f t="shared" ca="1" si="42"/>
        <v>1.307287733158312E-2</v>
      </c>
      <c r="H324" s="10">
        <f t="shared" ca="1" si="43"/>
        <v>4077.1037205946313</v>
      </c>
      <c r="I324" s="10">
        <f t="shared" ca="1" si="44"/>
        <v>549.28442537509716</v>
      </c>
      <c r="J324" s="10">
        <f t="shared" ca="1" si="45"/>
        <v>2265.2309537134197</v>
      </c>
      <c r="K324" s="12">
        <f t="array" aca="1" ref="K324:L324" ca="1">Opt3Spd(H324:J324,$E$3:$G$3,$K$3:$M$3,$N$3:$P$3,$H$3,$I$3,$Q$3,$J$3)</f>
        <v>240.63723309813372</v>
      </c>
      <c r="L324" s="12">
        <f ca="1"/>
        <v>4.0699603675875551E-3</v>
      </c>
      <c r="M324" s="12">
        <f t="array" aca="1" ref="M324:N324" ca="1">Opt3Spd(H324:J324,$E$3:$G$3,$K$3:$M$3,$N$3:$P$3,$H$4,$I$3,$Q$3,$J$3)</f>
        <v>0.45526609265313311</v>
      </c>
      <c r="N324" s="12">
        <f ca="1"/>
        <v>159.82210295488699</v>
      </c>
      <c r="O324" s="12">
        <f t="shared" ca="1" si="46"/>
        <v>0.45933605302072067</v>
      </c>
    </row>
    <row r="325" spans="2:15" x14ac:dyDescent="0.15">
      <c r="B325" s="6">
        <f t="shared" ca="1" si="47"/>
        <v>1.6244108897204026</v>
      </c>
      <c r="C325" s="6">
        <f t="shared" ca="1" si="47"/>
        <v>-0.57581891435322652</v>
      </c>
      <c r="D325" s="6">
        <f t="shared" ca="1" si="47"/>
        <v>0.31905635037062474</v>
      </c>
      <c r="E325" s="8">
        <f t="shared" ref="E325:E388" ca="1" si="48">B325*$U$3*$C$6</f>
        <v>3.6985235525978905E-2</v>
      </c>
      <c r="F325" s="8">
        <f t="shared" ref="F325:F388" ca="1" si="49">($N$3*B325+C325*SQRT(1-$N$3^2))*$V$3*$C$6</f>
        <v>4.7017901421439121E-2</v>
      </c>
      <c r="G325" s="8">
        <f t="shared" ref="G325:G388" ca="1" si="50">(D325/$T$3+($P$3-$N$3*$O$3)*C325+$O$3*B325*SQRT(1/(1-$N$3^2)))*$W$3*$C$6</f>
        <v>6.140555354376144E-2</v>
      </c>
      <c r="H325" s="10">
        <f t="shared" ref="H325:H388" ca="1" si="51">B$3*(1+E325)</f>
        <v>4164.5327058723315</v>
      </c>
      <c r="I325" s="10">
        <f t="shared" ref="I325:I388" ca="1" si="52">C$3*(1+F325)</f>
        <v>569.57773837326295</v>
      </c>
      <c r="J325" s="10">
        <f t="shared" ref="J325:J388" ca="1" si="53">D$3*(1+G325)</f>
        <v>2373.3028177238507</v>
      </c>
      <c r="K325" s="12">
        <f t="array" aca="1" ref="K325:L325" ca="1">Opt3Spd(H325:J325,$E$3:$G$3,$K$3:$M$3,$N$3:$P$3,$H$3,$I$3,$Q$3,$J$3)</f>
        <v>241.56152200949532</v>
      </c>
      <c r="L325" s="12">
        <f ca="1"/>
        <v>4.6063963102369598E-3</v>
      </c>
      <c r="M325" s="12">
        <f t="array" aca="1" ref="M325:N325" ca="1">Opt3Spd(H325:J325,$E$3:$G$3,$K$3:$M$3,$N$3:$P$3,$H$4,$I$3,$Q$3,$J$3)</f>
        <v>0.50479697876730967</v>
      </c>
      <c r="N325" s="12">
        <f ca="1"/>
        <v>158.94788136558222</v>
      </c>
      <c r="O325" s="12">
        <f t="shared" ca="1" si="46"/>
        <v>0.50940337507754663</v>
      </c>
    </row>
    <row r="326" spans="2:15" x14ac:dyDescent="0.15">
      <c r="B326" s="6">
        <f t="shared" ca="1" si="47"/>
        <v>-0.19549057961956914</v>
      </c>
      <c r="C326" s="6">
        <f t="shared" ca="1" si="47"/>
        <v>2.2212040161218036</v>
      </c>
      <c r="D326" s="6">
        <f t="shared" ca="1" si="47"/>
        <v>0.87880368100692741</v>
      </c>
      <c r="E326" s="8">
        <f t="shared" ca="1" si="48"/>
        <v>-4.4510075474711863E-3</v>
      </c>
      <c r="F326" s="8">
        <f t="shared" ca="1" si="49"/>
        <v>4.3810709006037757E-2</v>
      </c>
      <c r="G326" s="8">
        <f t="shared" ca="1" si="50"/>
        <v>8.628028020063792E-3</v>
      </c>
      <c r="H326" s="10">
        <f t="shared" ca="1" si="51"/>
        <v>3998.1247536893557</v>
      </c>
      <c r="I326" s="10">
        <f t="shared" ca="1" si="52"/>
        <v>567.83302569928458</v>
      </c>
      <c r="J326" s="10">
        <f t="shared" ca="1" si="53"/>
        <v>2255.2922706528625</v>
      </c>
      <c r="K326" s="12">
        <f t="array" aca="1" ref="K326:L326" ca="1">Opt3Spd(H326:J326,$E$3:$G$3,$K$3:$M$3,$N$3:$P$3,$H$3,$I$3,$Q$3,$J$3)</f>
        <v>137.49046787846464</v>
      </c>
      <c r="L326" s="12">
        <f ca="1"/>
        <v>0.54469063439546517</v>
      </c>
      <c r="M326" s="12">
        <f t="array" aca="1" ref="M326:N326" ca="1">Opt3Spd(H326:J326,$E$3:$G$3,$K$3:$M$3,$N$3:$P$3,$H$4,$I$3,$Q$3,$J$3)</f>
        <v>3.2454169749858708E-3</v>
      </c>
      <c r="N326" s="12">
        <f ca="1"/>
        <v>263.05746817290583</v>
      </c>
      <c r="O326" s="12">
        <f t="shared" ca="1" si="46"/>
        <v>0.54793605137045098</v>
      </c>
    </row>
    <row r="327" spans="2:15" x14ac:dyDescent="0.15">
      <c r="B327" s="6">
        <f t="shared" ca="1" si="47"/>
        <v>0.46687442149389535</v>
      </c>
      <c r="C327" s="6">
        <f t="shared" ca="1" si="47"/>
        <v>-0.29405384048006705</v>
      </c>
      <c r="D327" s="6">
        <f t="shared" ca="1" si="47"/>
        <v>-0.12222575051640847</v>
      </c>
      <c r="E327" s="8">
        <f t="shared" ca="1" si="48"/>
        <v>1.0629983182998105E-2</v>
      </c>
      <c r="F327" s="8">
        <f t="shared" ca="1" si="49"/>
        <v>1.0558158402919481E-2</v>
      </c>
      <c r="G327" s="8">
        <f t="shared" ca="1" si="50"/>
        <v>1.4996499699684456E-2</v>
      </c>
      <c r="H327" s="10">
        <f t="shared" ca="1" si="51"/>
        <v>4058.6900124629205</v>
      </c>
      <c r="I327" s="10">
        <f t="shared" ca="1" si="52"/>
        <v>549.74363817118819</v>
      </c>
      <c r="J327" s="10">
        <f t="shared" ca="1" si="53"/>
        <v>2269.5321733284945</v>
      </c>
      <c r="K327" s="12">
        <f t="array" aca="1" ref="K327:L327" ca="1">Opt3Spd(H327:J327,$E$3:$G$3,$K$3:$M$3,$N$3:$P$3,$H$3,$I$3,$Q$3,$J$3)</f>
        <v>219.34698684524574</v>
      </c>
      <c r="L327" s="12">
        <f ca="1"/>
        <v>1.2882120473477698E-2</v>
      </c>
      <c r="M327" s="12">
        <f t="array" aca="1" ref="M327:N327" ca="1">Opt3Spd(H327:J327,$E$3:$G$3,$K$3:$M$3,$N$3:$P$3,$H$4,$I$3,$Q$3,$J$3)</f>
        <v>0.19447582086925053</v>
      </c>
      <c r="N327" s="12">
        <f ca="1"/>
        <v>180.860371096097</v>
      </c>
      <c r="O327" s="12">
        <f t="shared" ca="1" si="46"/>
        <v>0.20735794134272822</v>
      </c>
    </row>
    <row r="328" spans="2:15" x14ac:dyDescent="0.15">
      <c r="B328" s="6">
        <f t="shared" ca="1" si="47"/>
        <v>-0.79418217493711363</v>
      </c>
      <c r="C328" s="6">
        <f t="shared" ca="1" si="47"/>
        <v>-1.8363526158315313</v>
      </c>
      <c r="D328" s="6">
        <f t="shared" ca="1" si="47"/>
        <v>1.0760531915011635</v>
      </c>
      <c r="E328" s="8">
        <f t="shared" ca="1" si="48"/>
        <v>-1.8082256759334503E-2</v>
      </c>
      <c r="F328" s="8">
        <f t="shared" ca="1" si="49"/>
        <v>-7.1673996797303796E-2</v>
      </c>
      <c r="G328" s="8">
        <f t="shared" ca="1" si="50"/>
        <v>-2.3044586622680018E-2</v>
      </c>
      <c r="H328" s="10">
        <f t="shared" ca="1" si="51"/>
        <v>3943.3816568545126</v>
      </c>
      <c r="I328" s="10">
        <f t="shared" ca="1" si="52"/>
        <v>505.00934574226676</v>
      </c>
      <c r="J328" s="10">
        <f t="shared" ca="1" si="53"/>
        <v>2184.4723043116874</v>
      </c>
      <c r="K328" s="12">
        <f t="array" aca="1" ref="K328:L328" ca="1">Opt3Spd(H328:J328,$E$3:$G$3,$K$3:$M$3,$N$3:$P$3,$H$3,$I$3,$Q$3,$J$3)</f>
        <v>218.14257518789759</v>
      </c>
      <c r="L328" s="12">
        <f ca="1"/>
        <v>1.2023676855505983E-2</v>
      </c>
      <c r="M328" s="12">
        <f t="array" aca="1" ref="M328:N328" ca="1">Opt3Spd(H328:J328,$E$3:$G$3,$K$3:$M$3,$N$3:$P$3,$H$4,$I$3,$Q$3,$J$3)</f>
        <v>0.17271024325921402</v>
      </c>
      <c r="N328" s="12">
        <f ca="1"/>
        <v>182.04215873221713</v>
      </c>
      <c r="O328" s="12">
        <f t="shared" ca="1" si="46"/>
        <v>0.18473392011472001</v>
      </c>
    </row>
    <row r="329" spans="2:15" x14ac:dyDescent="0.15">
      <c r="B329" s="6">
        <f t="shared" ca="1" si="47"/>
        <v>0.32644675508194154</v>
      </c>
      <c r="C329" s="6">
        <f t="shared" ca="1" si="47"/>
        <v>1.0116306033675786</v>
      </c>
      <c r="D329" s="6">
        <f t="shared" ca="1" si="47"/>
        <v>-1.2289777974826732</v>
      </c>
      <c r="E329" s="8">
        <f t="shared" ca="1" si="48"/>
        <v>7.4326700219765913E-3</v>
      </c>
      <c r="F329" s="8">
        <f t="shared" ca="1" si="49"/>
        <v>3.5364925459759333E-2</v>
      </c>
      <c r="G329" s="8">
        <f t="shared" ca="1" si="50"/>
        <v>1.8374897978363054E-3</v>
      </c>
      <c r="H329" s="10">
        <f t="shared" ca="1" si="51"/>
        <v>4045.8496028082582</v>
      </c>
      <c r="I329" s="10">
        <f t="shared" ca="1" si="52"/>
        <v>563.23851945010915</v>
      </c>
      <c r="J329" s="10">
        <f t="shared" ca="1" si="53"/>
        <v>2240.1086271879622</v>
      </c>
      <c r="K329" s="12">
        <f t="array" aca="1" ref="K329:L329" ca="1">Opt3Spd(H329:J329,$E$3:$G$3,$K$3:$M$3,$N$3:$P$3,$H$3,$I$3,$Q$3,$J$3)</f>
        <v>199.64787336142922</v>
      </c>
      <c r="L329" s="12">
        <f ca="1"/>
        <v>3.4215267326771936E-2</v>
      </c>
      <c r="M329" s="12">
        <f t="array" aca="1" ref="M329:N329" ca="1">Opt3Spd(H329:J329,$E$3:$G$3,$K$3:$M$3,$N$3:$P$3,$H$4,$I$3,$Q$3,$J$3)</f>
        <v>8.0618816114180092E-2</v>
      </c>
      <c r="N329" s="12">
        <f ca="1"/>
        <v>200.46696072201172</v>
      </c>
      <c r="O329" s="12">
        <f t="shared" ca="1" si="46"/>
        <v>0.11483408344095203</v>
      </c>
    </row>
    <row r="330" spans="2:15" x14ac:dyDescent="0.15">
      <c r="B330" s="6">
        <f t="shared" ca="1" si="47"/>
        <v>0.2478106754121302</v>
      </c>
      <c r="C330" s="6">
        <f t="shared" ca="1" si="47"/>
        <v>-0.53270336753570557</v>
      </c>
      <c r="D330" s="6">
        <f t="shared" ca="1" si="47"/>
        <v>-2.2310509945991899</v>
      </c>
      <c r="E330" s="8">
        <f t="shared" ca="1" si="48"/>
        <v>5.6422523722105215E-3</v>
      </c>
      <c r="F330" s="8">
        <f t="shared" ca="1" si="49"/>
        <v>-3.0538803425798414E-3</v>
      </c>
      <c r="G330" s="8">
        <f t="shared" ca="1" si="50"/>
        <v>-1.6209768713900719E-2</v>
      </c>
      <c r="H330" s="10">
        <f t="shared" ca="1" si="51"/>
        <v>4038.6592855267977</v>
      </c>
      <c r="I330" s="10">
        <f t="shared" ca="1" si="52"/>
        <v>542.33868909363662</v>
      </c>
      <c r="J330" s="10">
        <f t="shared" ca="1" si="53"/>
        <v>2199.7549571557179</v>
      </c>
      <c r="K330" s="12">
        <f t="array" aca="1" ref="K330:L330" ca="1">Opt3Spd(H330:J330,$E$3:$G$3,$K$3:$M$3,$N$3:$P$3,$H$3,$I$3,$Q$3,$J$3)</f>
        <v>246.04261945795815</v>
      </c>
      <c r="L330" s="12">
        <f ca="1"/>
        <v>2.7150588380209228E-3</v>
      </c>
      <c r="M330" s="12">
        <f t="array" aca="1" ref="M330:N330" ca="1">Opt3Spd(H330:J330,$E$3:$G$3,$K$3:$M$3,$N$3:$P$3,$H$4,$I$3,$Q$3,$J$3)</f>
        <v>0.53774651869709089</v>
      </c>
      <c r="N330" s="12">
        <f ca="1"/>
        <v>154.49784211957694</v>
      </c>
      <c r="O330" s="12">
        <f t="shared" ca="1" si="46"/>
        <v>0.54046157753511181</v>
      </c>
    </row>
    <row r="331" spans="2:15" x14ac:dyDescent="0.15">
      <c r="B331" s="6">
        <f t="shared" ca="1" si="47"/>
        <v>1.7003157033913137</v>
      </c>
      <c r="C331" s="6">
        <f t="shared" ca="1" si="47"/>
        <v>-0.39458066684585419</v>
      </c>
      <c r="D331" s="6">
        <f t="shared" ca="1" si="47"/>
        <v>-0.72750917135581572</v>
      </c>
      <c r="E331" s="8">
        <f t="shared" ca="1" si="48"/>
        <v>3.8713466621288418E-2</v>
      </c>
      <c r="F331" s="8">
        <f t="shared" ca="1" si="49"/>
        <v>5.3999872845716765E-2</v>
      </c>
      <c r="G331" s="8">
        <f t="shared" ca="1" si="50"/>
        <v>5.3571182904804254E-2</v>
      </c>
      <c r="H331" s="10">
        <f t="shared" ca="1" si="51"/>
        <v>4171.4732819510946</v>
      </c>
      <c r="I331" s="10">
        <f t="shared" ca="1" si="52"/>
        <v>573.37593082806984</v>
      </c>
      <c r="J331" s="10">
        <f t="shared" ca="1" si="53"/>
        <v>2355.7851649751424</v>
      </c>
      <c r="K331" s="12">
        <f t="array" aca="1" ref="K331:L331" ca="1">Opt3Spd(H331:J331,$E$3:$G$3,$K$3:$M$3,$N$3:$P$3,$H$3,$I$3,$Q$3,$J$3)</f>
        <v>251.18185930555842</v>
      </c>
      <c r="L331" s="12">
        <f ca="1"/>
        <v>2.6491669466395251E-3</v>
      </c>
      <c r="M331" s="12">
        <f t="array" aca="1" ref="M331:N331" ca="1">Opt3Spd(H331:J331,$E$3:$G$3,$K$3:$M$3,$N$3:$P$3,$H$4,$I$3,$Q$3,$J$3)</f>
        <v>0.71243034169810215</v>
      </c>
      <c r="N331" s="12">
        <f ca="1"/>
        <v>149.53322020308633</v>
      </c>
      <c r="O331" s="12">
        <f t="shared" ref="O331:O394" ca="1" si="54">L331+M331</f>
        <v>0.71507950864474168</v>
      </c>
    </row>
    <row r="332" spans="2:15" x14ac:dyDescent="0.15">
      <c r="B332" s="6">
        <f t="shared" ca="1" si="47"/>
        <v>-0.62762590725665068</v>
      </c>
      <c r="C332" s="6">
        <f t="shared" ca="1" si="47"/>
        <v>-0.65820638512128493</v>
      </c>
      <c r="D332" s="6">
        <f t="shared" ca="1" si="47"/>
        <v>1.4154160044360142</v>
      </c>
      <c r="E332" s="8">
        <f t="shared" ca="1" si="48"/>
        <v>-1.4290037175316447E-2</v>
      </c>
      <c r="F332" s="8">
        <f t="shared" ca="1" si="49"/>
        <v>-3.8412027822523592E-2</v>
      </c>
      <c r="G332" s="8">
        <f t="shared" ca="1" si="50"/>
        <v>-9.8902054908159634E-3</v>
      </c>
      <c r="H332" s="10">
        <f t="shared" ca="1" si="51"/>
        <v>3958.6112107039294</v>
      </c>
      <c r="I332" s="10">
        <f t="shared" ca="1" si="52"/>
        <v>523.1038568645472</v>
      </c>
      <c r="J332" s="10">
        <f t="shared" ca="1" si="53"/>
        <v>2213.8855005225355</v>
      </c>
      <c r="K332" s="12">
        <f t="array" aca="1" ref="K332:L332" ca="1">Opt3Spd(H332:J332,$E$3:$G$3,$K$3:$M$3,$N$3:$P$3,$H$3,$I$3,$Q$3,$J$3)</f>
        <v>189.75452252322839</v>
      </c>
      <c r="L332" s="12">
        <f ca="1"/>
        <v>5.2233063842550109E-2</v>
      </c>
      <c r="M332" s="12">
        <f t="array" aca="1" ref="M332:N332" ca="1">Opt3Spd(H332:J332,$E$3:$G$3,$K$3:$M$3,$N$3:$P$3,$H$4,$I$3,$Q$3,$J$3)</f>
        <v>4.8858147222866855E-2</v>
      </c>
      <c r="N332" s="12">
        <f ca="1"/>
        <v>210.34656868783702</v>
      </c>
      <c r="O332" s="12">
        <f t="shared" ca="1" si="54"/>
        <v>0.10109121106541696</v>
      </c>
    </row>
    <row r="333" spans="2:15" x14ac:dyDescent="0.15">
      <c r="B333" s="6">
        <f t="shared" ca="1" si="47"/>
        <v>1.4948136422715181</v>
      </c>
      <c r="C333" s="6">
        <f t="shared" ca="1" si="47"/>
        <v>1.5823395834607543E-2</v>
      </c>
      <c r="D333" s="6">
        <f t="shared" ca="1" si="47"/>
        <v>0.37520677986643225</v>
      </c>
      <c r="E333" s="8">
        <f t="shared" ca="1" si="48"/>
        <v>3.4034513666905075E-2</v>
      </c>
      <c r="F333" s="8">
        <f t="shared" ca="1" si="49"/>
        <v>5.5811651271961707E-2</v>
      </c>
      <c r="G333" s="8">
        <f t="shared" ca="1" si="50"/>
        <v>5.8960055409636544E-2</v>
      </c>
      <c r="H333" s="10">
        <f t="shared" ca="1" si="51"/>
        <v>4152.6826068862911</v>
      </c>
      <c r="I333" s="10">
        <f t="shared" ca="1" si="52"/>
        <v>574.36153829194723</v>
      </c>
      <c r="J333" s="10">
        <f t="shared" ca="1" si="53"/>
        <v>2367.8346838959474</v>
      </c>
      <c r="K333" s="12">
        <f t="array" aca="1" ref="K333:L333" ca="1">Opt3Spd(H333:J333,$E$3:$G$3,$K$3:$M$3,$N$3:$P$3,$H$3,$I$3,$Q$3,$J$3)</f>
        <v>224.79805211953317</v>
      </c>
      <c r="L333" s="12">
        <f ca="1"/>
        <v>1.1248448331571126E-2</v>
      </c>
      <c r="M333" s="12">
        <f t="array" aca="1" ref="M333:N333" ca="1">Opt3Spd(H333:J333,$E$3:$G$3,$K$3:$M$3,$N$3:$P$3,$H$4,$I$3,$Q$3,$J$3)</f>
        <v>0.26276229286748887</v>
      </c>
      <c r="N333" s="12">
        <f ca="1"/>
        <v>175.47595862166588</v>
      </c>
      <c r="O333" s="12">
        <f t="shared" ca="1" si="54"/>
        <v>0.27401074119905999</v>
      </c>
    </row>
    <row r="334" spans="2:15" x14ac:dyDescent="0.15">
      <c r="B334" s="6">
        <f t="shared" ca="1" si="47"/>
        <v>1.929560600937508E-2</v>
      </c>
      <c r="C334" s="6">
        <f t="shared" ca="1" si="47"/>
        <v>-1.2162584975085975</v>
      </c>
      <c r="D334" s="6">
        <f t="shared" ca="1" si="47"/>
        <v>1.0111041771553957</v>
      </c>
      <c r="E334" s="8">
        <f t="shared" ca="1" si="48"/>
        <v>4.3933005952457438E-4</v>
      </c>
      <c r="F334" s="8">
        <f t="shared" ca="1" si="49"/>
        <v>-2.7244213082841633E-2</v>
      </c>
      <c r="G334" s="8">
        <f t="shared" ca="1" si="50"/>
        <v>7.9494739508952569E-3</v>
      </c>
      <c r="H334" s="10">
        <f t="shared" ca="1" si="51"/>
        <v>4017.7643495190509</v>
      </c>
      <c r="I334" s="10">
        <f t="shared" ca="1" si="52"/>
        <v>529.17914808293415</v>
      </c>
      <c r="J334" s="10">
        <f t="shared" ca="1" si="53"/>
        <v>2253.7750237542018</v>
      </c>
      <c r="K334" s="12">
        <f t="array" aca="1" ref="K334:L334" ca="1">Opt3Spd(H334:J334,$E$3:$G$3,$K$3:$M$3,$N$3:$P$3,$H$3,$I$3,$Q$3,$J$3)</f>
        <v>219.20272339687517</v>
      </c>
      <c r="L334" s="12">
        <f ca="1"/>
        <v>1.25226876200486E-2</v>
      </c>
      <c r="M334" s="12">
        <f t="array" aca="1" ref="M334:N334" ca="1">Opt3Spd(H334:J334,$E$3:$G$3,$K$3:$M$3,$N$3:$P$3,$H$4,$I$3,$Q$3,$J$3)</f>
        <v>0.19024221692829713</v>
      </c>
      <c r="N334" s="12">
        <f ca="1"/>
        <v>181.00004150767319</v>
      </c>
      <c r="O334" s="12">
        <f t="shared" ca="1" si="54"/>
        <v>0.20276490454834573</v>
      </c>
    </row>
    <row r="335" spans="2:15" x14ac:dyDescent="0.15">
      <c r="B335" s="6">
        <f t="shared" ca="1" si="47"/>
        <v>-5.7058806567778932E-2</v>
      </c>
      <c r="C335" s="6">
        <f t="shared" ca="1" si="47"/>
        <v>0.88399083016487723</v>
      </c>
      <c r="D335" s="6">
        <f t="shared" ca="1" si="47"/>
        <v>2.284241377411715</v>
      </c>
      <c r="E335" s="8">
        <f t="shared" ca="1" si="48"/>
        <v>-1.2991376831411241E-3</v>
      </c>
      <c r="F335" s="8">
        <f t="shared" ca="1" si="49"/>
        <v>1.8205108847716037E-2</v>
      </c>
      <c r="G335" s="8">
        <f t="shared" ca="1" si="50"/>
        <v>2.4804099490226335E-2</v>
      </c>
      <c r="H335" s="10">
        <f t="shared" ca="1" si="51"/>
        <v>4010.782663064505</v>
      </c>
      <c r="I335" s="10">
        <f t="shared" ca="1" si="52"/>
        <v>553.90357921315751</v>
      </c>
      <c r="J335" s="10">
        <f t="shared" ca="1" si="53"/>
        <v>2291.461966460146</v>
      </c>
      <c r="K335" s="12">
        <f t="array" aca="1" ref="K335:L335" ca="1">Opt3Spd(H335:J335,$E$3:$G$3,$K$3:$M$3,$N$3:$P$3,$H$3,$I$3,$Q$3,$J$3)</f>
        <v>154.08733629229687</v>
      </c>
      <c r="L335" s="12">
        <f ca="1"/>
        <v>0.28138319891672836</v>
      </c>
      <c r="M335" s="12">
        <f t="array" aca="1" ref="M335:N335" ca="1">Opt3Spd(H335:J335,$E$3:$G$3,$K$3:$M$3,$N$3:$P$3,$H$4,$I$3,$Q$3,$J$3)</f>
        <v>8.6265910498324327E-3</v>
      </c>
      <c r="N335" s="12">
        <f ca="1"/>
        <v>246.20267349766968</v>
      </c>
      <c r="O335" s="12">
        <f t="shared" ca="1" si="54"/>
        <v>0.29000978996656079</v>
      </c>
    </row>
    <row r="336" spans="2:15" x14ac:dyDescent="0.15">
      <c r="B336" s="6">
        <f t="shared" ca="1" si="47"/>
        <v>-0.79601407002298996</v>
      </c>
      <c r="C336" s="6">
        <f t="shared" ca="1" si="47"/>
        <v>0.55935967228179651</v>
      </c>
      <c r="D336" s="6">
        <f t="shared" ca="1" si="47"/>
        <v>1.2513864588422854</v>
      </c>
      <c r="E336" s="8">
        <f t="shared" ca="1" si="48"/>
        <v>-1.8123966077856546E-2</v>
      </c>
      <c r="F336" s="8">
        <f t="shared" ca="1" si="49"/>
        <v>-1.6668123184554851E-2</v>
      </c>
      <c r="G336" s="8">
        <f t="shared" ca="1" si="50"/>
        <v>-1.428936959984094E-2</v>
      </c>
      <c r="H336" s="10">
        <f t="shared" ca="1" si="51"/>
        <v>3943.2141522313282</v>
      </c>
      <c r="I336" s="10">
        <f t="shared" ca="1" si="52"/>
        <v>534.93254098760212</v>
      </c>
      <c r="J336" s="10">
        <f t="shared" ca="1" si="53"/>
        <v>2204.0489695747556</v>
      </c>
      <c r="K336" s="12">
        <f t="array" aca="1" ref="K336:L336" ca="1">Opt3Spd(H336:J336,$E$3:$G$3,$K$3:$M$3,$N$3:$P$3,$H$3,$I$3,$Q$3,$J$3)</f>
        <v>160.49572253760948</v>
      </c>
      <c r="L336" s="12">
        <f ca="1"/>
        <v>0.19812067382258647</v>
      </c>
      <c r="M336" s="12">
        <f t="array" aca="1" ref="M336:N336" ca="1">Opt3Spd(H336:J336,$E$3:$G$3,$K$3:$M$3,$N$3:$P$3,$H$4,$I$3,$Q$3,$J$3)</f>
        <v>1.0908300628396539E-2</v>
      </c>
      <c r="N336" s="12">
        <f ca="1"/>
        <v>239.71330643684149</v>
      </c>
      <c r="O336" s="12">
        <f t="shared" ca="1" si="54"/>
        <v>0.20902897445098301</v>
      </c>
    </row>
    <row r="337" spans="2:15" x14ac:dyDescent="0.15">
      <c r="B337" s="6">
        <f t="shared" ca="1" si="47"/>
        <v>-1.2980150554300804</v>
      </c>
      <c r="C337" s="6">
        <f t="shared" ca="1" si="47"/>
        <v>-0.10313422513950889</v>
      </c>
      <c r="D337" s="6">
        <f t="shared" ca="1" si="47"/>
        <v>-0.88804037782267908</v>
      </c>
      <c r="E337" s="8">
        <f t="shared" ca="1" si="48"/>
        <v>-2.9553724888911101E-2</v>
      </c>
      <c r="F337" s="8">
        <f t="shared" ca="1" si="49"/>
        <v>-5.0518844302811353E-2</v>
      </c>
      <c r="G337" s="8">
        <f t="shared" ca="1" si="50"/>
        <v>-5.7446700368198281E-2</v>
      </c>
      <c r="H337" s="10">
        <f t="shared" ca="1" si="51"/>
        <v>3897.3122408461331</v>
      </c>
      <c r="I337" s="10">
        <f t="shared" ca="1" si="52"/>
        <v>516.51774869927056</v>
      </c>
      <c r="J337" s="10">
        <f t="shared" ca="1" si="53"/>
        <v>2107.5491779767085</v>
      </c>
      <c r="K337" s="12">
        <f t="array" aca="1" ref="K337:L337" ca="1">Opt3Spd(H337:J337,$E$3:$G$3,$K$3:$M$3,$N$3:$P$3,$H$3,$I$3,$Q$3,$J$3)</f>
        <v>192.15094666256459</v>
      </c>
      <c r="L337" s="12">
        <f ca="1"/>
        <v>4.1692723618780292E-2</v>
      </c>
      <c r="M337" s="12">
        <f t="array" aca="1" ref="M337:N337" ca="1">Opt3Spd(H337:J337,$E$3:$G$3,$K$3:$M$3,$N$3:$P$3,$H$4,$I$3,$Q$3,$J$3)</f>
        <v>4.969680369209506E-2</v>
      </c>
      <c r="N337" s="12">
        <f ca="1"/>
        <v>207.94044286474627</v>
      </c>
      <c r="O337" s="12">
        <f t="shared" ca="1" si="54"/>
        <v>9.1389527310875351E-2</v>
      </c>
    </row>
    <row r="338" spans="2:15" x14ac:dyDescent="0.15">
      <c r="B338" s="6">
        <f t="shared" ca="1" si="47"/>
        <v>-0.63973231777730655</v>
      </c>
      <c r="C338" s="6">
        <f t="shared" ca="1" si="47"/>
        <v>-0.22575215664231835</v>
      </c>
      <c r="D338" s="6">
        <f t="shared" ca="1" si="47"/>
        <v>-8.3594224519486407E-2</v>
      </c>
      <c r="E338" s="8">
        <f t="shared" ca="1" si="48"/>
        <v>-1.4565680762363389E-2</v>
      </c>
      <c r="F338" s="8">
        <f t="shared" ca="1" si="49"/>
        <v>-2.8919624378960118E-2</v>
      </c>
      <c r="G338" s="8">
        <f t="shared" ca="1" si="50"/>
        <v>-2.504861076958674E-2</v>
      </c>
      <c r="H338" s="10">
        <f t="shared" ca="1" si="51"/>
        <v>3957.5042260583486</v>
      </c>
      <c r="I338" s="10">
        <f t="shared" ca="1" si="52"/>
        <v>528.26772433784572</v>
      </c>
      <c r="J338" s="10">
        <f t="shared" ca="1" si="53"/>
        <v>2179.9913063192039</v>
      </c>
      <c r="K338" s="12">
        <f t="array" aca="1" ref="K338:L338" ca="1">Opt3Spd(H338:J338,$E$3:$G$3,$K$3:$M$3,$N$3:$P$3,$H$3,$I$3,$Q$3,$J$3)</f>
        <v>197.31525586959197</v>
      </c>
      <c r="L338" s="12">
        <f ca="1"/>
        <v>3.5041911398593584E-2</v>
      </c>
      <c r="M338" s="12">
        <f t="array" aca="1" ref="M338:N338" ca="1">Opt3Spd(H338:J338,$E$3:$G$3,$K$3:$M$3,$N$3:$P$3,$H$4,$I$3,$Q$3,$J$3)</f>
        <v>6.7895589612477991E-2</v>
      </c>
      <c r="N338" s="12">
        <f ca="1"/>
        <v>202.7876816314191</v>
      </c>
      <c r="O338" s="12">
        <f t="shared" ca="1" si="54"/>
        <v>0.10293750101107157</v>
      </c>
    </row>
    <row r="339" spans="2:15" x14ac:dyDescent="0.15">
      <c r="B339" s="6">
        <f t="shared" ca="1" si="47"/>
        <v>0.10959735418423734</v>
      </c>
      <c r="C339" s="6">
        <f t="shared" ca="1" si="47"/>
        <v>0.72993057160688013</v>
      </c>
      <c r="D339" s="6">
        <f t="shared" ca="1" si="47"/>
        <v>-0.13839269988874719</v>
      </c>
      <c r="E339" s="8">
        <f t="shared" ca="1" si="48"/>
        <v>2.4953563062027014E-3</v>
      </c>
      <c r="F339" s="8">
        <f t="shared" ca="1" si="49"/>
        <v>2.0845358161306345E-2</v>
      </c>
      <c r="G339" s="8">
        <f t="shared" ca="1" si="50"/>
        <v>4.6710908087150005E-3</v>
      </c>
      <c r="H339" s="10">
        <f t="shared" ca="1" si="51"/>
        <v>4026.0213509257101</v>
      </c>
      <c r="I339" s="10">
        <f t="shared" ca="1" si="52"/>
        <v>555.33987483975068</v>
      </c>
      <c r="J339" s="10">
        <f t="shared" ca="1" si="53"/>
        <v>2246.4445590482869</v>
      </c>
      <c r="K339" s="12">
        <f t="array" aca="1" ref="K339:L339" ca="1">Opt3Spd(H339:J339,$E$3:$G$3,$K$3:$M$3,$N$3:$P$3,$H$3,$I$3,$Q$3,$J$3)</f>
        <v>189.3115957453831</v>
      </c>
      <c r="L339" s="12">
        <f ca="1"/>
        <v>5.6324087417578994E-2</v>
      </c>
      <c r="M339" s="12">
        <f t="array" aca="1" ref="M339:N339" ca="1">Opt3Spd(H339:J339,$E$3:$G$3,$K$3:$M$3,$N$3:$P$3,$H$4,$I$3,$Q$3,$J$3)</f>
        <v>4.9847735739383836E-2</v>
      </c>
      <c r="N339" s="12">
        <f ca="1"/>
        <v>210.79457607777385</v>
      </c>
      <c r="O339" s="12">
        <f t="shared" ca="1" si="54"/>
        <v>0.10617182315696283</v>
      </c>
    </row>
    <row r="340" spans="2:15" x14ac:dyDescent="0.15">
      <c r="B340" s="6">
        <f t="shared" ca="1" si="47"/>
        <v>-5.0520823532357796E-2</v>
      </c>
      <c r="C340" s="6">
        <f t="shared" ca="1" si="47"/>
        <v>-4.9444580966510394E-2</v>
      </c>
      <c r="D340" s="6">
        <f t="shared" ca="1" si="47"/>
        <v>-1.0869491574711396</v>
      </c>
      <c r="E340" s="8">
        <f t="shared" ca="1" si="48"/>
        <v>-1.1502782757337247E-3</v>
      </c>
      <c r="F340" s="8">
        <f t="shared" ca="1" si="49"/>
        <v>-3.0106516315405261E-3</v>
      </c>
      <c r="G340" s="8">
        <f t="shared" ca="1" si="50"/>
        <v>-1.3578917557990039E-2</v>
      </c>
      <c r="H340" s="10">
        <f t="shared" ca="1" si="51"/>
        <v>4011.3804824446534</v>
      </c>
      <c r="I340" s="10">
        <f t="shared" ca="1" si="52"/>
        <v>542.36220551244196</v>
      </c>
      <c r="J340" s="10">
        <f t="shared" ca="1" si="53"/>
        <v>2205.6375403403345</v>
      </c>
      <c r="K340" s="12">
        <f t="array" aca="1" ref="K340:L340" ca="1">Opt3Spd(H340:J340,$E$3:$G$3,$K$3:$M$3,$N$3:$P$3,$H$3,$I$3,$Q$3,$J$3)</f>
        <v>215.7964439788359</v>
      </c>
      <c r="L340" s="12">
        <f ca="1"/>
        <v>1.4260524256997087E-2</v>
      </c>
      <c r="M340" s="12">
        <f t="array" aca="1" ref="M340:N340" ca="1">Opt3Spd(H340:J340,$E$3:$G$3,$K$3:$M$3,$N$3:$P$3,$H$4,$I$3,$Q$3,$J$3)</f>
        <v>0.15934617987976729</v>
      </c>
      <c r="N340" s="12">
        <f ca="1"/>
        <v>184.37716272530088</v>
      </c>
      <c r="O340" s="12">
        <f t="shared" ca="1" si="54"/>
        <v>0.17360670413676438</v>
      </c>
    </row>
    <row r="341" spans="2:15" x14ac:dyDescent="0.15">
      <c r="B341" s="6">
        <f t="shared" ca="1" si="47"/>
        <v>0.38268732675379574</v>
      </c>
      <c r="C341" s="6">
        <f t="shared" ca="1" si="47"/>
        <v>1.0703389427502557</v>
      </c>
      <c r="D341" s="6">
        <f t="shared" ca="1" si="47"/>
        <v>-0.73093655664487811</v>
      </c>
      <c r="E341" s="8">
        <f t="shared" ca="1" si="48"/>
        <v>8.7131778064062134E-3</v>
      </c>
      <c r="F341" s="8">
        <f t="shared" ca="1" si="49"/>
        <v>3.8800702549587014E-2</v>
      </c>
      <c r="G341" s="8">
        <f t="shared" ca="1" si="50"/>
        <v>9.3797659627752883E-3</v>
      </c>
      <c r="H341" s="10">
        <f t="shared" ca="1" si="51"/>
        <v>4050.9921220705273</v>
      </c>
      <c r="I341" s="10">
        <f t="shared" ca="1" si="52"/>
        <v>565.10758218697538</v>
      </c>
      <c r="J341" s="10">
        <f t="shared" ca="1" si="53"/>
        <v>2256.9731566927653</v>
      </c>
      <c r="K341" s="12">
        <f t="array" aca="1" ref="K341:L341" ca="1">Opt3Spd(H341:J341,$E$3:$G$3,$K$3:$M$3,$N$3:$P$3,$H$3,$I$3,$Q$3,$J$3)</f>
        <v>193.38070086593598</v>
      </c>
      <c r="L341" s="12">
        <f ca="1"/>
        <v>4.7288640951819616E-2</v>
      </c>
      <c r="M341" s="12">
        <f t="array" aca="1" ref="M341:N341" ca="1">Opt3Spd(H341:J341,$E$3:$G$3,$K$3:$M$3,$N$3:$P$3,$H$4,$I$3,$Q$3,$J$3)</f>
        <v>6.1290577482196795E-2</v>
      </c>
      <c r="N341" s="12">
        <f ca="1"/>
        <v>206.72787835249804</v>
      </c>
      <c r="O341" s="12">
        <f t="shared" ca="1" si="54"/>
        <v>0.10857921843401641</v>
      </c>
    </row>
    <row r="342" spans="2:15" x14ac:dyDescent="0.15">
      <c r="B342" s="6">
        <f t="shared" ca="1" si="47"/>
        <v>-1.0377536968695946</v>
      </c>
      <c r="C342" s="6">
        <f t="shared" ca="1" si="47"/>
        <v>-5.5676867146385312E-2</v>
      </c>
      <c r="D342" s="6">
        <f t="shared" ca="1" si="47"/>
        <v>0.82953412269396487</v>
      </c>
      <c r="E342" s="8">
        <f t="shared" ca="1" si="48"/>
        <v>-2.3627990393048644E-2</v>
      </c>
      <c r="F342" s="8">
        <f t="shared" ca="1" si="49"/>
        <v>-3.9773861848918679E-2</v>
      </c>
      <c r="G342" s="8">
        <f t="shared" ca="1" si="50"/>
        <v>-2.9449939416441771E-2</v>
      </c>
      <c r="H342" s="10">
        <f t="shared" ca="1" si="51"/>
        <v>3921.1099905815167</v>
      </c>
      <c r="I342" s="10">
        <f t="shared" ca="1" si="52"/>
        <v>522.36301915418824</v>
      </c>
      <c r="J342" s="10">
        <f t="shared" ca="1" si="53"/>
        <v>2170.1499354648363</v>
      </c>
      <c r="K342" s="12">
        <f t="array" aca="1" ref="K342:L342" ca="1">Opt3Spd(H342:J342,$E$3:$G$3,$K$3:$M$3,$N$3:$P$3,$H$3,$I$3,$Q$3,$J$3)</f>
        <v>175.35274186190941</v>
      </c>
      <c r="L342" s="12">
        <f ca="1"/>
        <v>9.8549659512173093E-2</v>
      </c>
      <c r="M342" s="12">
        <f t="array" aca="1" ref="M342:N342" ca="1">Opt3Spd(H342:J342,$E$3:$G$3,$K$3:$M$3,$N$3:$P$3,$H$4,$I$3,$Q$3,$J$3)</f>
        <v>2.2902221245902687E-2</v>
      </c>
      <c r="N342" s="12">
        <f ca="1"/>
        <v>224.76871001884868</v>
      </c>
      <c r="O342" s="12">
        <f t="shared" ca="1" si="54"/>
        <v>0.12145188075807578</v>
      </c>
    </row>
    <row r="343" spans="2:15" x14ac:dyDescent="0.15">
      <c r="B343" s="6">
        <f t="shared" ca="1" si="47"/>
        <v>0.81645765999299047</v>
      </c>
      <c r="C343" s="6">
        <f t="shared" ca="1" si="47"/>
        <v>0.1312059484136692</v>
      </c>
      <c r="D343" s="6">
        <f t="shared" ca="1" si="47"/>
        <v>0.45005324169329286</v>
      </c>
      <c r="E343" s="8">
        <f t="shared" ca="1" si="48"/>
        <v>1.8589433894418125E-2</v>
      </c>
      <c r="F343" s="8">
        <f t="shared" ca="1" si="49"/>
        <v>3.3301513620691336E-2</v>
      </c>
      <c r="G343" s="8">
        <f t="shared" ca="1" si="50"/>
        <v>3.51706553951638E-2</v>
      </c>
      <c r="H343" s="10">
        <f t="shared" ca="1" si="51"/>
        <v>4090.6551665199831</v>
      </c>
      <c r="I343" s="10">
        <f t="shared" ca="1" si="52"/>
        <v>562.11602340965612</v>
      </c>
      <c r="J343" s="10">
        <f t="shared" ca="1" si="53"/>
        <v>2314.6415854635861</v>
      </c>
      <c r="K343" s="12">
        <f t="array" aca="1" ref="K343:L343" ca="1">Opt3Spd(H343:J343,$E$3:$G$3,$K$3:$M$3,$N$3:$P$3,$H$3,$I$3,$Q$3,$J$3)</f>
        <v>208.97208488307979</v>
      </c>
      <c r="L343" s="12">
        <f ca="1"/>
        <v>2.3348550339505891E-2</v>
      </c>
      <c r="M343" s="12">
        <f t="array" aca="1" ref="M343:N343" ca="1">Opt3Spd(H343:J343,$E$3:$G$3,$K$3:$M$3,$N$3:$P$3,$H$4,$I$3,$Q$3,$J$3)</f>
        <v>0.12970047529740469</v>
      </c>
      <c r="N343" s="12">
        <f ca="1"/>
        <v>191.18096414255712</v>
      </c>
      <c r="O343" s="12">
        <f t="shared" ca="1" si="54"/>
        <v>0.15304902563691059</v>
      </c>
    </row>
    <row r="344" spans="2:15" x14ac:dyDescent="0.15">
      <c r="B344" s="6">
        <f t="shared" ca="1" si="47"/>
        <v>-1.2712294943088422</v>
      </c>
      <c r="C344" s="6">
        <f t="shared" ca="1" si="47"/>
        <v>-0.75647070663808247</v>
      </c>
      <c r="D344" s="6">
        <f t="shared" ca="1" si="47"/>
        <v>-0.39788426167184321</v>
      </c>
      <c r="E344" s="8">
        <f t="shared" ca="1" si="48"/>
        <v>-2.8943860541759982E-2</v>
      </c>
      <c r="F344" s="8">
        <f t="shared" ca="1" si="49"/>
        <v>-6.4544497462892148E-2</v>
      </c>
      <c r="G344" s="8">
        <f t="shared" ca="1" si="50"/>
        <v>-5.3137599441510336E-2</v>
      </c>
      <c r="H344" s="10">
        <f t="shared" ca="1" si="51"/>
        <v>3899.7614560642919</v>
      </c>
      <c r="I344" s="10">
        <f t="shared" ca="1" si="52"/>
        <v>508.88779338018668</v>
      </c>
      <c r="J344" s="10">
        <f t="shared" ca="1" si="53"/>
        <v>2117.184327648783</v>
      </c>
      <c r="K344" s="12">
        <f t="array" aca="1" ref="K344:L344" ca="1">Opt3Spd(H344:J344,$E$3:$G$3,$K$3:$M$3,$N$3:$P$3,$H$3,$I$3,$Q$3,$J$3)</f>
        <v>201.97454265834995</v>
      </c>
      <c r="L344" s="12">
        <f ca="1"/>
        <v>2.571982674840001E-2</v>
      </c>
      <c r="M344" s="12">
        <f t="array" aca="1" ref="M344:N344" ca="1">Opt3Spd(H344:J344,$E$3:$G$3,$K$3:$M$3,$N$3:$P$3,$H$4,$I$3,$Q$3,$J$3)</f>
        <v>7.9738005688460234E-2</v>
      </c>
      <c r="N344" s="12">
        <f ca="1"/>
        <v>198.13091517408691</v>
      </c>
      <c r="O344" s="12">
        <f t="shared" ca="1" si="54"/>
        <v>0.10545783243686024</v>
      </c>
    </row>
    <row r="345" spans="2:15" x14ac:dyDescent="0.15">
      <c r="B345" s="6">
        <f t="shared" ca="1" si="47"/>
        <v>0.12454467214684914</v>
      </c>
      <c r="C345" s="6">
        <f t="shared" ca="1" si="47"/>
        <v>1.7232443369841679</v>
      </c>
      <c r="D345" s="6">
        <f t="shared" ca="1" si="47"/>
        <v>0.85606292546108531</v>
      </c>
      <c r="E345" s="8">
        <f t="shared" ca="1" si="48"/>
        <v>2.8356828078454272E-3</v>
      </c>
      <c r="F345" s="8">
        <f t="shared" ca="1" si="49"/>
        <v>4.4234597391735887E-2</v>
      </c>
      <c r="G345" s="8">
        <f t="shared" ca="1" si="50"/>
        <v>1.8697781763353981E-2</v>
      </c>
      <c r="H345" s="10">
        <f t="shared" ca="1" si="51"/>
        <v>4027.3881021563075</v>
      </c>
      <c r="I345" s="10">
        <f t="shared" ca="1" si="52"/>
        <v>568.06362098110435</v>
      </c>
      <c r="J345" s="10">
        <f t="shared" ca="1" si="53"/>
        <v>2277.8082400228595</v>
      </c>
      <c r="K345" s="12">
        <f t="array" aca="1" ref="K345:L345" ca="1">Opt3Spd(H345:J345,$E$3:$G$3,$K$3:$M$3,$N$3:$P$3,$H$3,$I$3,$Q$3,$J$3)</f>
        <v>154.85475110717653</v>
      </c>
      <c r="L345" s="12">
        <f ca="1"/>
        <v>0.27256253206587644</v>
      </c>
      <c r="M345" s="12">
        <f t="array" aca="1" ref="M345:N345" ca="1">Opt3Spd(H345:J345,$E$3:$G$3,$K$3:$M$3,$N$3:$P$3,$H$4,$I$3,$Q$3,$J$3)</f>
        <v>8.9501857633802473E-3</v>
      </c>
      <c r="N345" s="12">
        <f ca="1"/>
        <v>245.42676161065273</v>
      </c>
      <c r="O345" s="12">
        <f t="shared" ca="1" si="54"/>
        <v>0.28151271782925669</v>
      </c>
    </row>
    <row r="346" spans="2:15" x14ac:dyDescent="0.15">
      <c r="B346" s="6">
        <f t="shared" ca="1" si="47"/>
        <v>1.3831041420453012</v>
      </c>
      <c r="C346" s="6">
        <f t="shared" ca="1" si="47"/>
        <v>-0.71338485079886849</v>
      </c>
      <c r="D346" s="6">
        <f t="shared" ca="1" si="47"/>
        <v>-5.0957172899682851E-2</v>
      </c>
      <c r="E346" s="8">
        <f t="shared" ca="1" si="48"/>
        <v>3.1491067176548704E-2</v>
      </c>
      <c r="F346" s="8">
        <f t="shared" ca="1" si="49"/>
        <v>3.4904551351211718E-2</v>
      </c>
      <c r="G346" s="8">
        <f t="shared" ca="1" si="50"/>
        <v>4.819921195867468E-2</v>
      </c>
      <c r="H346" s="10">
        <f t="shared" ca="1" si="51"/>
        <v>4142.4681257810198</v>
      </c>
      <c r="I346" s="10">
        <f t="shared" ca="1" si="52"/>
        <v>562.9880759350591</v>
      </c>
      <c r="J346" s="10">
        <f t="shared" ca="1" si="53"/>
        <v>2343.7734379395965</v>
      </c>
      <c r="K346" s="12">
        <f t="array" aca="1" ref="K346:L346" ca="1">Opt3Spd(H346:J346,$E$3:$G$3,$K$3:$M$3,$N$3:$P$3,$H$3,$I$3,$Q$3,$J$3)</f>
        <v>244.8041506414354</v>
      </c>
      <c r="L346" s="12">
        <f ca="1"/>
        <v>3.6653263084645005E-3</v>
      </c>
      <c r="M346" s="12">
        <f t="array" aca="1" ref="M346:N346" ca="1">Opt3Spd(H346:J346,$E$3:$G$3,$K$3:$M$3,$N$3:$P$3,$H$4,$I$3,$Q$3,$J$3)</f>
        <v>0.55906665077313988</v>
      </c>
      <c r="N346" s="12">
        <f ca="1"/>
        <v>155.7585813356462</v>
      </c>
      <c r="O346" s="12">
        <f t="shared" ca="1" si="54"/>
        <v>0.56273197708160438</v>
      </c>
    </row>
    <row r="347" spans="2:15" x14ac:dyDescent="0.15">
      <c r="B347" s="6">
        <f t="shared" ca="1" si="47"/>
        <v>-0.23409653189354743</v>
      </c>
      <c r="C347" s="6">
        <f t="shared" ca="1" si="47"/>
        <v>-0.25236266196006452</v>
      </c>
      <c r="D347" s="6">
        <f t="shared" ca="1" si="47"/>
        <v>-1.3684595010691281</v>
      </c>
      <c r="E347" s="8">
        <f t="shared" ca="1" si="48"/>
        <v>-5.3300032785349892E-3</v>
      </c>
      <c r="F347" s="8">
        <f t="shared" ca="1" si="49"/>
        <v>-1.4484902003176547E-2</v>
      </c>
      <c r="G347" s="8">
        <f t="shared" ca="1" si="50"/>
        <v>-2.3911200829702429E-2</v>
      </c>
      <c r="H347" s="10">
        <f t="shared" ca="1" si="51"/>
        <v>3994.5947068334035</v>
      </c>
      <c r="I347" s="10">
        <f t="shared" ca="1" si="52"/>
        <v>536.12021331027199</v>
      </c>
      <c r="J347" s="10">
        <f t="shared" ca="1" si="53"/>
        <v>2182.5345549447852</v>
      </c>
      <c r="K347" s="12">
        <f t="array" aca="1" ref="K347:L347" ca="1">Opt3Spd(H347:J347,$E$3:$G$3,$K$3:$M$3,$N$3:$P$3,$H$3,$I$3,$Q$3,$J$3)</f>
        <v>220.5458360596424</v>
      </c>
      <c r="L347" s="12">
        <f ca="1"/>
        <v>1.074799506659474E-2</v>
      </c>
      <c r="M347" s="12">
        <f t="array" aca="1" ref="M347:N347" ca="1">Opt3Spd(H347:J347,$E$3:$G$3,$K$3:$M$3,$N$3:$P$3,$H$4,$I$3,$Q$3,$J$3)</f>
        <v>0.19163855176345734</v>
      </c>
      <c r="N347" s="12">
        <f ca="1"/>
        <v>179.65655048718764</v>
      </c>
      <c r="O347" s="12">
        <f t="shared" ca="1" si="54"/>
        <v>0.20238654683005208</v>
      </c>
    </row>
    <row r="348" spans="2:15" x14ac:dyDescent="0.15">
      <c r="B348" s="6">
        <f t="shared" ca="1" si="47"/>
        <v>1.2766212272205095</v>
      </c>
      <c r="C348" s="6">
        <f t="shared" ca="1" si="47"/>
        <v>-1.0476661189421446</v>
      </c>
      <c r="D348" s="6">
        <f t="shared" ca="1" si="47"/>
        <v>-2.2384413885842003</v>
      </c>
      <c r="E348" s="8">
        <f t="shared" ca="1" si="48"/>
        <v>2.906662166882034E-2</v>
      </c>
      <c r="F348" s="8">
        <f t="shared" ca="1" si="49"/>
        <v>2.3270101573698691E-2</v>
      </c>
      <c r="G348" s="8">
        <f t="shared" ca="1" si="50"/>
        <v>2.0013405741963853E-2</v>
      </c>
      <c r="H348" s="10">
        <f t="shared" ca="1" si="51"/>
        <v>4132.7315526219818</v>
      </c>
      <c r="I348" s="10">
        <f t="shared" ca="1" si="52"/>
        <v>556.65893525609204</v>
      </c>
      <c r="J348" s="10">
        <f t="shared" ca="1" si="53"/>
        <v>2280.7499752390313</v>
      </c>
      <c r="K348" s="12">
        <f t="array" aca="1" ref="K348:L348" ca="1">Opt3Spd(H348:J348,$E$3:$G$3,$K$3:$M$3,$N$3:$P$3,$H$3,$I$3,$Q$3,$J$3)</f>
        <v>276.70278122838045</v>
      </c>
      <c r="L348" s="12">
        <f ca="1"/>
        <v>5.1263566138004535E-4</v>
      </c>
      <c r="M348" s="12">
        <f t="array" aca="1" ref="M348:N348" ca="1">Opt3Spd(H348:J348,$E$3:$G$3,$K$3:$M$3,$N$3:$P$3,$H$4,$I$3,$Q$3,$J$3)</f>
        <v>1.6372520754413955</v>
      </c>
      <c r="N348" s="12">
        <f ca="1"/>
        <v>124.93498348272233</v>
      </c>
      <c r="O348" s="12">
        <f t="shared" ca="1" si="54"/>
        <v>1.6377647111027755</v>
      </c>
    </row>
    <row r="349" spans="2:15" x14ac:dyDescent="0.15">
      <c r="B349" s="6">
        <f t="shared" ca="1" si="47"/>
        <v>-0.29570093537882947</v>
      </c>
      <c r="C349" s="6">
        <f t="shared" ca="1" si="47"/>
        <v>-1.3101313972992044</v>
      </c>
      <c r="D349" s="6">
        <f t="shared" ca="1" si="47"/>
        <v>1.6913272934764003</v>
      </c>
      <c r="E349" s="8">
        <f t="shared" ca="1" si="48"/>
        <v>-6.732636926683435E-3</v>
      </c>
      <c r="F349" s="8">
        <f t="shared" ca="1" si="49"/>
        <v>-4.1086539518022276E-2</v>
      </c>
      <c r="G349" s="8">
        <f t="shared" ca="1" si="50"/>
        <v>3.3509568247807753E-3</v>
      </c>
      <c r="H349" s="10">
        <f t="shared" ca="1" si="51"/>
        <v>3988.9617301024391</v>
      </c>
      <c r="I349" s="10">
        <f t="shared" ca="1" si="52"/>
        <v>521.64892250219589</v>
      </c>
      <c r="J349" s="10">
        <f t="shared" ca="1" si="53"/>
        <v>2243.4927394602096</v>
      </c>
      <c r="K349" s="12">
        <f t="array" aca="1" ref="K349:L349" ca="1">Opt3Spd(H349:J349,$E$3:$G$3,$K$3:$M$3,$N$3:$P$3,$H$3,$I$3,$Q$3,$J$3)</f>
        <v>207.59944957000289</v>
      </c>
      <c r="L349" s="12">
        <f ca="1"/>
        <v>2.2365201182083183E-2</v>
      </c>
      <c r="M349" s="12">
        <f t="array" aca="1" ref="M349:N349" ca="1">Opt3Spd(H349:J349,$E$3:$G$3,$K$3:$M$3,$N$3:$P$3,$H$4,$I$3,$Q$3,$J$3)</f>
        <v>0.11416357877940619</v>
      </c>
      <c r="N349" s="12">
        <f ca="1"/>
        <v>192.53707920995859</v>
      </c>
      <c r="O349" s="12">
        <f t="shared" ca="1" si="54"/>
        <v>0.13652877996148938</v>
      </c>
    </row>
    <row r="350" spans="2:15" x14ac:dyDescent="0.15">
      <c r="B350" s="6">
        <f t="shared" ca="1" si="47"/>
        <v>0.67784668125880487</v>
      </c>
      <c r="C350" s="6">
        <f t="shared" ca="1" si="47"/>
        <v>0.96310635216544505</v>
      </c>
      <c r="D350" s="6">
        <f t="shared" ca="1" si="47"/>
        <v>0.55601201243178888</v>
      </c>
      <c r="E350" s="8">
        <f t="shared" ca="1" si="48"/>
        <v>1.5433483803580762E-2</v>
      </c>
      <c r="F350" s="8">
        <f t="shared" ca="1" si="49"/>
        <v>4.7284084969772912E-2</v>
      </c>
      <c r="G350" s="8">
        <f t="shared" ca="1" si="50"/>
        <v>3.3622080651811326E-2</v>
      </c>
      <c r="H350" s="10">
        <f t="shared" ca="1" si="51"/>
        <v>4077.9808709551803</v>
      </c>
      <c r="I350" s="10">
        <f t="shared" ca="1" si="52"/>
        <v>569.7225422235565</v>
      </c>
      <c r="J350" s="10">
        <f t="shared" ca="1" si="53"/>
        <v>2311.17897233745</v>
      </c>
      <c r="K350" s="12">
        <f t="array" aca="1" ref="K350:L350" ca="1">Opt3Spd(H350:J350,$E$3:$G$3,$K$3:$M$3,$N$3:$P$3,$H$3,$I$3,$Q$3,$J$3)</f>
        <v>185.90658597486208</v>
      </c>
      <c r="L350" s="12">
        <f ca="1"/>
        <v>7.1268746097075564E-2</v>
      </c>
      <c r="M350" s="12">
        <f t="array" aca="1" ref="M350:N350" ca="1">Opt3Spd(H350:J350,$E$3:$G$3,$K$3:$M$3,$N$3:$P$3,$H$4,$I$3,$Q$3,$J$3)</f>
        <v>4.5357240536990417E-2</v>
      </c>
      <c r="N350" s="12">
        <f ca="1"/>
        <v>214.21004001177198</v>
      </c>
      <c r="O350" s="12">
        <f t="shared" ca="1" si="54"/>
        <v>0.11662598663406598</v>
      </c>
    </row>
    <row r="351" spans="2:15" x14ac:dyDescent="0.15">
      <c r="B351" s="6">
        <f t="shared" ca="1" si="47"/>
        <v>-0.9866013664703831</v>
      </c>
      <c r="C351" s="6">
        <f t="shared" ca="1" si="47"/>
        <v>0.55751280974898565</v>
      </c>
      <c r="D351" s="6">
        <f t="shared" ca="1" si="47"/>
        <v>-0.47200930405522962</v>
      </c>
      <c r="E351" s="8">
        <f t="shared" ca="1" si="48"/>
        <v>-2.2463333716902401E-2</v>
      </c>
      <c r="F351" s="8">
        <f t="shared" ca="1" si="49"/>
        <v>-2.3780132890523518E-2</v>
      </c>
      <c r="G351" s="8">
        <f t="shared" ca="1" si="50"/>
        <v>-3.9656027098808153E-2</v>
      </c>
      <c r="H351" s="10">
        <f t="shared" ca="1" si="51"/>
        <v>3925.78725179292</v>
      </c>
      <c r="I351" s="10">
        <f t="shared" ca="1" si="52"/>
        <v>531.06360770755521</v>
      </c>
      <c r="J351" s="10">
        <f t="shared" ca="1" si="53"/>
        <v>2147.3291234070653</v>
      </c>
      <c r="K351" s="12">
        <f t="array" aca="1" ref="K351:L351" ca="1">Opt3Spd(H351:J351,$E$3:$G$3,$K$3:$M$3,$N$3:$P$3,$H$3,$I$3,$Q$3,$J$3)</f>
        <v>177.50872546044911</v>
      </c>
      <c r="L351" s="12">
        <f ca="1"/>
        <v>8.7807703150019734E-2</v>
      </c>
      <c r="M351" s="12">
        <f t="array" aca="1" ref="M351:N351" ca="1">Opt3Spd(H351:J351,$E$3:$G$3,$K$3:$M$3,$N$3:$P$3,$H$4,$I$3,$Q$3,$J$3)</f>
        <v>2.5043341944371633E-2</v>
      </c>
      <c r="N351" s="12">
        <f ca="1"/>
        <v>222.60412558464529</v>
      </c>
      <c r="O351" s="12">
        <f t="shared" ca="1" si="54"/>
        <v>0.11285104509439137</v>
      </c>
    </row>
    <row r="352" spans="2:15" x14ac:dyDescent="0.15">
      <c r="B352" s="6">
        <f t="shared" ca="1" si="47"/>
        <v>-0.25095811505672477</v>
      </c>
      <c r="C352" s="6">
        <f t="shared" ca="1" si="47"/>
        <v>-1.089355465195706</v>
      </c>
      <c r="D352" s="6">
        <f t="shared" ca="1" si="47"/>
        <v>-0.55619510279513984</v>
      </c>
      <c r="E352" s="8">
        <f t="shared" ca="1" si="48"/>
        <v>-5.7139145343492953E-3</v>
      </c>
      <c r="F352" s="8">
        <f t="shared" ca="1" si="49"/>
        <v>-3.4351564073731668E-2</v>
      </c>
      <c r="G352" s="8">
        <f t="shared" ca="1" si="50"/>
        <v>-1.8307336915505866E-2</v>
      </c>
      <c r="H352" s="10">
        <f t="shared" ca="1" si="51"/>
        <v>3993.0529192300532</v>
      </c>
      <c r="I352" s="10">
        <f t="shared" ca="1" si="52"/>
        <v>525.31274914388996</v>
      </c>
      <c r="J352" s="10">
        <f t="shared" ca="1" si="53"/>
        <v>2195.0647946569288</v>
      </c>
      <c r="K352" s="12">
        <f t="array" aca="1" ref="K352:L352" ca="1">Opt3Spd(H352:J352,$E$3:$G$3,$K$3:$M$3,$N$3:$P$3,$H$3,$I$3,$Q$3,$J$3)</f>
        <v>230.02662937089394</v>
      </c>
      <c r="L352" s="12">
        <f ca="1"/>
        <v>6.5060995291332802E-3</v>
      </c>
      <c r="M352" s="12">
        <f t="array" aca="1" ref="M352:N352" ca="1">Opt3Spd(H352:J352,$E$3:$G$3,$K$3:$M$3,$N$3:$P$3,$H$4,$I$3,$Q$3,$J$3)</f>
        <v>0.28585453023764984</v>
      </c>
      <c r="N352" s="12">
        <f ca="1"/>
        <v>170.26573125887285</v>
      </c>
      <c r="O352" s="12">
        <f t="shared" ca="1" si="54"/>
        <v>0.29236062976678312</v>
      </c>
    </row>
    <row r="353" spans="2:15" x14ac:dyDescent="0.15">
      <c r="B353" s="6">
        <f t="shared" ca="1" si="47"/>
        <v>0.7312153611927108</v>
      </c>
      <c r="C353" s="6">
        <f t="shared" ca="1" si="47"/>
        <v>-0.40866924029524399</v>
      </c>
      <c r="D353" s="6">
        <f t="shared" ca="1" si="47"/>
        <v>-0.89151202429909027</v>
      </c>
      <c r="E353" s="8">
        <f t="shared" ca="1" si="48"/>
        <v>1.6648603210595966E-2</v>
      </c>
      <c r="F353" s="8">
        <f t="shared" ca="1" si="49"/>
        <v>1.7728657742247272E-2</v>
      </c>
      <c r="G353" s="8">
        <f t="shared" ca="1" si="50"/>
        <v>1.6179982272261719E-2</v>
      </c>
      <c r="H353" s="10">
        <f t="shared" ca="1" si="51"/>
        <v>4082.860790493753</v>
      </c>
      <c r="I353" s="10">
        <f t="shared" ca="1" si="52"/>
        <v>553.6443898117825</v>
      </c>
      <c r="J353" s="10">
        <f t="shared" ca="1" si="53"/>
        <v>2272.1784403607771</v>
      </c>
      <c r="K353" s="12">
        <f t="array" aca="1" ref="K353:L353" ca="1">Opt3Spd(H353:J353,$E$3:$G$3,$K$3:$M$3,$N$3:$P$3,$H$3,$I$3,$Q$3,$J$3)</f>
        <v>235.9458934825218</v>
      </c>
      <c r="L353" s="12">
        <f ca="1"/>
        <v>5.3468680096102617E-3</v>
      </c>
      <c r="M353" s="12">
        <f t="array" aca="1" ref="M353:N353" ca="1">Opt3Spd(H353:J353,$E$3:$G$3,$K$3:$M$3,$N$3:$P$3,$H$4,$I$3,$Q$3,$J$3)</f>
        <v>0.38177070413400926</v>
      </c>
      <c r="N353" s="12">
        <f ca="1"/>
        <v>164.44122408962181</v>
      </c>
      <c r="O353" s="12">
        <f t="shared" ca="1" si="54"/>
        <v>0.38711757214361953</v>
      </c>
    </row>
    <row r="354" spans="2:15" x14ac:dyDescent="0.15">
      <c r="B354" s="6">
        <f t="shared" ca="1" si="47"/>
        <v>-0.68154264007822085</v>
      </c>
      <c r="C354" s="6">
        <f t="shared" ca="1" si="47"/>
        <v>-0.35886611026784909</v>
      </c>
      <c r="D354" s="6">
        <f t="shared" ca="1" si="47"/>
        <v>-0.51961212704818482</v>
      </c>
      <c r="E354" s="8">
        <f t="shared" ca="1" si="48"/>
        <v>-1.5517634869235061E-2</v>
      </c>
      <c r="F354" s="8">
        <f t="shared" ca="1" si="49"/>
        <v>-3.3530606018098312E-2</v>
      </c>
      <c r="G354" s="8">
        <f t="shared" ca="1" si="50"/>
        <v>-3.1616002376053165E-2</v>
      </c>
      <c r="H354" s="10">
        <f t="shared" ca="1" si="51"/>
        <v>3953.6811783651519</v>
      </c>
      <c r="I354" s="10">
        <f t="shared" ca="1" si="52"/>
        <v>525.7593503261545</v>
      </c>
      <c r="J354" s="10">
        <f t="shared" ca="1" si="53"/>
        <v>2165.3066186871451</v>
      </c>
      <c r="K354" s="12">
        <f t="array" aca="1" ref="K354:L354" ca="1">Opt3Spd(H354:J354,$E$3:$G$3,$K$3:$M$3,$N$3:$P$3,$H$3,$I$3,$Q$3,$J$3)</f>
        <v>204.8365485848708</v>
      </c>
      <c r="L354" s="12">
        <f ca="1"/>
        <v>2.3640085138822542E-2</v>
      </c>
      <c r="M354" s="12">
        <f t="array" aca="1" ref="M354:N354" ca="1">Opt3Spd(H354:J354,$E$3:$G$3,$K$3:$M$3,$N$3:$P$3,$H$4,$I$3,$Q$3,$J$3)</f>
        <v>9.4789388794881191E-2</v>
      </c>
      <c r="N354" s="12">
        <f ca="1"/>
        <v>195.2818808890629</v>
      </c>
      <c r="O354" s="12">
        <f t="shared" ca="1" si="54"/>
        <v>0.11842947393370373</v>
      </c>
    </row>
    <row r="355" spans="2:15" x14ac:dyDescent="0.15">
      <c r="B355" s="6">
        <f t="shared" ca="1" si="47"/>
        <v>1.9859774734692006</v>
      </c>
      <c r="C355" s="6">
        <f t="shared" ca="1" si="47"/>
        <v>1.0767585871257543</v>
      </c>
      <c r="D355" s="6">
        <f t="shared" ca="1" si="47"/>
        <v>-0.22864092356345378</v>
      </c>
      <c r="E355" s="8">
        <f t="shared" ca="1" si="48"/>
        <v>4.5217527825234916E-2</v>
      </c>
      <c r="F355" s="8">
        <f t="shared" ca="1" si="49"/>
        <v>9.8419950764855865E-2</v>
      </c>
      <c r="G355" s="8">
        <f t="shared" ca="1" si="50"/>
        <v>7.3651657386477651E-2</v>
      </c>
      <c r="H355" s="10">
        <f t="shared" ca="1" si="51"/>
        <v>4197.5935917461438</v>
      </c>
      <c r="I355" s="10">
        <f t="shared" ca="1" si="52"/>
        <v>597.54045321608157</v>
      </c>
      <c r="J355" s="10">
        <f t="shared" ca="1" si="53"/>
        <v>2400.685105916164</v>
      </c>
      <c r="K355" s="12">
        <f t="array" aca="1" ref="K355:L355" ca="1">Opt3Spd(H355:J355,$E$3:$G$3,$K$3:$M$3,$N$3:$P$3,$H$3,$I$3,$Q$3,$J$3)</f>
        <v>216.20506239837664</v>
      </c>
      <c r="L355" s="12">
        <f ca="1"/>
        <v>1.8748756045170012E-2</v>
      </c>
      <c r="M355" s="12">
        <f t="array" aca="1" ref="M355:N355" ca="1">Opt3Spd(H355:J355,$E$3:$G$3,$K$3:$M$3,$N$3:$P$3,$H$4,$I$3,$Q$3,$J$3)</f>
        <v>0.19151634448115828</v>
      </c>
      <c r="N355" s="12">
        <f ca="1"/>
        <v>184.00520270214969</v>
      </c>
      <c r="O355" s="12">
        <f t="shared" ca="1" si="54"/>
        <v>0.2102651005263283</v>
      </c>
    </row>
    <row r="356" spans="2:15" x14ac:dyDescent="0.15">
      <c r="B356" s="6">
        <f t="shared" ca="1" si="47"/>
        <v>7.4940628356720551E-2</v>
      </c>
      <c r="C356" s="6">
        <f t="shared" ca="1" si="47"/>
        <v>0.30676260393360522</v>
      </c>
      <c r="D356" s="6">
        <f t="shared" ca="1" si="47"/>
        <v>-1.5247124512454358</v>
      </c>
      <c r="E356" s="8">
        <f t="shared" ca="1" si="48"/>
        <v>1.7062781392183563E-3</v>
      </c>
      <c r="F356" s="8">
        <f t="shared" ca="1" si="49"/>
        <v>9.8318227066205247E-3</v>
      </c>
      <c r="G356" s="8">
        <f t="shared" ca="1" si="50"/>
        <v>-1.2599124927024349E-2</v>
      </c>
      <c r="H356" s="10">
        <f t="shared" ca="1" si="51"/>
        <v>4022.8524130071009</v>
      </c>
      <c r="I356" s="10">
        <f t="shared" ca="1" si="52"/>
        <v>549.34851155240153</v>
      </c>
      <c r="J356" s="10">
        <f t="shared" ca="1" si="53"/>
        <v>2207.8283566631735</v>
      </c>
      <c r="K356" s="12">
        <f t="array" aca="1" ref="K356:L356" ca="1">Opt3Spd(H356:J356,$E$3:$G$3,$K$3:$M$3,$N$3:$P$3,$H$3,$I$3,$Q$3,$J$3)</f>
        <v>214.99561261868075</v>
      </c>
      <c r="L356" s="12">
        <f ca="1"/>
        <v>1.4996427009009494E-2</v>
      </c>
      <c r="M356" s="12">
        <f t="array" aca="1" ref="M356:N356" ca="1">Opt3Spd(H356:J356,$E$3:$G$3,$K$3:$M$3,$N$3:$P$3,$H$4,$I$3,$Q$3,$J$3)</f>
        <v>0.15449609711804158</v>
      </c>
      <c r="N356" s="12">
        <f ca="1"/>
        <v>185.17387990544631</v>
      </c>
      <c r="O356" s="12">
        <f t="shared" ca="1" si="54"/>
        <v>0.16949252412705107</v>
      </c>
    </row>
    <row r="357" spans="2:15" x14ac:dyDescent="0.15">
      <c r="B357" s="6">
        <f t="shared" ca="1" si="47"/>
        <v>-0.91195413830936567</v>
      </c>
      <c r="C357" s="6">
        <f t="shared" ca="1" si="47"/>
        <v>0.58543720643221053</v>
      </c>
      <c r="D357" s="6">
        <f t="shared" ca="1" si="47"/>
        <v>0.21685265601996959</v>
      </c>
      <c r="E357" s="8">
        <f t="shared" ca="1" si="48"/>
        <v>-2.0763735830451442E-2</v>
      </c>
      <c r="F357" s="8">
        <f t="shared" ca="1" si="49"/>
        <v>-2.0369264754351E-2</v>
      </c>
      <c r="G357" s="8">
        <f t="shared" ca="1" si="50"/>
        <v>-2.9494061698933281E-2</v>
      </c>
      <c r="H357" s="10">
        <f t="shared" ca="1" si="51"/>
        <v>3932.612836904907</v>
      </c>
      <c r="I357" s="10">
        <f t="shared" ca="1" si="52"/>
        <v>532.91911997363309</v>
      </c>
      <c r="J357" s="10">
        <f t="shared" ca="1" si="53"/>
        <v>2170.051278041185</v>
      </c>
      <c r="K357" s="12">
        <f t="array" aca="1" ref="K357:L357" ca="1">Opt3Spd(H357:J357,$E$3:$G$3,$K$3:$M$3,$N$3:$P$3,$H$3,$I$3,$Q$3,$J$3)</f>
        <v>170.04278702949887</v>
      </c>
      <c r="L357" s="12">
        <f ca="1"/>
        <v>0.12618110299740692</v>
      </c>
      <c r="M357" s="12">
        <f t="array" aca="1" ref="M357:N357" ca="1">Opt3Spd(H357:J357,$E$3:$G$3,$K$3:$M$3,$N$3:$P$3,$H$4,$I$3,$Q$3,$J$3)</f>
        <v>1.7449581300179151E-2</v>
      </c>
      <c r="N357" s="12">
        <f ca="1"/>
        <v>230.10084365479872</v>
      </c>
      <c r="O357" s="12">
        <f t="shared" ca="1" si="54"/>
        <v>0.14363068429758608</v>
      </c>
    </row>
    <row r="358" spans="2:15" x14ac:dyDescent="0.15">
      <c r="B358" s="6">
        <f t="shared" ca="1" si="47"/>
        <v>-0.28803525666403135</v>
      </c>
      <c r="C358" s="6">
        <f t="shared" ca="1" si="47"/>
        <v>-0.88096103109214152</v>
      </c>
      <c r="D358" s="6">
        <f t="shared" ca="1" si="47"/>
        <v>1.3431234312931997</v>
      </c>
      <c r="E358" s="8">
        <f t="shared" ca="1" si="48"/>
        <v>-6.558101693924628E-3</v>
      </c>
      <c r="F358" s="8">
        <f t="shared" ca="1" si="49"/>
        <v>-3.0936210805583772E-2</v>
      </c>
      <c r="G358" s="8">
        <f t="shared" ca="1" si="50"/>
        <v>1.1690157972628625E-3</v>
      </c>
      <c r="H358" s="10">
        <f t="shared" ca="1" si="51"/>
        <v>3989.6626635971984</v>
      </c>
      <c r="I358" s="10">
        <f t="shared" ca="1" si="52"/>
        <v>527.17070132176241</v>
      </c>
      <c r="J358" s="10">
        <f t="shared" ca="1" si="53"/>
        <v>2238.6139193226795</v>
      </c>
      <c r="K358" s="12">
        <f t="array" aca="1" ref="K358:L358" ca="1">Opt3Spd(H358:J358,$E$3:$G$3,$K$3:$M$3,$N$3:$P$3,$H$3,$I$3,$Q$3,$J$3)</f>
        <v>201.91225697709001</v>
      </c>
      <c r="L358" s="12">
        <f ca="1"/>
        <v>2.9675156051325757E-2</v>
      </c>
      <c r="M358" s="12">
        <f t="array" aca="1" ref="M358:N358" ca="1">Opt3Spd(H358:J358,$E$3:$G$3,$K$3:$M$3,$N$3:$P$3,$H$4,$I$3,$Q$3,$J$3)</f>
        <v>8.8171998432024168E-2</v>
      </c>
      <c r="N358" s="12">
        <f ca="1"/>
        <v>198.20559017739333</v>
      </c>
      <c r="O358" s="12">
        <f t="shared" ca="1" si="54"/>
        <v>0.11784715448334993</v>
      </c>
    </row>
    <row r="359" spans="2:15" x14ac:dyDescent="0.15">
      <c r="B359" s="6">
        <f t="shared" ca="1" si="47"/>
        <v>-2.2828051078628162</v>
      </c>
      <c r="C359" s="6">
        <f t="shared" ca="1" si="47"/>
        <v>1.1171121524727681</v>
      </c>
      <c r="D359" s="6">
        <f t="shared" ca="1" si="47"/>
        <v>-1.9476454263470504</v>
      </c>
      <c r="E359" s="8">
        <f t="shared" ca="1" si="48"/>
        <v>-5.1975817884812536E-2</v>
      </c>
      <c r="F359" s="8">
        <f t="shared" ca="1" si="49"/>
        <v>-5.8996540466857809E-2</v>
      </c>
      <c r="G359" s="8">
        <f t="shared" ca="1" si="50"/>
        <v>-0.10137197589592542</v>
      </c>
      <c r="H359" s="10">
        <f t="shared" ca="1" si="51"/>
        <v>3807.2651153745928</v>
      </c>
      <c r="I359" s="10">
        <f t="shared" ca="1" si="52"/>
        <v>511.90588198602939</v>
      </c>
      <c r="J359" s="10">
        <f t="shared" ca="1" si="53"/>
        <v>2009.3322618967109</v>
      </c>
      <c r="K359" s="12">
        <f t="array" aca="1" ref="K359:L359" ca="1">Opt3Spd(H359:J359,$E$3:$G$3,$K$3:$M$3,$N$3:$P$3,$H$3,$I$3,$Q$3,$J$3)</f>
        <v>158.73159960037469</v>
      </c>
      <c r="L359" s="12">
        <f ca="1"/>
        <v>0.18202635178431592</v>
      </c>
      <c r="M359" s="12">
        <f t="array" aca="1" ref="M359:N359" ca="1">Opt3Spd(H359:J359,$E$3:$G$3,$K$3:$M$3,$N$3:$P$3,$H$4,$I$3,$Q$3,$J$3)</f>
        <v>7.7978143747750028E-3</v>
      </c>
      <c r="N359" s="12">
        <f ca="1"/>
        <v>241.45822456578441</v>
      </c>
      <c r="O359" s="12">
        <f t="shared" ca="1" si="54"/>
        <v>0.18982416615909092</v>
      </c>
    </row>
    <row r="360" spans="2:15" x14ac:dyDescent="0.15">
      <c r="B360" s="6">
        <f t="shared" ca="1" si="47"/>
        <v>-0.91137146732090502</v>
      </c>
      <c r="C360" s="6">
        <f t="shared" ca="1" si="47"/>
        <v>-0.15192438075702622</v>
      </c>
      <c r="D360" s="6">
        <f t="shared" ca="1" si="47"/>
        <v>-0.1015961014392302</v>
      </c>
      <c r="E360" s="8">
        <f t="shared" ca="1" si="48"/>
        <v>-2.0750469344811173E-2</v>
      </c>
      <c r="F360" s="8">
        <f t="shared" ca="1" si="49"/>
        <v>-3.7298486164286652E-2</v>
      </c>
      <c r="G360" s="8">
        <f t="shared" ca="1" si="50"/>
        <v>-3.5005646468506582E-2</v>
      </c>
      <c r="H360" s="10">
        <f t="shared" ca="1" si="51"/>
        <v>3932.6661151112385</v>
      </c>
      <c r="I360" s="10">
        <f t="shared" ca="1" si="52"/>
        <v>523.70962352662809</v>
      </c>
      <c r="J360" s="10">
        <f t="shared" ca="1" si="53"/>
        <v>2157.7273744964191</v>
      </c>
      <c r="K360" s="12">
        <f t="array" aca="1" ref="K360:L360" ca="1">Opt3Spd(H360:J360,$E$3:$G$3,$K$3:$M$3,$N$3:$P$3,$H$3,$I$3,$Q$3,$J$3)</f>
        <v>190.91376949523419</v>
      </c>
      <c r="L360" s="12">
        <f ca="1"/>
        <v>4.6739274810306597E-2</v>
      </c>
      <c r="M360" s="12">
        <f t="array" aca="1" ref="M360:N360" ca="1">Opt3Spd(H360:J360,$E$3:$G$3,$K$3:$M$3,$N$3:$P$3,$H$4,$I$3,$Q$3,$J$3)</f>
        <v>4.9072886986619046E-2</v>
      </c>
      <c r="N360" s="12">
        <f ca="1"/>
        <v>209.18204266656272</v>
      </c>
      <c r="O360" s="12">
        <f t="shared" ca="1" si="54"/>
        <v>9.5812161796925643E-2</v>
      </c>
    </row>
    <row r="361" spans="2:15" x14ac:dyDescent="0.15">
      <c r="B361" s="6">
        <f t="shared" ca="1" si="47"/>
        <v>4.1428889273750824E-2</v>
      </c>
      <c r="C361" s="6">
        <f t="shared" ca="1" si="47"/>
        <v>-1.2357473722060366</v>
      </c>
      <c r="D361" s="6">
        <f t="shared" ca="1" si="47"/>
        <v>1.0555416326343205</v>
      </c>
      <c r="E361" s="8">
        <f t="shared" ca="1" si="48"/>
        <v>9.4326948745899564E-4</v>
      </c>
      <c r="F361" s="8">
        <f t="shared" ca="1" si="49"/>
        <v>-2.687123170475534E-2</v>
      </c>
      <c r="G361" s="8">
        <f t="shared" ca="1" si="50"/>
        <v>9.1794337781179128E-3</v>
      </c>
      <c r="H361" s="10">
        <f t="shared" ca="1" si="51"/>
        <v>4019.7881702616351</v>
      </c>
      <c r="I361" s="10">
        <f t="shared" ca="1" si="52"/>
        <v>529.3820499526131</v>
      </c>
      <c r="J361" s="10">
        <f t="shared" ca="1" si="53"/>
        <v>2256.5252139278718</v>
      </c>
      <c r="K361" s="12">
        <f t="array" aca="1" ref="K361:L361" ca="1">Opt3Spd(H361:J361,$E$3:$G$3,$K$3:$M$3,$N$3:$P$3,$H$3,$I$3,$Q$3,$J$3)</f>
        <v>219.52663846906921</v>
      </c>
      <c r="L361" s="12">
        <f ca="1"/>
        <v>1.2355095551129125E-2</v>
      </c>
      <c r="M361" s="12">
        <f t="array" aca="1" ref="M361:N361" ca="1">Opt3Spd(H361:J361,$E$3:$G$3,$K$3:$M$3,$N$3:$P$3,$H$4,$I$3,$Q$3,$J$3)</f>
        <v>0.19323840984984031</v>
      </c>
      <c r="N361" s="12">
        <f ca="1"/>
        <v>180.67895503633176</v>
      </c>
      <c r="O361" s="12">
        <f t="shared" ca="1" si="54"/>
        <v>0.20559350540096943</v>
      </c>
    </row>
    <row r="362" spans="2:15" x14ac:dyDescent="0.15">
      <c r="B362" s="6">
        <f t="shared" ca="1" si="47"/>
        <v>1.1657567703262317</v>
      </c>
      <c r="C362" s="6">
        <f t="shared" ca="1" si="47"/>
        <v>1.964593486994282</v>
      </c>
      <c r="D362" s="6">
        <f t="shared" ca="1" si="47"/>
        <v>0.72597167521517236</v>
      </c>
      <c r="E362" s="8">
        <f t="shared" ca="1" si="48"/>
        <v>2.654241546234732E-2</v>
      </c>
      <c r="F362" s="8">
        <f t="shared" ca="1" si="49"/>
        <v>8.84050702488101E-2</v>
      </c>
      <c r="G362" s="8">
        <f t="shared" ca="1" si="50"/>
        <v>5.6264981406477108E-2</v>
      </c>
      <c r="H362" s="10">
        <f t="shared" ca="1" si="51"/>
        <v>4122.5943404967866</v>
      </c>
      <c r="I362" s="10">
        <f t="shared" ca="1" si="52"/>
        <v>592.09235821535276</v>
      </c>
      <c r="J362" s="10">
        <f t="shared" ca="1" si="53"/>
        <v>2361.8084984248826</v>
      </c>
      <c r="K362" s="12">
        <f t="array" aca="1" ref="K362:L362" ca="1">Opt3Spd(H362:J362,$E$3:$G$3,$K$3:$M$3,$N$3:$P$3,$H$3,$I$3,$Q$3,$J$3)</f>
        <v>169.50157871155466</v>
      </c>
      <c r="L362" s="12">
        <f ca="1"/>
        <v>0.15926057177398434</v>
      </c>
      <c r="M362" s="12">
        <f t="array" aca="1" ref="M362:N362" ca="1">Opt3Spd(H362:J362,$E$3:$G$3,$K$3:$M$3,$N$3:$P$3,$H$4,$I$3,$Q$3,$J$3)</f>
        <v>2.1685801904663737E-2</v>
      </c>
      <c r="N362" s="12">
        <f ca="1"/>
        <v>230.67936766212398</v>
      </c>
      <c r="O362" s="12">
        <f t="shared" ca="1" si="54"/>
        <v>0.18094637367864808</v>
      </c>
    </row>
    <row r="363" spans="2:15" x14ac:dyDescent="0.15">
      <c r="B363" s="6">
        <f t="shared" ca="1" si="47"/>
        <v>0.490713351265194</v>
      </c>
      <c r="C363" s="6">
        <f t="shared" ca="1" si="47"/>
        <v>-4.0700731370842097E-2</v>
      </c>
      <c r="D363" s="6">
        <f t="shared" ca="1" si="47"/>
        <v>0.18408466348879582</v>
      </c>
      <c r="E363" s="8">
        <f t="shared" ca="1" si="48"/>
        <v>1.1172757451416429E-2</v>
      </c>
      <c r="F363" s="8">
        <f t="shared" ca="1" si="49"/>
        <v>1.7266635368553808E-2</v>
      </c>
      <c r="G363" s="8">
        <f t="shared" ca="1" si="50"/>
        <v>1.9870921410080952E-2</v>
      </c>
      <c r="H363" s="10">
        <f t="shared" ca="1" si="51"/>
        <v>4060.8697939248882</v>
      </c>
      <c r="I363" s="10">
        <f t="shared" ca="1" si="52"/>
        <v>553.39304964049325</v>
      </c>
      <c r="J363" s="10">
        <f t="shared" ca="1" si="53"/>
        <v>2280.4313802729412</v>
      </c>
      <c r="K363" s="12">
        <f t="array" aca="1" ref="K363:L363" ca="1">Opt3Spd(H363:J363,$E$3:$G$3,$K$3:$M$3,$N$3:$P$3,$H$3,$I$3,$Q$3,$J$3)</f>
        <v>210.24611287189077</v>
      </c>
      <c r="L363" s="12">
        <f ca="1"/>
        <v>2.0888508262260075E-2</v>
      </c>
      <c r="M363" s="12">
        <f t="array" aca="1" ref="M363:N363" ca="1">Opt3Spd(H363:J363,$E$3:$G$3,$K$3:$M$3,$N$3:$P$3,$H$4,$I$3,$Q$3,$J$3)</f>
        <v>0.13305618766855076</v>
      </c>
      <c r="N363" s="12">
        <f ca="1"/>
        <v>189.90783182404004</v>
      </c>
      <c r="O363" s="12">
        <f t="shared" ca="1" si="54"/>
        <v>0.15394469593081084</v>
      </c>
    </row>
    <row r="364" spans="2:15" x14ac:dyDescent="0.15">
      <c r="B364" s="6">
        <f t="shared" ca="1" si="47"/>
        <v>1.0495802369601255</v>
      </c>
      <c r="C364" s="6">
        <f t="shared" ca="1" si="47"/>
        <v>1.6752772479876388</v>
      </c>
      <c r="D364" s="6">
        <f t="shared" ca="1" si="47"/>
        <v>-1.5192146690002057</v>
      </c>
      <c r="E364" s="8">
        <f t="shared" ca="1" si="48"/>
        <v>2.3897261778431322E-2</v>
      </c>
      <c r="F364" s="8">
        <f t="shared" ca="1" si="49"/>
        <v>7.7444728510559724E-2</v>
      </c>
      <c r="G364" s="8">
        <f t="shared" ca="1" si="50"/>
        <v>2.7238875666313209E-2</v>
      </c>
      <c r="H364" s="10">
        <f t="shared" ca="1" si="51"/>
        <v>4111.9714033021801</v>
      </c>
      <c r="I364" s="10">
        <f t="shared" ca="1" si="52"/>
        <v>586.1299323097445</v>
      </c>
      <c r="J364" s="10">
        <f t="shared" ca="1" si="53"/>
        <v>2296.9061259898763</v>
      </c>
      <c r="K364" s="12">
        <f t="array" aca="1" ref="K364:L364" ca="1">Opt3Spd(H364:J364,$E$3:$G$3,$K$3:$M$3,$N$3:$P$3,$H$3,$I$3,$Q$3,$J$3)</f>
        <v>200.74577843012457</v>
      </c>
      <c r="L364" s="12">
        <f ca="1"/>
        <v>3.5329818473655905E-2</v>
      </c>
      <c r="M364" s="12">
        <f t="array" aca="1" ref="M364:N364" ca="1">Opt3Spd(H364:J364,$E$3:$G$3,$K$3:$M$3,$N$3:$P$3,$H$4,$I$3,$Q$3,$J$3)</f>
        <v>9.0023477057593837E-2</v>
      </c>
      <c r="N364" s="12">
        <f ca="1"/>
        <v>199.37957486540668</v>
      </c>
      <c r="O364" s="12">
        <f t="shared" ca="1" si="54"/>
        <v>0.12535329553124974</v>
      </c>
    </row>
    <row r="365" spans="2:15" x14ac:dyDescent="0.15">
      <c r="B365" s="6">
        <f t="shared" ca="1" si="47"/>
        <v>0.64777377565798244</v>
      </c>
      <c r="C365" s="6">
        <f t="shared" ca="1" si="47"/>
        <v>0.86898222612924725</v>
      </c>
      <c r="D365" s="6">
        <f t="shared" ca="1" si="47"/>
        <v>1.5945802274622194</v>
      </c>
      <c r="E365" s="8">
        <f t="shared" ca="1" si="48"/>
        <v>1.4748771885164363E-2</v>
      </c>
      <c r="F365" s="8">
        <f t="shared" ca="1" si="49"/>
        <v>4.4004802935378631E-2</v>
      </c>
      <c r="G365" s="8">
        <f t="shared" ca="1" si="50"/>
        <v>4.3307935076376813E-2</v>
      </c>
      <c r="H365" s="10">
        <f t="shared" ca="1" si="51"/>
        <v>4075.2310678908202</v>
      </c>
      <c r="I365" s="10">
        <f t="shared" ca="1" si="52"/>
        <v>567.93861279684597</v>
      </c>
      <c r="J365" s="10">
        <f t="shared" ca="1" si="53"/>
        <v>2332.8365428307784</v>
      </c>
      <c r="K365" s="12">
        <f t="array" aca="1" ref="K365:L365" ca="1">Opt3Spd(H365:J365,$E$3:$G$3,$K$3:$M$3,$N$3:$P$3,$H$3,$I$3,$Q$3,$J$3)</f>
        <v>175.22896684425291</v>
      </c>
      <c r="L365" s="12">
        <f ca="1"/>
        <v>0.11795084377536114</v>
      </c>
      <c r="M365" s="12">
        <f t="array" aca="1" ref="M365:N365" ca="1">Opt3Spd(H365:J365,$E$3:$G$3,$K$3:$M$3,$N$3:$P$3,$H$4,$I$3,$Q$3,$J$3)</f>
        <v>2.7495522476435941E-2</v>
      </c>
      <c r="N365" s="12">
        <f ca="1"/>
        <v>224.91647952199889</v>
      </c>
      <c r="O365" s="12">
        <f t="shared" ca="1" si="54"/>
        <v>0.14544636625179708</v>
      </c>
    </row>
    <row r="366" spans="2:15" x14ac:dyDescent="0.15">
      <c r="B366" s="6">
        <f t="shared" ca="1" si="47"/>
        <v>-0.34231281063926006</v>
      </c>
      <c r="C366" s="6">
        <f t="shared" ca="1" si="47"/>
        <v>-0.97510912921768078</v>
      </c>
      <c r="D366" s="6">
        <f t="shared" ca="1" si="47"/>
        <v>2.0648821280462331</v>
      </c>
      <c r="E366" s="8">
        <f t="shared" ca="1" si="48"/>
        <v>-7.7939147078926619E-3</v>
      </c>
      <c r="F366" s="8">
        <f t="shared" ca="1" si="49"/>
        <v>-3.5113879457121112E-2</v>
      </c>
      <c r="G366" s="8">
        <f t="shared" ca="1" si="50"/>
        <v>6.5905721868394791E-3</v>
      </c>
      <c r="H366" s="10">
        <f t="shared" ca="1" si="51"/>
        <v>3984.6996385331031</v>
      </c>
      <c r="I366" s="10">
        <f t="shared" ca="1" si="52"/>
        <v>524.89804957532613</v>
      </c>
      <c r="J366" s="10">
        <f t="shared" ca="1" si="53"/>
        <v>2250.7365194097733</v>
      </c>
      <c r="K366" s="12">
        <f t="array" aca="1" ref="K366:L366" ca="1">Opt3Spd(H366:J366,$E$3:$G$3,$K$3:$M$3,$N$3:$P$3,$H$3,$I$3,$Q$3,$J$3)</f>
        <v>194.53758248240092</v>
      </c>
      <c r="L366" s="12">
        <f ca="1"/>
        <v>4.3082974706294408E-2</v>
      </c>
      <c r="M366" s="12">
        <f t="array" aca="1" ref="M366:N366" ca="1">Opt3Spd(H366:J366,$E$3:$G$3,$K$3:$M$3,$N$3:$P$3,$H$4,$I$3,$Q$3,$J$3)</f>
        <v>6.3375625214761477E-2</v>
      </c>
      <c r="N366" s="12">
        <f ca="1"/>
        <v>205.56887611752015</v>
      </c>
      <c r="O366" s="12">
        <f t="shared" ca="1" si="54"/>
        <v>0.10645859992105589</v>
      </c>
    </row>
    <row r="367" spans="2:15" x14ac:dyDescent="0.15">
      <c r="B367" s="6">
        <f t="shared" ca="1" si="47"/>
        <v>0.5341079693272911</v>
      </c>
      <c r="C367" s="6">
        <f t="shared" ca="1" si="47"/>
        <v>0.53496413292742073</v>
      </c>
      <c r="D367" s="6">
        <f t="shared" ca="1" si="47"/>
        <v>-0.75351474055461265</v>
      </c>
      <c r="E367" s="8">
        <f t="shared" ca="1" si="48"/>
        <v>1.2160783436555453E-2</v>
      </c>
      <c r="F367" s="8">
        <f t="shared" ca="1" si="49"/>
        <v>3.2109964446398895E-2</v>
      </c>
      <c r="G367" s="8">
        <f t="shared" ca="1" si="50"/>
        <v>1.314801001769572E-2</v>
      </c>
      <c r="H367" s="10">
        <f t="shared" ca="1" si="51"/>
        <v>4064.8377062812065</v>
      </c>
      <c r="I367" s="10">
        <f t="shared" ca="1" si="52"/>
        <v>561.46782065884099</v>
      </c>
      <c r="J367" s="10">
        <f t="shared" ca="1" si="53"/>
        <v>2265.3989503995676</v>
      </c>
      <c r="K367" s="12">
        <f t="array" aca="1" ref="K367:L367" ca="1">Opt3Spd(H367:J367,$E$3:$G$3,$K$3:$M$3,$N$3:$P$3,$H$3,$I$3,$Q$3,$J$3)</f>
        <v>208.81197179877927</v>
      </c>
      <c r="L367" s="12">
        <f ca="1"/>
        <v>2.2253771502391828E-2</v>
      </c>
      <c r="M367" s="12">
        <f t="array" aca="1" ref="M367:N367" ca="1">Opt3Spd(H367:J367,$E$3:$G$3,$K$3:$M$3,$N$3:$P$3,$H$4,$I$3,$Q$3,$J$3)</f>
        <v>0.12392076230338489</v>
      </c>
      <c r="N367" s="12">
        <f ca="1"/>
        <v>191.33420273502651</v>
      </c>
      <c r="O367" s="12">
        <f t="shared" ca="1" si="54"/>
        <v>0.14617453380577672</v>
      </c>
    </row>
    <row r="368" spans="2:15" x14ac:dyDescent="0.15">
      <c r="B368" s="6">
        <f t="shared" ca="1" si="47"/>
        <v>-0.26783476778792281</v>
      </c>
      <c r="C368" s="6">
        <f t="shared" ca="1" si="47"/>
        <v>-1.4073773219169079</v>
      </c>
      <c r="D368" s="6">
        <f t="shared" ca="1" si="47"/>
        <v>0.73138390736659542</v>
      </c>
      <c r="E368" s="8">
        <f t="shared" ca="1" si="48"/>
        <v>-6.0981689001033627E-3</v>
      </c>
      <c r="F368" s="8">
        <f t="shared" ca="1" si="49"/>
        <v>-4.2288423016404411E-2</v>
      </c>
      <c r="G368" s="8">
        <f t="shared" ca="1" si="50"/>
        <v>-6.133916674382082E-3</v>
      </c>
      <c r="H368" s="10">
        <f t="shared" ca="1" si="51"/>
        <v>3991.5097536971848</v>
      </c>
      <c r="I368" s="10">
        <f t="shared" ca="1" si="52"/>
        <v>520.99509787907596</v>
      </c>
      <c r="J368" s="10">
        <f t="shared" ca="1" si="53"/>
        <v>2222.2845623160815</v>
      </c>
      <c r="K368" s="12">
        <f t="array" aca="1" ref="K368:L368" ca="1">Opt3Spd(H368:J368,$E$3:$G$3,$K$3:$M$3,$N$3:$P$3,$H$3,$I$3,$Q$3,$J$3)</f>
        <v>221.78577932032817</v>
      </c>
      <c r="L368" s="12">
        <f ca="1"/>
        <v>1.0463387705840432E-2</v>
      </c>
      <c r="M368" s="12">
        <f t="array" aca="1" ref="M368:N368" ca="1">Opt3Spd(H368:J368,$E$3:$G$3,$K$3:$M$3,$N$3:$P$3,$H$4,$I$3,$Q$3,$J$3)</f>
        <v>0.20717546129593245</v>
      </c>
      <c r="N368" s="12">
        <f ca="1"/>
        <v>178.43185952867361</v>
      </c>
      <c r="O368" s="12">
        <f t="shared" ca="1" si="54"/>
        <v>0.21763884900177288</v>
      </c>
    </row>
    <row r="369" spans="2:15" x14ac:dyDescent="0.15">
      <c r="B369" s="6">
        <f t="shared" ca="1" si="47"/>
        <v>-0.15367985279954427</v>
      </c>
      <c r="C369" s="6">
        <f t="shared" ca="1" si="47"/>
        <v>-0.17499881239964474</v>
      </c>
      <c r="D369" s="6">
        <f t="shared" ca="1" si="47"/>
        <v>-0.45183391526101052</v>
      </c>
      <c r="E369" s="8">
        <f t="shared" ca="1" si="48"/>
        <v>-3.4990442303469392E-3</v>
      </c>
      <c r="F369" s="8">
        <f t="shared" ca="1" si="49"/>
        <v>-9.7234859207494875E-3</v>
      </c>
      <c r="G369" s="8">
        <f t="shared" ca="1" si="50"/>
        <v>-1.0967375602193333E-2</v>
      </c>
      <c r="H369" s="10">
        <f t="shared" ca="1" si="51"/>
        <v>4001.9478383709265</v>
      </c>
      <c r="I369" s="10">
        <f t="shared" ca="1" si="52"/>
        <v>538.71042365911228</v>
      </c>
      <c r="J369" s="10">
        <f t="shared" ca="1" si="53"/>
        <v>2211.4769481534959</v>
      </c>
      <c r="K369" s="12">
        <f t="array" aca="1" ref="K369:L369" ca="1">Opt3Spd(H369:J369,$E$3:$G$3,$K$3:$M$3,$N$3:$P$3,$H$3,$I$3,$Q$3,$J$3)</f>
        <v>209.29270637978016</v>
      </c>
      <c r="L369" s="12">
        <f ca="1"/>
        <v>2.0019940181100537E-2</v>
      </c>
      <c r="M369" s="12">
        <f t="array" aca="1" ref="M369:N369" ca="1">Opt3Spd(H369:J369,$E$3:$G$3,$K$3:$M$3,$N$3:$P$3,$H$4,$I$3,$Q$3,$J$3)</f>
        <v>0.12041532780570918</v>
      </c>
      <c r="N369" s="12">
        <f ca="1"/>
        <v>190.84772888820666</v>
      </c>
      <c r="O369" s="12">
        <f t="shared" ca="1" si="54"/>
        <v>0.14043526798680972</v>
      </c>
    </row>
    <row r="370" spans="2:15" x14ac:dyDescent="0.15">
      <c r="B370" s="6">
        <f t="shared" ca="1" si="47"/>
        <v>0.44427786811757453</v>
      </c>
      <c r="C370" s="6">
        <f t="shared" ca="1" si="47"/>
        <v>-0.18443982136351</v>
      </c>
      <c r="D370" s="6">
        <f t="shared" ca="1" si="47"/>
        <v>0.42141444525680649</v>
      </c>
      <c r="E370" s="8">
        <f t="shared" ca="1" si="48"/>
        <v>1.0115495836239163E-2</v>
      </c>
      <c r="F370" s="8">
        <f t="shared" ca="1" si="49"/>
        <v>1.2239834330321039E-2</v>
      </c>
      <c r="G370" s="8">
        <f t="shared" ca="1" si="50"/>
        <v>2.0275973949731647E-2</v>
      </c>
      <c r="H370" s="10">
        <f t="shared" ca="1" si="51"/>
        <v>4056.6238312783362</v>
      </c>
      <c r="I370" s="10">
        <f t="shared" ca="1" si="52"/>
        <v>550.65846987569455</v>
      </c>
      <c r="J370" s="10">
        <f t="shared" ca="1" si="53"/>
        <v>2281.3370777515997</v>
      </c>
      <c r="K370" s="12">
        <f t="array" aca="1" ref="K370:L370" ca="1">Opt3Spd(H370:J370,$E$3:$G$3,$K$3:$M$3,$N$3:$P$3,$H$3,$I$3,$Q$3,$J$3)</f>
        <v>209.92294104590042</v>
      </c>
      <c r="L370" s="12">
        <f ca="1"/>
        <v>2.120044447519831E-2</v>
      </c>
      <c r="M370" s="12">
        <f t="array" aca="1" ref="M370:N370" ca="1">Opt3Spd(H370:J370,$E$3:$G$3,$K$3:$M$3,$N$3:$P$3,$H$4,$I$3,$Q$3,$J$3)</f>
        <v>0.13116283995876543</v>
      </c>
      <c r="N370" s="12">
        <f ca="1"/>
        <v>190.22942223853354</v>
      </c>
      <c r="O370" s="12">
        <f t="shared" ca="1" si="54"/>
        <v>0.15236328443396374</v>
      </c>
    </row>
    <row r="371" spans="2:15" x14ac:dyDescent="0.15">
      <c r="B371" s="6">
        <f t="shared" ca="1" si="47"/>
        <v>-5.1319572158032359E-2</v>
      </c>
      <c r="C371" s="6">
        <f t="shared" ca="1" si="47"/>
        <v>0.59641936663765349</v>
      </c>
      <c r="D371" s="6">
        <f t="shared" ca="1" si="47"/>
        <v>-0.24695016718116064</v>
      </c>
      <c r="E371" s="8">
        <f t="shared" ca="1" si="48"/>
        <v>-1.1684645032661633E-3</v>
      </c>
      <c r="F371" s="8">
        <f t="shared" ca="1" si="49"/>
        <v>1.1807161474481673E-2</v>
      </c>
      <c r="G371" s="8">
        <f t="shared" ca="1" si="50"/>
        <v>-2.7847831229386357E-3</v>
      </c>
      <c r="H371" s="10">
        <f t="shared" ca="1" si="51"/>
        <v>4011.3074465548834</v>
      </c>
      <c r="I371" s="10">
        <f t="shared" ca="1" si="52"/>
        <v>550.42309584211807</v>
      </c>
      <c r="J371" s="10">
        <f t="shared" ca="1" si="53"/>
        <v>2229.7732249371093</v>
      </c>
      <c r="K371" s="12">
        <f t="array" aca="1" ref="K371:L371" ca="1">Opt3Spd(H371:J371,$E$3:$G$3,$K$3:$M$3,$N$3:$P$3,$H$3,$I$3,$Q$3,$J$3)</f>
        <v>190.79529245074605</v>
      </c>
      <c r="L371" s="12">
        <f ca="1"/>
        <v>5.1411711806167659E-2</v>
      </c>
      <c r="M371" s="12">
        <f t="array" aca="1" ref="M371:N371" ca="1">Opt3Spd(H371:J371,$E$3:$G$3,$K$3:$M$3,$N$3:$P$3,$H$4,$I$3,$Q$3,$J$3)</f>
        <v>5.2567251739253251E-2</v>
      </c>
      <c r="N371" s="12">
        <f ca="1"/>
        <v>209.30868651279937</v>
      </c>
      <c r="O371" s="12">
        <f t="shared" ca="1" si="54"/>
        <v>0.10397896354542091</v>
      </c>
    </row>
    <row r="372" spans="2:15" x14ac:dyDescent="0.15">
      <c r="B372" s="6">
        <f t="shared" ca="1" si="47"/>
        <v>-0.41593338311973138</v>
      </c>
      <c r="C372" s="6">
        <f t="shared" ca="1" si="47"/>
        <v>-0.92665523473397804</v>
      </c>
      <c r="D372" s="6">
        <f t="shared" ca="1" si="47"/>
        <v>-0.86992197621175926</v>
      </c>
      <c r="E372" s="8">
        <f t="shared" ca="1" si="48"/>
        <v>-9.4701372880160312E-3</v>
      </c>
      <c r="F372" s="8">
        <f t="shared" ca="1" si="49"/>
        <v>-3.6730843196608146E-2</v>
      </c>
      <c r="G372" s="8">
        <f t="shared" ca="1" si="50"/>
        <v>-2.7238095387302489E-2</v>
      </c>
      <c r="H372" s="10">
        <f t="shared" ca="1" si="51"/>
        <v>3977.9679286513274</v>
      </c>
      <c r="I372" s="10">
        <f t="shared" ca="1" si="52"/>
        <v>524.01842130104512</v>
      </c>
      <c r="J372" s="10">
        <f t="shared" ca="1" si="53"/>
        <v>2175.0956187139918</v>
      </c>
      <c r="K372" s="12">
        <f t="array" aca="1" ref="K372:L372" ca="1">Opt3Spd(H372:J372,$E$3:$G$3,$K$3:$M$3,$N$3:$P$3,$H$3,$I$3,$Q$3,$J$3)</f>
        <v>226.99811391411822</v>
      </c>
      <c r="L372" s="12">
        <f ca="1"/>
        <v>7.4687014589471801E-3</v>
      </c>
      <c r="M372" s="12">
        <f t="array" aca="1" ref="M372:N372" ca="1">Opt3Spd(H372:J372,$E$3:$G$3,$K$3:$M$3,$N$3:$P$3,$H$4,$I$3,$Q$3,$J$3)</f>
        <v>0.24921002616724408</v>
      </c>
      <c r="N372" s="12">
        <f ca="1"/>
        <v>173.25856481350797</v>
      </c>
      <c r="O372" s="12">
        <f t="shared" ca="1" si="54"/>
        <v>0.25667872762619126</v>
      </c>
    </row>
    <row r="373" spans="2:15" x14ac:dyDescent="0.15">
      <c r="B373" s="6">
        <f t="shared" ca="1" si="47"/>
        <v>-0.70999787217573729</v>
      </c>
      <c r="C373" s="6">
        <f t="shared" ca="1" si="47"/>
        <v>-0.12164984175432429</v>
      </c>
      <c r="D373" s="6">
        <f t="shared" ca="1" si="47"/>
        <v>-1.0417761266228585</v>
      </c>
      <c r="E373" s="8">
        <f t="shared" ca="1" si="48"/>
        <v>-1.6165514951628615E-2</v>
      </c>
      <c r="F373" s="8">
        <f t="shared" ca="1" si="49"/>
        <v>-2.9132865145945958E-2</v>
      </c>
      <c r="G373" s="8">
        <f t="shared" ca="1" si="50"/>
        <v>-3.7535410887661769E-2</v>
      </c>
      <c r="H373" s="10">
        <f t="shared" ca="1" si="51"/>
        <v>3951.0792919542591</v>
      </c>
      <c r="I373" s="10">
        <f t="shared" ca="1" si="52"/>
        <v>528.15172136060539</v>
      </c>
      <c r="J373" s="10">
        <f t="shared" ca="1" si="53"/>
        <v>2152.0708212551881</v>
      </c>
      <c r="K373" s="12">
        <f t="array" aca="1" ref="K373:L373" ca="1">Opt3Spd(H373:J373,$E$3:$G$3,$K$3:$M$3,$N$3:$P$3,$H$3,$I$3,$Q$3,$J$3)</f>
        <v>205.02423546575164</v>
      </c>
      <c r="L373" s="12">
        <f ca="1"/>
        <v>2.3108316055186151E-2</v>
      </c>
      <c r="M373" s="12">
        <f t="array" aca="1" ref="M373:N373" ca="1">Opt3Spd(H373:J373,$E$3:$G$3,$K$3:$M$3,$N$3:$P$3,$H$4,$I$3,$Q$3,$J$3)</f>
        <v>9.4616682617644443E-2</v>
      </c>
      <c r="N373" s="12">
        <f ca="1"/>
        <v>195.09348953292118</v>
      </c>
      <c r="O373" s="12">
        <f t="shared" ca="1" si="54"/>
        <v>0.11772499867283059</v>
      </c>
    </row>
    <row r="374" spans="2:15" x14ac:dyDescent="0.15">
      <c r="B374" s="6">
        <f t="shared" ca="1" si="47"/>
        <v>0.57017846969506247</v>
      </c>
      <c r="C374" s="6">
        <f t="shared" ca="1" si="47"/>
        <v>1.1641707272606527</v>
      </c>
      <c r="D374" s="6">
        <f t="shared" ca="1" si="47"/>
        <v>-1.7281989952577625</v>
      </c>
      <c r="E374" s="8">
        <f t="shared" ca="1" si="48"/>
        <v>1.2982050986584965E-2</v>
      </c>
      <c r="F374" s="8">
        <f t="shared" ca="1" si="49"/>
        <v>4.7912460147277486E-2</v>
      </c>
      <c r="G374" s="8">
        <f t="shared" ca="1" si="50"/>
        <v>5.9163856049819479E-3</v>
      </c>
      <c r="H374" s="10">
        <f t="shared" ca="1" si="51"/>
        <v>4068.1359167621254</v>
      </c>
      <c r="I374" s="10">
        <f t="shared" ca="1" si="52"/>
        <v>570.06437832011898</v>
      </c>
      <c r="J374" s="10">
        <f t="shared" ca="1" si="53"/>
        <v>2249.2290382127399</v>
      </c>
      <c r="K374" s="12">
        <f t="array" aca="1" ref="K374:L374" ca="1">Opt3Spd(H374:J374,$E$3:$G$3,$K$3:$M$3,$N$3:$P$3,$H$3,$I$3,$Q$3,$J$3)</f>
        <v>206.44323581563663</v>
      </c>
      <c r="L374" s="12">
        <f ca="1"/>
        <v>2.4843472071552242E-2</v>
      </c>
      <c r="M374" s="12">
        <f t="array" aca="1" ref="M374:N374" ca="1">Opt3Spd(H374:J374,$E$3:$G$3,$K$3:$M$3,$N$3:$P$3,$H$4,$I$3,$Q$3,$J$3)</f>
        <v>0.11065143858109039</v>
      </c>
      <c r="N374" s="12">
        <f ca="1"/>
        <v>193.69225909501603</v>
      </c>
      <c r="O374" s="12">
        <f t="shared" ca="1" si="54"/>
        <v>0.13549491065264263</v>
      </c>
    </row>
    <row r="375" spans="2:15" x14ac:dyDescent="0.15">
      <c r="B375" s="6">
        <f t="shared" ca="1" si="47"/>
        <v>0.60349023557291204</v>
      </c>
      <c r="C375" s="6">
        <f t="shared" ca="1" si="47"/>
        <v>0.27821669455552006</v>
      </c>
      <c r="D375" s="6">
        <f t="shared" ca="1" si="47"/>
        <v>-1.0846298028145422</v>
      </c>
      <c r="E375" s="8">
        <f t="shared" ca="1" si="48"/>
        <v>1.3740506568590202E-2</v>
      </c>
      <c r="F375" s="8">
        <f t="shared" ca="1" si="49"/>
        <v>2.8781358967177928E-2</v>
      </c>
      <c r="G375" s="8">
        <f t="shared" ca="1" si="50"/>
        <v>1.1424284545208822E-2</v>
      </c>
      <c r="H375" s="10">
        <f t="shared" ca="1" si="51"/>
        <v>4071.1818743794583</v>
      </c>
      <c r="I375" s="10">
        <f t="shared" ca="1" si="52"/>
        <v>559.65705927814474</v>
      </c>
      <c r="J375" s="10">
        <f t="shared" ca="1" si="53"/>
        <v>2261.5447002430869</v>
      </c>
      <c r="K375" s="12">
        <f t="array" aca="1" ref="K375:L375" ca="1">Opt3Spd(H375:J375,$E$3:$G$3,$K$3:$M$3,$N$3:$P$3,$H$3,$I$3,$Q$3,$J$3)</f>
        <v>219.9707021580698</v>
      </c>
      <c r="L375" s="12">
        <f ca="1"/>
        <v>1.2472745186414613E-2</v>
      </c>
      <c r="M375" s="12">
        <f t="array" aca="1" ref="M375:N375" ca="1">Opt3Spd(H375:J375,$E$3:$G$3,$K$3:$M$3,$N$3:$P$3,$H$4,$I$3,$Q$3,$J$3)</f>
        <v>0.19913327268572445</v>
      </c>
      <c r="N375" s="12">
        <f ca="1"/>
        <v>180.24090385980233</v>
      </c>
      <c r="O375" s="12">
        <f t="shared" ca="1" si="54"/>
        <v>0.21160601787213906</v>
      </c>
    </row>
    <row r="376" spans="2:15" x14ac:dyDescent="0.15">
      <c r="B376" s="6">
        <f t="shared" ca="1" si="47"/>
        <v>-0.12482929325411599</v>
      </c>
      <c r="C376" s="6">
        <f t="shared" ca="1" si="47"/>
        <v>-0.76310179357955843</v>
      </c>
      <c r="D376" s="6">
        <f t="shared" ca="1" si="47"/>
        <v>-1.4127619515539644</v>
      </c>
      <c r="E376" s="8">
        <f t="shared" ca="1" si="48"/>
        <v>-2.8421631748231082E-3</v>
      </c>
      <c r="F376" s="8">
        <f t="shared" ca="1" si="49"/>
        <v>-2.2172920892337696E-2</v>
      </c>
      <c r="G376" s="8">
        <f t="shared" ca="1" si="50"/>
        <v>-2.1851517421077143E-2</v>
      </c>
      <c r="H376" s="10">
        <f t="shared" ca="1" si="51"/>
        <v>4004.5858726899105</v>
      </c>
      <c r="I376" s="10">
        <f t="shared" ca="1" si="52"/>
        <v>531.93793103456835</v>
      </c>
      <c r="J376" s="10">
        <f t="shared" ca="1" si="53"/>
        <v>2187.1400070464715</v>
      </c>
      <c r="K376" s="12">
        <f t="array" aca="1" ref="K376:L376" ca="1">Opt3Spd(H376:J376,$E$3:$G$3,$K$3:$M$3,$N$3:$P$3,$H$3,$I$3,$Q$3,$J$3)</f>
        <v>234.92012139809822</v>
      </c>
      <c r="L376" s="12">
        <f ca="1"/>
        <v>4.9418867329222849E-3</v>
      </c>
      <c r="M376" s="12">
        <f t="array" aca="1" ref="M376:N376" ca="1">Opt3Spd(H376:J376,$E$3:$G$3,$K$3:$M$3,$N$3:$P$3,$H$4,$I$3,$Q$3,$J$3)</f>
        <v>0.34644456612184271</v>
      </c>
      <c r="N376" s="12">
        <f ca="1"/>
        <v>165.43126505475655</v>
      </c>
      <c r="O376" s="12">
        <f t="shared" ca="1" si="54"/>
        <v>0.351386452854765</v>
      </c>
    </row>
    <row r="377" spans="2:15" x14ac:dyDescent="0.15">
      <c r="B377" s="6">
        <f t="shared" ca="1" si="47"/>
        <v>1.0343858912968789</v>
      </c>
      <c r="C377" s="6">
        <f t="shared" ca="1" si="47"/>
        <v>-1.1156469268451097</v>
      </c>
      <c r="D377" s="6">
        <f t="shared" ca="1" si="47"/>
        <v>1.693082949421975</v>
      </c>
      <c r="E377" s="8">
        <f t="shared" ca="1" si="48"/>
        <v>2.3551310851498638E-2</v>
      </c>
      <c r="F377" s="8">
        <f t="shared" ca="1" si="49"/>
        <v>1.2721964426877386E-2</v>
      </c>
      <c r="G377" s="8">
        <f t="shared" ca="1" si="50"/>
        <v>5.2799469679959445E-2</v>
      </c>
      <c r="H377" s="10">
        <f t="shared" ca="1" si="51"/>
        <v>4110.5820643796187</v>
      </c>
      <c r="I377" s="10">
        <f t="shared" ca="1" si="52"/>
        <v>550.92074864822132</v>
      </c>
      <c r="J377" s="10">
        <f t="shared" ca="1" si="53"/>
        <v>2354.0596142043892</v>
      </c>
      <c r="K377" s="12">
        <f t="array" aca="1" ref="K377:L377" ca="1">Opt3Spd(H377:J377,$E$3:$G$3,$K$3:$M$3,$N$3:$P$3,$H$3,$I$3,$Q$3,$J$3)</f>
        <v>227.08860660576897</v>
      </c>
      <c r="L377" s="12">
        <f ca="1"/>
        <v>9.5471654992707045E-3</v>
      </c>
      <c r="M377" s="12">
        <f t="array" aca="1" ref="M377:N377" ca="1">Opt3Spd(H377:J377,$E$3:$G$3,$K$3:$M$3,$N$3:$P$3,$H$4,$I$3,$Q$3,$J$3)</f>
        <v>0.28313160336292142</v>
      </c>
      <c r="N377" s="12">
        <f ca="1"/>
        <v>173.20407216309323</v>
      </c>
      <c r="O377" s="12">
        <f t="shared" ca="1" si="54"/>
        <v>0.29267876886219213</v>
      </c>
    </row>
    <row r="378" spans="2:15" x14ac:dyDescent="0.15">
      <c r="B378" s="6">
        <f t="shared" ca="1" si="47"/>
        <v>6.0491389826754997E-2</v>
      </c>
      <c r="C378" s="6">
        <f t="shared" ca="1" si="47"/>
        <v>0.34719028753599745</v>
      </c>
      <c r="D378" s="6">
        <f t="shared" ca="1" si="47"/>
        <v>0.46939071015725531</v>
      </c>
      <c r="E378" s="8">
        <f t="shared" ca="1" si="48"/>
        <v>1.3772921089081256E-3</v>
      </c>
      <c r="F378" s="8">
        <f t="shared" ca="1" si="49"/>
        <v>1.0225221320445959E-2</v>
      </c>
      <c r="G378" s="8">
        <f t="shared" ca="1" si="50"/>
        <v>8.2306833482765768E-3</v>
      </c>
      <c r="H378" s="10">
        <f t="shared" ca="1" si="51"/>
        <v>4021.5312051093752</v>
      </c>
      <c r="I378" s="10">
        <f t="shared" ca="1" si="52"/>
        <v>549.56252039832259</v>
      </c>
      <c r="J378" s="10">
        <f t="shared" ca="1" si="53"/>
        <v>2254.4038079667466</v>
      </c>
      <c r="K378" s="12">
        <f t="array" aca="1" ref="K378:L378" ca="1">Opt3Spd(H378:J378,$E$3:$G$3,$K$3:$M$3,$N$3:$P$3,$H$3,$I$3,$Q$3,$J$3)</f>
        <v>190.08372725773006</v>
      </c>
      <c r="L378" s="12">
        <f ca="1"/>
        <v>5.4458769044458677E-2</v>
      </c>
      <c r="M378" s="12">
        <f t="array" aca="1" ref="M378:N378" ca="1">Opt3Spd(H378:J378,$E$3:$G$3,$K$3:$M$3,$N$3:$P$3,$H$4,$I$3,$Q$3,$J$3)</f>
        <v>5.1954656660313958E-2</v>
      </c>
      <c r="N378" s="12">
        <f ca="1"/>
        <v>210.02268616797471</v>
      </c>
      <c r="O378" s="12">
        <f t="shared" ca="1" si="54"/>
        <v>0.10641342570477264</v>
      </c>
    </row>
    <row r="379" spans="2:15" x14ac:dyDescent="0.15">
      <c r="B379" s="6">
        <f t="shared" ca="1" si="47"/>
        <v>1.8454364815139663</v>
      </c>
      <c r="C379" s="6">
        <f t="shared" ca="1" si="47"/>
        <v>0.29356345911157078</v>
      </c>
      <c r="D379" s="6">
        <f t="shared" ca="1" si="47"/>
        <v>0.19808049540999681</v>
      </c>
      <c r="E379" s="8">
        <f t="shared" ca="1" si="48"/>
        <v>4.2017634423009736E-2</v>
      </c>
      <c r="F379" s="8">
        <f t="shared" ca="1" si="49"/>
        <v>7.5202312149522499E-2</v>
      </c>
      <c r="G379" s="8">
        <f t="shared" ca="1" si="50"/>
        <v>7.076070371331708E-2</v>
      </c>
      <c r="H379" s="10">
        <f t="shared" ca="1" si="51"/>
        <v>4184.742819842807</v>
      </c>
      <c r="I379" s="10">
        <f t="shared" ca="1" si="52"/>
        <v>584.91005780934017</v>
      </c>
      <c r="J379" s="10">
        <f t="shared" ca="1" si="53"/>
        <v>2394.220933502977</v>
      </c>
      <c r="K379" s="12">
        <f t="array" aca="1" ref="K379:L379" ca="1">Opt3Spd(H379:J379,$E$3:$G$3,$K$3:$M$3,$N$3:$P$3,$H$3,$I$3,$Q$3,$J$3)</f>
        <v>226.78689482412597</v>
      </c>
      <c r="L379" s="12">
        <f ca="1"/>
        <v>1.0634227751552316E-2</v>
      </c>
      <c r="M379" s="12">
        <f t="array" aca="1" ref="M379:N379" ca="1">Opt3Spd(H379:J379,$E$3:$G$3,$K$3:$M$3,$N$3:$P$3,$H$4,$I$3,$Q$3,$J$3)</f>
        <v>0.2909220022952006</v>
      </c>
      <c r="N379" s="12">
        <f ca="1"/>
        <v>173.51466140592078</v>
      </c>
      <c r="O379" s="12">
        <f t="shared" ca="1" si="54"/>
        <v>0.30155623004675292</v>
      </c>
    </row>
    <row r="380" spans="2:15" x14ac:dyDescent="0.15">
      <c r="B380" s="6">
        <f t="shared" ca="1" si="47"/>
        <v>-0.25102972414604297</v>
      </c>
      <c r="C380" s="6">
        <f t="shared" ca="1" si="47"/>
        <v>1.2601836828359811</v>
      </c>
      <c r="D380" s="6">
        <f t="shared" ca="1" si="47"/>
        <v>0.32362284673771563</v>
      </c>
      <c r="E380" s="8">
        <f t="shared" ca="1" si="48"/>
        <v>-5.71554495867789E-3</v>
      </c>
      <c r="F380" s="8">
        <f t="shared" ca="1" si="49"/>
        <v>1.9658153639521496E-2</v>
      </c>
      <c r="G380" s="8">
        <f t="shared" ca="1" si="50"/>
        <v>-2.1165755019889117E-3</v>
      </c>
      <c r="H380" s="10">
        <f t="shared" ca="1" si="51"/>
        <v>3993.0463714459497</v>
      </c>
      <c r="I380" s="10">
        <f t="shared" ca="1" si="52"/>
        <v>554.69403557989972</v>
      </c>
      <c r="J380" s="10">
        <f t="shared" ca="1" si="53"/>
        <v>2231.2673371775527</v>
      </c>
      <c r="K380" s="12">
        <f t="array" aca="1" ref="K380:L380" ca="1">Opt3Spd(H380:J380,$E$3:$G$3,$K$3:$M$3,$N$3:$P$3,$H$3,$I$3,$Q$3,$J$3)</f>
        <v>165.07018860490211</v>
      </c>
      <c r="L380" s="12">
        <f ca="1"/>
        <v>0.16794267556838349</v>
      </c>
      <c r="M380" s="12">
        <f t="array" aca="1" ref="M380:N380" ca="1">Opt3Spd(H380:J380,$E$3:$G$3,$K$3:$M$3,$N$3:$P$3,$H$4,$I$3,$Q$3,$J$3)</f>
        <v>1.4531287582722152E-2</v>
      </c>
      <c r="N380" s="12">
        <f ca="1"/>
        <v>235.11228535824898</v>
      </c>
      <c r="O380" s="12">
        <f t="shared" ca="1" si="54"/>
        <v>0.18247396315110564</v>
      </c>
    </row>
    <row r="381" spans="2:15" x14ac:dyDescent="0.15">
      <c r="B381" s="6">
        <f t="shared" ca="1" si="47"/>
        <v>0.44339034730880872</v>
      </c>
      <c r="C381" s="6">
        <f t="shared" ca="1" si="47"/>
        <v>-0.90570659888334593</v>
      </c>
      <c r="D381" s="6">
        <f t="shared" ca="1" si="47"/>
        <v>-2.9742865503253332E-2</v>
      </c>
      <c r="E381" s="8">
        <f t="shared" ca="1" si="48"/>
        <v>1.0095288408208402E-2</v>
      </c>
      <c r="F381" s="8">
        <f t="shared" ca="1" si="49"/>
        <v>-4.3739261781810413E-3</v>
      </c>
      <c r="G381" s="8">
        <f t="shared" ca="1" si="50"/>
        <v>1.3343348053706031E-2</v>
      </c>
      <c r="H381" s="10">
        <f t="shared" ca="1" si="51"/>
        <v>4056.5426782473651</v>
      </c>
      <c r="I381" s="10">
        <f t="shared" ca="1" si="52"/>
        <v>541.62058415906949</v>
      </c>
      <c r="J381" s="10">
        <f t="shared" ca="1" si="53"/>
        <v>2265.8357262480863</v>
      </c>
      <c r="K381" s="12">
        <f t="array" aca="1" ref="K381:L381" ca="1">Opt3Spd(H381:J381,$E$3:$G$3,$K$3:$M$3,$N$3:$P$3,$H$3,$I$3,$Q$3,$J$3)</f>
        <v>232.03836249198275</v>
      </c>
      <c r="L381" s="12">
        <f ca="1"/>
        <v>6.4820231723388133E-3</v>
      </c>
      <c r="M381" s="12">
        <f t="array" aca="1" ref="M381:N381" ca="1">Opt3Spd(H381:J381,$E$3:$G$3,$K$3:$M$3,$N$3:$P$3,$H$4,$I$3,$Q$3,$J$3)</f>
        <v>0.32513288675877305</v>
      </c>
      <c r="N381" s="12">
        <f ca="1"/>
        <v>168.29325241794837</v>
      </c>
      <c r="O381" s="12">
        <f t="shared" ca="1" si="54"/>
        <v>0.33161490993111187</v>
      </c>
    </row>
    <row r="382" spans="2:15" x14ac:dyDescent="0.15">
      <c r="B382" s="6">
        <f t="shared" ca="1" si="47"/>
        <v>-0.74364692002854282</v>
      </c>
      <c r="C382" s="6">
        <f t="shared" ca="1" si="47"/>
        <v>0.75748560046758762</v>
      </c>
      <c r="D382" s="6">
        <f t="shared" ca="1" si="47"/>
        <v>0.95171167944669011</v>
      </c>
      <c r="E382" s="8">
        <f t="shared" ca="1" si="48"/>
        <v>-1.6931649904266832E-2</v>
      </c>
      <c r="F382" s="8">
        <f t="shared" ca="1" si="49"/>
        <v>-1.0171024088212908E-2</v>
      </c>
      <c r="G382" s="8">
        <f t="shared" ca="1" si="50"/>
        <v>-1.4982783587425941E-2</v>
      </c>
      <c r="H382" s="10">
        <f t="shared" ca="1" si="51"/>
        <v>3948.0024939844643</v>
      </c>
      <c r="I382" s="10">
        <f t="shared" ca="1" si="52"/>
        <v>538.46696289601221</v>
      </c>
      <c r="J382" s="10">
        <f t="shared" ca="1" si="53"/>
        <v>2202.4984958985156</v>
      </c>
      <c r="K382" s="12">
        <f t="array" aca="1" ref="K382:L382" ca="1">Opt3Spd(H382:J382,$E$3:$G$3,$K$3:$M$3,$N$3:$P$3,$H$3,$I$3,$Q$3,$J$3)</f>
        <v>160.40516276265498</v>
      </c>
      <c r="L382" s="12">
        <f ca="1"/>
        <v>0.19905736106807126</v>
      </c>
      <c r="M382" s="12">
        <f t="array" aca="1" ref="M382:N382" ca="1">Opt3Spd(H382:J382,$E$3:$G$3,$K$3:$M$3,$N$3:$P$3,$H$4,$I$3,$Q$3,$J$3)</f>
        <v>1.0854425876255736E-2</v>
      </c>
      <c r="N382" s="12">
        <f ca="1"/>
        <v>239.80474902428935</v>
      </c>
      <c r="O382" s="12">
        <f t="shared" ca="1" si="54"/>
        <v>0.20991178694432699</v>
      </c>
    </row>
    <row r="383" spans="2:15" x14ac:dyDescent="0.15">
      <c r="B383" s="6">
        <f t="shared" ca="1" si="47"/>
        <v>-1.1707464977366284</v>
      </c>
      <c r="C383" s="6">
        <f t="shared" ca="1" si="47"/>
        <v>-1.517555807362603</v>
      </c>
      <c r="D383" s="6">
        <f t="shared" ca="1" si="47"/>
        <v>2.3514236551268763</v>
      </c>
      <c r="E383" s="8">
        <f t="shared" ca="1" si="48"/>
        <v>-2.6656023567692956E-2</v>
      </c>
      <c r="F383" s="8">
        <f t="shared" ca="1" si="49"/>
        <v>-7.831343237476586E-2</v>
      </c>
      <c r="G383" s="8">
        <f t="shared" ca="1" si="50"/>
        <v>-2.2366898710683373E-2</v>
      </c>
      <c r="H383" s="10">
        <f t="shared" ca="1" si="51"/>
        <v>3908.9494093521453</v>
      </c>
      <c r="I383" s="10">
        <f t="shared" ca="1" si="52"/>
        <v>501.39749278812735</v>
      </c>
      <c r="J383" s="10">
        <f t="shared" ca="1" si="53"/>
        <v>2185.9876144829118</v>
      </c>
      <c r="K383" s="12">
        <f t="array" aca="1" ref="K383:L383" ca="1">Opt3Spd(H383:J383,$E$3:$G$3,$K$3:$M$3,$N$3:$P$3,$H$3,$I$3,$Q$3,$J$3)</f>
        <v>188.77241504628728</v>
      </c>
      <c r="L383" s="12">
        <f ca="1"/>
        <v>5.2801396601580564E-2</v>
      </c>
      <c r="M383" s="12">
        <f t="array" aca="1" ref="M383:N383" ca="1">Opt3Spd(H383:J383,$E$3:$G$3,$K$3:$M$3,$N$3:$P$3,$H$4,$I$3,$Q$3,$J$3)</f>
        <v>4.5292452031491237E-2</v>
      </c>
      <c r="N383" s="12">
        <f ca="1"/>
        <v>211.32567880234581</v>
      </c>
      <c r="O383" s="12">
        <f t="shared" ca="1" si="54"/>
        <v>9.8093848633071801E-2</v>
      </c>
    </row>
    <row r="384" spans="2:15" x14ac:dyDescent="0.15">
      <c r="B384" s="6">
        <f t="shared" ref="B384:D447" ca="1" si="55">NORMINV(RAND(),0,1)</f>
        <v>0.62053811631643474</v>
      </c>
      <c r="C384" s="6">
        <f t="shared" ca="1" si="55"/>
        <v>0.87071939882976568</v>
      </c>
      <c r="D384" s="6">
        <f t="shared" ca="1" si="55"/>
        <v>-0.61523067465449754</v>
      </c>
      <c r="E384" s="8">
        <f t="shared" ca="1" si="48"/>
        <v>1.412865952207509E-2</v>
      </c>
      <c r="F384" s="8">
        <f t="shared" ca="1" si="49"/>
        <v>4.3034471533474693E-2</v>
      </c>
      <c r="G384" s="8">
        <f t="shared" ca="1" si="50"/>
        <v>1.8771148501093529E-2</v>
      </c>
      <c r="H384" s="10">
        <f t="shared" ca="1" si="51"/>
        <v>4072.7406966406534</v>
      </c>
      <c r="I384" s="10">
        <f t="shared" ca="1" si="52"/>
        <v>567.41075251421023</v>
      </c>
      <c r="J384" s="10">
        <f t="shared" ca="1" si="53"/>
        <v>2277.9722880484451</v>
      </c>
      <c r="K384" s="12">
        <f t="array" aca="1" ref="K384:L384" ca="1">Opt3Spd(H384:J384,$E$3:$G$3,$K$3:$M$3,$N$3:$P$3,$H$3,$I$3,$Q$3,$J$3)</f>
        <v>200.93093623821051</v>
      </c>
      <c r="L384" s="12">
        <f ca="1"/>
        <v>3.3587644516046566E-2</v>
      </c>
      <c r="M384" s="12">
        <f t="array" aca="1" ref="M384:N384" ca="1">Opt3Spd(H384:J384,$E$3:$G$3,$K$3:$M$3,$N$3:$P$3,$H$4,$I$3,$Q$3,$J$3)</f>
        <v>8.8402253503110373E-2</v>
      </c>
      <c r="N384" s="12">
        <f ca="1"/>
        <v>199.19105365980866</v>
      </c>
      <c r="O384" s="12">
        <f t="shared" ca="1" si="54"/>
        <v>0.12198989801915694</v>
      </c>
    </row>
    <row r="385" spans="2:15" x14ac:dyDescent="0.15">
      <c r="B385" s="6">
        <f t="shared" ca="1" si="55"/>
        <v>-0.40660401690420883</v>
      </c>
      <c r="C385" s="6">
        <f t="shared" ca="1" si="55"/>
        <v>1.3887497412970593</v>
      </c>
      <c r="D385" s="6">
        <f t="shared" ca="1" si="55"/>
        <v>0.51396628971067038</v>
      </c>
      <c r="E385" s="8">
        <f t="shared" ca="1" si="48"/>
        <v>-9.2577225541745217E-3</v>
      </c>
      <c r="F385" s="8">
        <f t="shared" ca="1" si="49"/>
        <v>1.6842896438645047E-2</v>
      </c>
      <c r="G385" s="8">
        <f t="shared" ca="1" si="50"/>
        <v>-5.4311594463424869E-3</v>
      </c>
      <c r="H385" s="10">
        <f t="shared" ca="1" si="51"/>
        <v>3978.8209862224348</v>
      </c>
      <c r="I385" s="10">
        <f t="shared" ca="1" si="52"/>
        <v>553.16253566262299</v>
      </c>
      <c r="J385" s="10">
        <f t="shared" ca="1" si="53"/>
        <v>2223.8559274779782</v>
      </c>
      <c r="K385" s="12">
        <f t="array" aca="1" ref="K385:L385" ca="1">Opt3Spd(H385:J385,$E$3:$G$3,$K$3:$M$3,$N$3:$P$3,$H$3,$I$3,$Q$3,$J$3)</f>
        <v>157.06873801641154</v>
      </c>
      <c r="L385" s="12">
        <f ca="1"/>
        <v>0.23577259316266463</v>
      </c>
      <c r="M385" s="12">
        <f t="array" aca="1" ref="M385:N385" ca="1">Opt3Spd(H385:J385,$E$3:$G$3,$K$3:$M$3,$N$3:$P$3,$H$4,$I$3,$Q$3,$J$3)</f>
        <v>9.3636191524171242E-3</v>
      </c>
      <c r="N385" s="12">
        <f ca="1"/>
        <v>243.17639819590354</v>
      </c>
      <c r="O385" s="12">
        <f t="shared" ca="1" si="54"/>
        <v>0.24513621231508176</v>
      </c>
    </row>
    <row r="386" spans="2:15" x14ac:dyDescent="0.15">
      <c r="B386" s="6">
        <f t="shared" ca="1" si="55"/>
        <v>9.4121214090074304E-2</v>
      </c>
      <c r="C386" s="6">
        <f t="shared" ca="1" si="55"/>
        <v>0.24652805132411931</v>
      </c>
      <c r="D386" s="6">
        <f t="shared" ca="1" si="55"/>
        <v>-2.3743635092707711</v>
      </c>
      <c r="E386" s="8">
        <f t="shared" ca="1" si="48"/>
        <v>2.1429893711877642E-3</v>
      </c>
      <c r="F386" s="8">
        <f t="shared" ca="1" si="49"/>
        <v>9.1585962493018307E-3</v>
      </c>
      <c r="G386" s="8">
        <f t="shared" ca="1" si="50"/>
        <v>-2.1120699474873071E-2</v>
      </c>
      <c r="H386" s="10">
        <f t="shared" ca="1" si="51"/>
        <v>4024.6062453146901</v>
      </c>
      <c r="I386" s="10">
        <f t="shared" ca="1" si="52"/>
        <v>548.9822763596203</v>
      </c>
      <c r="J386" s="10">
        <f t="shared" ca="1" si="53"/>
        <v>2188.774115974184</v>
      </c>
      <c r="K386" s="12">
        <f t="array" aca="1" ref="K386:L386" ca="1">Opt3Spd(H386:J386,$E$3:$G$3,$K$3:$M$3,$N$3:$P$3,$H$3,$I$3,$Q$3,$J$3)</f>
        <v>226.85535758447077</v>
      </c>
      <c r="L386" s="12">
        <f ca="1"/>
        <v>7.8124322653820855E-3</v>
      </c>
      <c r="M386" s="12">
        <f t="array" aca="1" ref="M386:N386" ca="1">Opt3Spd(H386:J386,$E$3:$G$3,$K$3:$M$3,$N$3:$P$3,$H$4,$I$3,$Q$3,$J$3)</f>
        <v>0.25114243157594984</v>
      </c>
      <c r="N386" s="12">
        <f ca="1"/>
        <v>173.40359727937056</v>
      </c>
      <c r="O386" s="12">
        <f t="shared" ca="1" si="54"/>
        <v>0.25895486384133193</v>
      </c>
    </row>
    <row r="387" spans="2:15" x14ac:dyDescent="0.15">
      <c r="B387" s="6">
        <f t="shared" ca="1" si="55"/>
        <v>-0.74835716003519182</v>
      </c>
      <c r="C387" s="6">
        <f t="shared" ca="1" si="55"/>
        <v>-1.4474075568234399</v>
      </c>
      <c r="D387" s="6">
        <f t="shared" ca="1" si="55"/>
        <v>-1.7329013265157838</v>
      </c>
      <c r="E387" s="8">
        <f t="shared" ca="1" si="48"/>
        <v>-1.7038894528845647E-2</v>
      </c>
      <c r="F387" s="8">
        <f t="shared" ca="1" si="49"/>
        <v>-6.1032923459901356E-2</v>
      </c>
      <c r="G387" s="8">
        <f t="shared" ca="1" si="50"/>
        <v>-5.015589913581181E-2</v>
      </c>
      <c r="H387" s="10">
        <f t="shared" ca="1" si="51"/>
        <v>3947.5717995721557</v>
      </c>
      <c r="I387" s="10">
        <f t="shared" ca="1" si="52"/>
        <v>510.79808963781363</v>
      </c>
      <c r="J387" s="10">
        <f t="shared" ca="1" si="53"/>
        <v>2123.8514095323249</v>
      </c>
      <c r="K387" s="12">
        <f t="array" aca="1" ref="K387:L387" ca="1">Opt3Spd(H387:J387,$E$3:$G$3,$K$3:$M$3,$N$3:$P$3,$H$3,$I$3,$Q$3,$J$3)</f>
        <v>243.37192442838409</v>
      </c>
      <c r="L387" s="12">
        <f ca="1"/>
        <v>2.7730428930681228E-3</v>
      </c>
      <c r="M387" s="12">
        <f t="array" aca="1" ref="M387:N387" ca="1">Opt3Spd(H387:J387,$E$3:$G$3,$K$3:$M$3,$N$3:$P$3,$H$4,$I$3,$Q$3,$J$3)</f>
        <v>0.46401718138994852</v>
      </c>
      <c r="N387" s="12">
        <f ca="1"/>
        <v>157.09486579589893</v>
      </c>
      <c r="O387" s="12">
        <f t="shared" ca="1" si="54"/>
        <v>0.46679022428301664</v>
      </c>
    </row>
    <row r="388" spans="2:15" x14ac:dyDescent="0.15">
      <c r="B388" s="6">
        <f t="shared" ca="1" si="55"/>
        <v>-1.3124147484119861</v>
      </c>
      <c r="C388" s="6">
        <f t="shared" ca="1" si="55"/>
        <v>-0.16164835709163483</v>
      </c>
      <c r="D388" s="6">
        <f t="shared" ca="1" si="55"/>
        <v>0.92760852916798586</v>
      </c>
      <c r="E388" s="8">
        <f t="shared" ca="1" si="48"/>
        <v>-2.9881582846406841E-2</v>
      </c>
      <c r="F388" s="8">
        <f t="shared" ca="1" si="49"/>
        <v>-5.2398131512633978E-2</v>
      </c>
      <c r="G388" s="8">
        <f t="shared" ca="1" si="50"/>
        <v>-3.8803379956720757E-2</v>
      </c>
      <c r="H388" s="10">
        <f t="shared" ca="1" si="51"/>
        <v>3895.99556328883</v>
      </c>
      <c r="I388" s="10">
        <f t="shared" ca="1" si="52"/>
        <v>515.49541645712713</v>
      </c>
      <c r="J388" s="10">
        <f t="shared" ca="1" si="53"/>
        <v>2149.2356424167724</v>
      </c>
      <c r="K388" s="12">
        <f t="array" aca="1" ref="K388:L388" ca="1">Opt3Spd(H388:J388,$E$3:$G$3,$K$3:$M$3,$N$3:$P$3,$H$3,$I$3,$Q$3,$J$3)</f>
        <v>171.6991083137043</v>
      </c>
      <c r="L388" s="12">
        <f ca="1"/>
        <v>0.11403256466383027</v>
      </c>
      <c r="M388" s="12">
        <f t="array" aca="1" ref="M388:N388" ca="1">Opt3Spd(H388:J388,$E$3:$G$3,$K$3:$M$3,$N$3:$P$3,$H$4,$I$3,$Q$3,$J$3)</f>
        <v>1.8510469341728619E-2</v>
      </c>
      <c r="N388" s="12">
        <f ca="1"/>
        <v>228.43343472030125</v>
      </c>
      <c r="O388" s="12">
        <f t="shared" ca="1" si="54"/>
        <v>0.13254303400555889</v>
      </c>
    </row>
    <row r="389" spans="2:15" x14ac:dyDescent="0.15">
      <c r="B389" s="6">
        <f t="shared" ca="1" si="55"/>
        <v>0.85317087709600614</v>
      </c>
      <c r="C389" s="6">
        <f t="shared" ca="1" si="55"/>
        <v>0.68494968462581751</v>
      </c>
      <c r="D389" s="6">
        <f t="shared" ca="1" si="55"/>
        <v>0.719540948827465</v>
      </c>
      <c r="E389" s="8">
        <f t="shared" ref="E389:E452" ca="1" si="56">B389*$U$3*$C$6</f>
        <v>1.9425335075618128E-2</v>
      </c>
      <c r="F389" s="8">
        <f t="shared" ref="F389:F452" ca="1" si="57">($N$3*B389+C389*SQRT(1-$N$3^2))*$V$3*$C$6</f>
        <v>4.7393072248832907E-2</v>
      </c>
      <c r="G389" s="8">
        <f t="shared" ref="G389:G452" ca="1" si="58">(D389/$T$3+($P$3-$N$3*$O$3)*C389+$O$3*B389*SQRT(1/(1-$N$3^2)))*$W$3*$C$6</f>
        <v>4.0997808433823259E-2</v>
      </c>
      <c r="H389" s="10">
        <f t="shared" ref="H389:H452" ca="1" si="59">B$3*(1+E389)</f>
        <v>4094.0121456636825</v>
      </c>
      <c r="I389" s="10">
        <f t="shared" ref="I389:I452" ca="1" si="60">C$3*(1+F389)</f>
        <v>569.78183130336515</v>
      </c>
      <c r="J389" s="10">
        <f t="shared" ref="J389:J452" ca="1" si="61">D$3*(1+G389)</f>
        <v>2327.6710996580287</v>
      </c>
      <c r="K389" s="12">
        <f t="array" aca="1" ref="K389:L389" ca="1">Opt3Spd(H389:J389,$E$3:$G$3,$K$3:$M$3,$N$3:$P$3,$H$3,$I$3,$Q$3,$J$3)</f>
        <v>193.57620027361236</v>
      </c>
      <c r="L389" s="12">
        <f ca="1"/>
        <v>5.0534524328213593E-2</v>
      </c>
      <c r="M389" s="12">
        <f t="array" aca="1" ref="M389:N389" ca="1">Opt3Spd(H389:J389,$E$3:$G$3,$K$3:$M$3,$N$3:$P$3,$H$4,$I$3,$Q$3,$J$3)</f>
        <v>6.6013179194674088E-2</v>
      </c>
      <c r="N389" s="12">
        <f ca="1"/>
        <v>206.54034742991053</v>
      </c>
      <c r="O389" s="12">
        <f t="shared" ca="1" si="54"/>
        <v>0.11654770352288768</v>
      </c>
    </row>
    <row r="390" spans="2:15" x14ac:dyDescent="0.15">
      <c r="B390" s="6">
        <f t="shared" ca="1" si="55"/>
        <v>0.58411984580965126</v>
      </c>
      <c r="C390" s="6">
        <f t="shared" ca="1" si="55"/>
        <v>1.8005557377431015E-2</v>
      </c>
      <c r="D390" s="6">
        <f t="shared" ca="1" si="55"/>
        <v>-1.2386122935083996</v>
      </c>
      <c r="E390" s="8">
        <f t="shared" ca="1" si="56"/>
        <v>1.329947380270698E-2</v>
      </c>
      <c r="F390" s="8">
        <f t="shared" ca="1" si="57"/>
        <v>2.2080980107555992E-2</v>
      </c>
      <c r="G390" s="8">
        <f t="shared" ca="1" si="58"/>
        <v>8.3168787222547159E-3</v>
      </c>
      <c r="H390" s="10">
        <f t="shared" ca="1" si="59"/>
        <v>4069.4106867916712</v>
      </c>
      <c r="I390" s="10">
        <f t="shared" ca="1" si="60"/>
        <v>556.01205317851043</v>
      </c>
      <c r="J390" s="10">
        <f t="shared" ca="1" si="61"/>
        <v>2254.5965408229617</v>
      </c>
      <c r="K390" s="12">
        <f t="array" aca="1" ref="K390:L390" ca="1">Opt3Spd(H390:J390,$E$3:$G$3,$K$3:$M$3,$N$3:$P$3,$H$3,$I$3,$Q$3,$J$3)</f>
        <v>227.50140296487484</v>
      </c>
      <c r="L390" s="12">
        <f ca="1"/>
        <v>8.2716703011556092E-3</v>
      </c>
      <c r="M390" s="12">
        <f t="array" aca="1" ref="M390:N390" ca="1">Opt3Spd(H390:J390,$E$3:$G$3,$K$3:$M$3,$N$3:$P$3,$H$4,$I$3,$Q$3,$J$3)</f>
        <v>0.26996652438353053</v>
      </c>
      <c r="N390" s="12">
        <f ca="1"/>
        <v>172.77683522980985</v>
      </c>
      <c r="O390" s="12">
        <f t="shared" ca="1" si="54"/>
        <v>0.27823819468468614</v>
      </c>
    </row>
    <row r="391" spans="2:15" x14ac:dyDescent="0.15">
      <c r="B391" s="6">
        <f t="shared" ca="1" si="55"/>
        <v>-0.46717470289797297</v>
      </c>
      <c r="C391" s="6">
        <f t="shared" ca="1" si="55"/>
        <v>-1.8579528868453137</v>
      </c>
      <c r="D391" s="6">
        <f t="shared" ca="1" si="55"/>
        <v>0.92142995422682916</v>
      </c>
      <c r="E391" s="8">
        <f t="shared" ca="1" si="56"/>
        <v>-1.0636820109864432E-2</v>
      </c>
      <c r="F391" s="8">
        <f t="shared" ca="1" si="57"/>
        <v>-6.0040697357277281E-2</v>
      </c>
      <c r="G391" s="8">
        <f t="shared" ca="1" si="58"/>
        <v>-1.2740778598271739E-2</v>
      </c>
      <c r="H391" s="10">
        <f t="shared" ca="1" si="59"/>
        <v>3973.2825304387843</v>
      </c>
      <c r="I391" s="10">
        <f t="shared" ca="1" si="60"/>
        <v>511.3378606376412</v>
      </c>
      <c r="J391" s="10">
        <f t="shared" ca="1" si="61"/>
        <v>2207.5116190542644</v>
      </c>
      <c r="K391" s="12">
        <f t="array" aca="1" ref="K391:L391" ca="1">Opt3Spd(H391:J391,$E$3:$G$3,$K$3:$M$3,$N$3:$P$3,$H$3,$I$3,$Q$3,$J$3)</f>
        <v>226.39413290638959</v>
      </c>
      <c r="L391" s="12">
        <f ca="1"/>
        <v>7.9890149631864915E-3</v>
      </c>
      <c r="M391" s="12">
        <f t="array" aca="1" ref="M391:N391" ca="1">Opt3Spd(H391:J391,$E$3:$G$3,$K$3:$M$3,$N$3:$P$3,$H$4,$I$3,$Q$3,$J$3)</f>
        <v>0.24820944306501147</v>
      </c>
      <c r="N391" s="12">
        <f ca="1"/>
        <v>173.86206555163861</v>
      </c>
      <c r="O391" s="12">
        <f t="shared" ca="1" si="54"/>
        <v>0.25619845802819796</v>
      </c>
    </row>
    <row r="392" spans="2:15" x14ac:dyDescent="0.15">
      <c r="B392" s="6">
        <f t="shared" ca="1" si="55"/>
        <v>0.80365037142722262</v>
      </c>
      <c r="C392" s="6">
        <f t="shared" ca="1" si="55"/>
        <v>-1.2362965173621099</v>
      </c>
      <c r="D392" s="6">
        <f t="shared" ca="1" si="55"/>
        <v>0.99846478305408792</v>
      </c>
      <c r="E392" s="8">
        <f t="shared" ca="1" si="56"/>
        <v>1.8297832436282351E-2</v>
      </c>
      <c r="F392" s="8">
        <f t="shared" ca="1" si="57"/>
        <v>1.3896197441952403E-3</v>
      </c>
      <c r="G392" s="8">
        <f t="shared" ca="1" si="58"/>
        <v>3.657257455907794E-2</v>
      </c>
      <c r="H392" s="10">
        <f t="shared" ca="1" si="59"/>
        <v>4089.4840950641101</v>
      </c>
      <c r="I392" s="10">
        <f t="shared" ca="1" si="60"/>
        <v>544.75595314084217</v>
      </c>
      <c r="J392" s="10">
        <f t="shared" ca="1" si="61"/>
        <v>2317.776276714098</v>
      </c>
      <c r="K392" s="12">
        <f t="array" aca="1" ref="K392:L392" ca="1">Opt3Spd(H392:J392,$E$3:$G$3,$K$3:$M$3,$N$3:$P$3,$H$3,$I$3,$Q$3,$J$3)</f>
        <v>233.99269639487306</v>
      </c>
      <c r="L392" s="12">
        <f ca="1"/>
        <v>6.264713159225721E-3</v>
      </c>
      <c r="M392" s="12">
        <f t="array" aca="1" ref="M392:N392" ca="1">Opt3Spd(H392:J392,$E$3:$G$3,$K$3:$M$3,$N$3:$P$3,$H$4,$I$3,$Q$3,$J$3)</f>
        <v>0.36305212258746877</v>
      </c>
      <c r="N392" s="12">
        <f ca="1"/>
        <v>166.37662044087364</v>
      </c>
      <c r="O392" s="12">
        <f t="shared" ca="1" si="54"/>
        <v>0.36931683574669449</v>
      </c>
    </row>
    <row r="393" spans="2:15" x14ac:dyDescent="0.15">
      <c r="B393" s="6">
        <f t="shared" ca="1" si="55"/>
        <v>-0.46790112905843312</v>
      </c>
      <c r="C393" s="6">
        <f t="shared" ca="1" si="55"/>
        <v>-0.93172666529486015</v>
      </c>
      <c r="D393" s="6">
        <f t="shared" ca="1" si="55"/>
        <v>0.13097801497159126</v>
      </c>
      <c r="E393" s="8">
        <f t="shared" ca="1" si="56"/>
        <v>-1.0653359670641124E-2</v>
      </c>
      <c r="F393" s="8">
        <f t="shared" ca="1" si="57"/>
        <v>-3.8775094228496038E-2</v>
      </c>
      <c r="G393" s="8">
        <f t="shared" ca="1" si="58"/>
        <v>-1.8499386045076421E-2</v>
      </c>
      <c r="H393" s="10">
        <f t="shared" ca="1" si="59"/>
        <v>3973.2161075627055</v>
      </c>
      <c r="I393" s="10">
        <f t="shared" ca="1" si="60"/>
        <v>522.90634873969816</v>
      </c>
      <c r="J393" s="10">
        <f t="shared" ca="1" si="61"/>
        <v>2194.6353728032091</v>
      </c>
      <c r="K393" s="12">
        <f t="array" aca="1" ref="K393:L393" ca="1">Opt3Spd(H393:J393,$E$3:$G$3,$K$3:$M$3,$N$3:$P$3,$H$3,$I$3,$Q$3,$J$3)</f>
        <v>214.26330151364141</v>
      </c>
      <c r="L393" s="12">
        <f ca="1"/>
        <v>1.5038336057614288E-2</v>
      </c>
      <c r="M393" s="12">
        <f t="array" aca="1" ref="M393:N393" ca="1">Opt3Spd(H393:J393,$E$3:$G$3,$K$3:$M$3,$N$3:$P$3,$H$4,$I$3,$Q$3,$J$3)</f>
        <v>0.14735690202515173</v>
      </c>
      <c r="N393" s="12">
        <f ca="1"/>
        <v>185.89909372444134</v>
      </c>
      <c r="O393" s="12">
        <f t="shared" ca="1" si="54"/>
        <v>0.16239523808276601</v>
      </c>
    </row>
    <row r="394" spans="2:15" x14ac:dyDescent="0.15">
      <c r="B394" s="6">
        <f t="shared" ca="1" si="55"/>
        <v>-0.76703624355237354</v>
      </c>
      <c r="C394" s="6">
        <f t="shared" ca="1" si="55"/>
        <v>-2.8552740183737892</v>
      </c>
      <c r="D394" s="6">
        <f t="shared" ca="1" si="55"/>
        <v>-0.56977936871011869</v>
      </c>
      <c r="E394" s="8">
        <f t="shared" ca="1" si="56"/>
        <v>-1.7464187358181033E-2</v>
      </c>
      <c r="F394" s="8">
        <f t="shared" ca="1" si="57"/>
        <v>-9.4090530462735994E-2</v>
      </c>
      <c r="G394" s="8">
        <f t="shared" ca="1" si="58"/>
        <v>-4.253833218167722E-2</v>
      </c>
      <c r="H394" s="10">
        <f t="shared" ca="1" si="59"/>
        <v>3945.8638235695453</v>
      </c>
      <c r="I394" s="10">
        <f t="shared" ca="1" si="60"/>
        <v>492.81475142827162</v>
      </c>
      <c r="J394" s="10">
        <f t="shared" ca="1" si="61"/>
        <v>2140.8842892417697</v>
      </c>
      <c r="K394" s="12">
        <f t="array" aca="1" ref="K394:L394" ca="1">Opt3Spd(H394:J394,$E$3:$G$3,$K$3:$M$3,$N$3:$P$3,$H$3,$I$3,$Q$3,$J$3)</f>
        <v>261.91902692984718</v>
      </c>
      <c r="L394" s="12">
        <f ca="1"/>
        <v>9.5026642134143913E-4</v>
      </c>
      <c r="M394" s="12">
        <f t="array" aca="1" ref="M394:N394" ca="1">Opt3Spd(H394:J394,$E$3:$G$3,$K$3:$M$3,$N$3:$P$3,$H$4,$I$3,$Q$3,$J$3)</f>
        <v>0.9312870789447345</v>
      </c>
      <c r="N394" s="12">
        <f ca="1"/>
        <v>139.0132104155189</v>
      </c>
      <c r="O394" s="12">
        <f t="shared" ca="1" si="54"/>
        <v>0.93223734536607594</v>
      </c>
    </row>
    <row r="395" spans="2:15" x14ac:dyDescent="0.15">
      <c r="B395" s="6">
        <f t="shared" ca="1" si="55"/>
        <v>-8.4872686115718507E-2</v>
      </c>
      <c r="C395" s="6">
        <f t="shared" ca="1" si="55"/>
        <v>0.8714800151472496</v>
      </c>
      <c r="D395" s="6">
        <f t="shared" ca="1" si="55"/>
        <v>2.2354793845240692</v>
      </c>
      <c r="E395" s="8">
        <f t="shared" ca="1" si="56"/>
        <v>-1.9324151946879813E-3</v>
      </c>
      <c r="F395" s="8">
        <f t="shared" ca="1" si="57"/>
        <v>1.6885789400108139E-2</v>
      </c>
      <c r="G395" s="8">
        <f t="shared" ca="1" si="58"/>
        <v>2.322648009346728E-2</v>
      </c>
      <c r="H395" s="10">
        <f t="shared" ca="1" si="59"/>
        <v>4008.2394205781329</v>
      </c>
      <c r="I395" s="10">
        <f t="shared" ca="1" si="60"/>
        <v>553.18586943365881</v>
      </c>
      <c r="J395" s="10">
        <f t="shared" ca="1" si="61"/>
        <v>2287.9344094889925</v>
      </c>
      <c r="K395" s="12">
        <f t="array" aca="1" ref="K395:L395" ca="1">Opt3Spd(H395:J395,$E$3:$G$3,$K$3:$M$3,$N$3:$P$3,$H$3,$I$3,$Q$3,$J$3)</f>
        <v>154.45110515766692</v>
      </c>
      <c r="L395" s="12">
        <f ca="1"/>
        <v>0.27628041788443625</v>
      </c>
      <c r="M395" s="12">
        <f t="array" aca="1" ref="M395:N395" ca="1">Opt3Spd(H395:J395,$E$3:$G$3,$K$3:$M$3,$N$3:$P$3,$H$4,$I$3,$Q$3,$J$3)</f>
        <v>8.7584371946585193E-3</v>
      </c>
      <c r="N395" s="12">
        <f ca="1"/>
        <v>245.83393369741219</v>
      </c>
      <c r="O395" s="12">
        <f t="shared" ref="O395:O458" ca="1" si="62">L395+M395</f>
        <v>0.28503885507909477</v>
      </c>
    </row>
    <row r="396" spans="2:15" x14ac:dyDescent="0.15">
      <c r="B396" s="6">
        <f t="shared" ca="1" si="55"/>
        <v>1.0268296752854065</v>
      </c>
      <c r="C396" s="6">
        <f t="shared" ca="1" si="55"/>
        <v>-0.26462056096797065</v>
      </c>
      <c r="D396" s="6">
        <f t="shared" ca="1" si="55"/>
        <v>0.63863310860255174</v>
      </c>
      <c r="E396" s="8">
        <f t="shared" ca="1" si="56"/>
        <v>2.3379267909261543E-2</v>
      </c>
      <c r="F396" s="8">
        <f t="shared" ca="1" si="57"/>
        <v>3.2005494964191153E-2</v>
      </c>
      <c r="G396" s="8">
        <f t="shared" ca="1" si="58"/>
        <v>4.3759259867775083E-2</v>
      </c>
      <c r="H396" s="10">
        <f t="shared" ca="1" si="59"/>
        <v>4109.891139923594</v>
      </c>
      <c r="I396" s="10">
        <f t="shared" ca="1" si="60"/>
        <v>561.41098926052007</v>
      </c>
      <c r="J396" s="10">
        <f t="shared" ca="1" si="61"/>
        <v>2333.8457050643451</v>
      </c>
      <c r="K396" s="12">
        <f t="array" aca="1" ref="K396:L396" ca="1">Opt3Spd(H396:J396,$E$3:$G$3,$K$3:$M$3,$N$3:$P$3,$H$3,$I$3,$Q$3,$J$3)</f>
        <v>219.72452220673335</v>
      </c>
      <c r="L396" s="12">
        <f ca="1"/>
        <v>1.3817632143855008E-2</v>
      </c>
      <c r="M396" s="12">
        <f t="array" aca="1" ref="M396:N396" ca="1">Opt3Spd(H396:J396,$E$3:$G$3,$K$3:$M$3,$N$3:$P$3,$H$4,$I$3,$Q$3,$J$3)</f>
        <v>0.20757277718658074</v>
      </c>
      <c r="N396" s="12">
        <f ca="1"/>
        <v>180.49686820259708</v>
      </c>
      <c r="O396" s="12">
        <f t="shared" ca="1" si="62"/>
        <v>0.22139040933043574</v>
      </c>
    </row>
    <row r="397" spans="2:15" x14ac:dyDescent="0.15">
      <c r="B397" s="6">
        <f t="shared" ca="1" si="55"/>
        <v>-2.8167107726562843</v>
      </c>
      <c r="C397" s="6">
        <f t="shared" ca="1" si="55"/>
        <v>-1.7017154802242938</v>
      </c>
      <c r="D397" s="6">
        <f t="shared" ca="1" si="55"/>
        <v>0.40767941204644326</v>
      </c>
      <c r="E397" s="8">
        <f t="shared" ca="1" si="56"/>
        <v>-6.4131995170991399E-2</v>
      </c>
      <c r="F397" s="8">
        <f t="shared" ca="1" si="57"/>
        <v>-0.14360159022166324</v>
      </c>
      <c r="G397" s="8">
        <f t="shared" ca="1" si="58"/>
        <v>-0.1040783727607259</v>
      </c>
      <c r="H397" s="10">
        <f t="shared" ca="1" si="59"/>
        <v>3758.4459073932985</v>
      </c>
      <c r="I397" s="10">
        <f t="shared" ca="1" si="60"/>
        <v>465.8807349194152</v>
      </c>
      <c r="J397" s="10">
        <f t="shared" ca="1" si="61"/>
        <v>2003.2807585070168</v>
      </c>
      <c r="K397" s="12">
        <f t="array" aca="1" ref="K397:L397" ca="1">Opt3Spd(H397:J397,$E$3:$G$3,$K$3:$M$3,$N$3:$P$3,$H$3,$I$3,$Q$3,$J$3)</f>
        <v>186.44572252804096</v>
      </c>
      <c r="L397" s="12">
        <f ca="1"/>
        <v>4.9370259315082876E-2</v>
      </c>
      <c r="M397" s="12">
        <f t="array" aca="1" ref="M397:N397" ca="1">Opt3Spd(H397:J397,$E$3:$G$3,$K$3:$M$3,$N$3:$P$3,$H$4,$I$3,$Q$3,$J$3)</f>
        <v>3.417727309674401E-2</v>
      </c>
      <c r="N397" s="12">
        <f ca="1"/>
        <v>213.63782500437085</v>
      </c>
      <c r="O397" s="12">
        <f t="shared" ca="1" si="62"/>
        <v>8.3547532411826886E-2</v>
      </c>
    </row>
    <row r="398" spans="2:15" x14ac:dyDescent="0.15">
      <c r="B398" s="6">
        <f t="shared" ca="1" si="55"/>
        <v>-8.4820690077767574E-2</v>
      </c>
      <c r="C398" s="6">
        <f t="shared" ca="1" si="55"/>
        <v>1.8843285494030477</v>
      </c>
      <c r="D398" s="6">
        <f t="shared" ca="1" si="55"/>
        <v>-0.82959062261020788</v>
      </c>
      <c r="E398" s="8">
        <f t="shared" ca="1" si="56"/>
        <v>-1.931231328141529E-3</v>
      </c>
      <c r="F398" s="8">
        <f t="shared" ca="1" si="57"/>
        <v>4.01715837323664E-2</v>
      </c>
      <c r="G398" s="8">
        <f t="shared" ca="1" si="58"/>
        <v>-6.4836973001707598E-3</v>
      </c>
      <c r="H398" s="10">
        <f t="shared" ca="1" si="59"/>
        <v>4008.2441749861837</v>
      </c>
      <c r="I398" s="10">
        <f t="shared" ca="1" si="60"/>
        <v>565.85334155040732</v>
      </c>
      <c r="J398" s="10">
        <f t="shared" ca="1" si="61"/>
        <v>2221.5024528368181</v>
      </c>
      <c r="K398" s="12">
        <f t="array" aca="1" ref="K398:L398" ca="1">Opt3Spd(H398:J398,$E$3:$G$3,$K$3:$M$3,$N$3:$P$3,$H$3,$I$3,$Q$3,$J$3)</f>
        <v>167.28009396043785</v>
      </c>
      <c r="L398" s="12">
        <f ca="1"/>
        <v>0.15249187331482972</v>
      </c>
      <c r="M398" s="12">
        <f t="array" aca="1" ref="M398:N398" ca="1">Opt3Spd(H398:J398,$E$3:$G$3,$K$3:$M$3,$N$3:$P$3,$H$4,$I$3,$Q$3,$J$3)</f>
        <v>1.6270062483199732E-2</v>
      </c>
      <c r="N398" s="12">
        <f ca="1"/>
        <v>232.88866797536016</v>
      </c>
      <c r="O398" s="12">
        <f t="shared" ca="1" si="62"/>
        <v>0.16876193579802945</v>
      </c>
    </row>
    <row r="399" spans="2:15" x14ac:dyDescent="0.15">
      <c r="B399" s="6">
        <f t="shared" ca="1" si="55"/>
        <v>-8.3243551868847576E-2</v>
      </c>
      <c r="C399" s="6">
        <f t="shared" ca="1" si="55"/>
        <v>-0.27527705384504692</v>
      </c>
      <c r="D399" s="6">
        <f t="shared" ca="1" si="55"/>
        <v>0.76428386728095332</v>
      </c>
      <c r="E399" s="8">
        <f t="shared" ca="1" si="56"/>
        <v>-1.8953224158810562E-3</v>
      </c>
      <c r="F399" s="8">
        <f t="shared" ca="1" si="57"/>
        <v>-9.4160018630389287E-3</v>
      </c>
      <c r="G399" s="8">
        <f t="shared" ca="1" si="58"/>
        <v>4.2846035998903801E-3</v>
      </c>
      <c r="H399" s="10">
        <f t="shared" ca="1" si="59"/>
        <v>4008.3883851778214</v>
      </c>
      <c r="I399" s="10">
        <f t="shared" ca="1" si="60"/>
        <v>538.87769498650687</v>
      </c>
      <c r="J399" s="10">
        <f t="shared" ca="1" si="61"/>
        <v>2245.5803736493549</v>
      </c>
      <c r="K399" s="12">
        <f t="array" aca="1" ref="K399:L399" ca="1">Opt3Spd(H399:J399,$E$3:$G$3,$K$3:$M$3,$N$3:$P$3,$H$3,$I$3,$Q$3,$J$3)</f>
        <v>198.42966335574988</v>
      </c>
      <c r="L399" s="12">
        <f ca="1"/>
        <v>3.5776981017079379E-2</v>
      </c>
      <c r="M399" s="12">
        <f t="array" aca="1" ref="M399:N399" ca="1">Opt3Spd(H399:J399,$E$3:$G$3,$K$3:$M$3,$N$3:$P$3,$H$4,$I$3,$Q$3,$J$3)</f>
        <v>7.5859204228496679E-2</v>
      </c>
      <c r="N399" s="12">
        <f ca="1"/>
        <v>201.68197282949569</v>
      </c>
      <c r="O399" s="12">
        <f t="shared" ca="1" si="62"/>
        <v>0.11163618524557606</v>
      </c>
    </row>
    <row r="400" spans="2:15" x14ac:dyDescent="0.15">
      <c r="B400" s="6">
        <f t="shared" ca="1" si="55"/>
        <v>-0.44388633083061974</v>
      </c>
      <c r="C400" s="6">
        <f t="shared" ca="1" si="55"/>
        <v>0.2660179622530745</v>
      </c>
      <c r="D400" s="6">
        <f t="shared" ca="1" si="55"/>
        <v>0.9123459431364237</v>
      </c>
      <c r="E400" s="8">
        <f t="shared" ca="1" si="56"/>
        <v>-1.0106581159006412E-2</v>
      </c>
      <c r="F400" s="8">
        <f t="shared" ca="1" si="57"/>
        <v>-1.034995197814409E-2</v>
      </c>
      <c r="G400" s="8">
        <f t="shared" ca="1" si="58"/>
        <v>-5.8161485941473174E-3</v>
      </c>
      <c r="H400" s="10">
        <f t="shared" ca="1" si="59"/>
        <v>3975.4119700654301</v>
      </c>
      <c r="I400" s="10">
        <f t="shared" ca="1" si="60"/>
        <v>538.3696261238897</v>
      </c>
      <c r="J400" s="10">
        <f t="shared" ca="1" si="61"/>
        <v>2222.9950917434867</v>
      </c>
      <c r="K400" s="12">
        <f t="array" aca="1" ref="K400:L400" ca="1">Opt3Spd(H400:J400,$E$3:$G$3,$K$3:$M$3,$N$3:$P$3,$H$3,$I$3,$Q$3,$J$3)</f>
        <v>177.6169477343783</v>
      </c>
      <c r="L400" s="12">
        <f ca="1"/>
        <v>9.3925338914914391E-2</v>
      </c>
      <c r="M400" s="12">
        <f t="array" aca="1" ref="M400:N400" ca="1">Opt3Spd(H400:J400,$E$3:$G$3,$K$3:$M$3,$N$3:$P$3,$H$4,$I$3,$Q$3,$J$3)</f>
        <v>2.7270670081947834E-2</v>
      </c>
      <c r="N400" s="12">
        <f ca="1"/>
        <v>222.50424827461856</v>
      </c>
      <c r="O400" s="12">
        <f t="shared" ca="1" si="62"/>
        <v>0.12119600899686223</v>
      </c>
    </row>
    <row r="401" spans="2:15" x14ac:dyDescent="0.15">
      <c r="B401" s="6">
        <f t="shared" ca="1" si="55"/>
        <v>0.16290887856887459</v>
      </c>
      <c r="C401" s="6">
        <f t="shared" ca="1" si="55"/>
        <v>-0.19142286749535273</v>
      </c>
      <c r="D401" s="6">
        <f t="shared" ca="1" si="55"/>
        <v>0.21349634057057904</v>
      </c>
      <c r="E401" s="8">
        <f t="shared" ca="1" si="56"/>
        <v>3.7091743728583353E-3</v>
      </c>
      <c r="F401" s="8">
        <f t="shared" ca="1" si="57"/>
        <v>1.6423392103142064E-3</v>
      </c>
      <c r="G401" s="8">
        <f t="shared" ca="1" si="58"/>
        <v>7.7037003862486207E-3</v>
      </c>
      <c r="H401" s="10">
        <f t="shared" ca="1" si="59"/>
        <v>4030.8960442813991</v>
      </c>
      <c r="I401" s="10">
        <f t="shared" ca="1" si="60"/>
        <v>544.89343253041091</v>
      </c>
      <c r="J401" s="10">
        <f t="shared" ca="1" si="61"/>
        <v>2253.2254740636517</v>
      </c>
      <c r="K401" s="12">
        <f t="array" aca="1" ref="K401:L401" ca="1">Opt3Spd(H401:J401,$E$3:$G$3,$K$3:$M$3,$N$3:$P$3,$H$3,$I$3,$Q$3,$J$3)</f>
        <v>207.47693605749714</v>
      </c>
      <c r="L401" s="12">
        <f ca="1"/>
        <v>2.3120856581272164E-2</v>
      </c>
      <c r="M401" s="12">
        <f t="array" aca="1" ref="M401:N401" ca="1">Opt3Spd(H401:J401,$E$3:$G$3,$K$3:$M$3,$N$3:$P$3,$H$4,$I$3,$Q$3,$J$3)</f>
        <v>0.11503342591797505</v>
      </c>
      <c r="N401" s="12">
        <f ca="1"/>
        <v>192.6612182250021</v>
      </c>
      <c r="O401" s="12">
        <f t="shared" ca="1" si="62"/>
        <v>0.13815428249924722</v>
      </c>
    </row>
    <row r="402" spans="2:15" x14ac:dyDescent="0.15">
      <c r="B402" s="6">
        <f t="shared" ca="1" si="55"/>
        <v>0.69347041447865532</v>
      </c>
      <c r="C402" s="6">
        <f t="shared" ca="1" si="55"/>
        <v>-0.55342783365935089</v>
      </c>
      <c r="D402" s="6">
        <f t="shared" ca="1" si="55"/>
        <v>1.1517357184039976</v>
      </c>
      <c r="E402" s="8">
        <f t="shared" ca="1" si="56"/>
        <v>1.5789211197793619E-2</v>
      </c>
      <c r="F402" s="8">
        <f t="shared" ca="1" si="57"/>
        <v>1.3000782414228522E-2</v>
      </c>
      <c r="G402" s="8">
        <f t="shared" ca="1" si="58"/>
        <v>3.6139893638100197E-2</v>
      </c>
      <c r="H402" s="10">
        <f t="shared" ca="1" si="59"/>
        <v>4079.4094721703386</v>
      </c>
      <c r="I402" s="10">
        <f t="shared" ca="1" si="60"/>
        <v>551.07242563334023</v>
      </c>
      <c r="J402" s="10">
        <f t="shared" ca="1" si="61"/>
        <v>2316.8088021747917</v>
      </c>
      <c r="K402" s="12">
        <f t="array" aca="1" ref="K402:L402" ca="1">Opt3Spd(H402:J402,$E$3:$G$3,$K$3:$M$3,$N$3:$P$3,$H$3,$I$3,$Q$3,$J$3)</f>
        <v>214.30687746083595</v>
      </c>
      <c r="L402" s="12">
        <f ca="1"/>
        <v>1.7687391237359407E-2</v>
      </c>
      <c r="M402" s="12">
        <f t="array" aca="1" ref="M402:N402" ca="1">Opt3Spd(H402:J402,$E$3:$G$3,$K$3:$M$3,$N$3:$P$3,$H$4,$I$3,$Q$3,$J$3)</f>
        <v>0.1627347065357867</v>
      </c>
      <c r="N402" s="12">
        <f ca="1"/>
        <v>185.8735446369372</v>
      </c>
      <c r="O402" s="12">
        <f t="shared" ca="1" si="62"/>
        <v>0.18042209777314611</v>
      </c>
    </row>
    <row r="403" spans="2:15" x14ac:dyDescent="0.15">
      <c r="B403" s="6">
        <f t="shared" ca="1" si="55"/>
        <v>0.12344278952433477</v>
      </c>
      <c r="C403" s="6">
        <f t="shared" ca="1" si="55"/>
        <v>-0.15175281226126797</v>
      </c>
      <c r="D403" s="6">
        <f t="shared" ca="1" si="55"/>
        <v>1.1436797363680116</v>
      </c>
      <c r="E403" s="8">
        <f t="shared" ca="1" si="56"/>
        <v>2.8105947044760318E-3</v>
      </c>
      <c r="F403" s="8">
        <f t="shared" ca="1" si="57"/>
        <v>1.0903581178816589E-3</v>
      </c>
      <c r="G403" s="8">
        <f t="shared" ca="1" si="58"/>
        <v>1.6278235767239586E-2</v>
      </c>
      <c r="H403" s="10">
        <f t="shared" ca="1" si="59"/>
        <v>4027.2873483331759</v>
      </c>
      <c r="I403" s="10">
        <f t="shared" ca="1" si="60"/>
        <v>544.59315481612759</v>
      </c>
      <c r="J403" s="10">
        <f t="shared" ca="1" si="61"/>
        <v>2272.3981351755474</v>
      </c>
      <c r="K403" s="12">
        <f t="array" aca="1" ref="K403:L403" ca="1">Opt3Spd(H403:J403,$E$3:$G$3,$K$3:$M$3,$N$3:$P$3,$H$3,$I$3,$Q$3,$J$3)</f>
        <v>194.7833329429277</v>
      </c>
      <c r="L403" s="12">
        <f ca="1"/>
        <v>4.4099903329424706E-2</v>
      </c>
      <c r="M403" s="12">
        <f t="array" aca="1" ref="M403:N403" ca="1">Opt3Spd(H403:J403,$E$3:$G$3,$K$3:$M$3,$N$3:$P$3,$H$4,$I$3,$Q$3,$J$3)</f>
        <v>6.5716680188971921E-2</v>
      </c>
      <c r="N403" s="12">
        <f ca="1"/>
        <v>205.32648364059071</v>
      </c>
      <c r="O403" s="12">
        <f t="shared" ca="1" si="62"/>
        <v>0.10981658351839663</v>
      </c>
    </row>
    <row r="404" spans="2:15" x14ac:dyDescent="0.15">
      <c r="B404" s="6">
        <f t="shared" ca="1" si="55"/>
        <v>-0.75197437431241154</v>
      </c>
      <c r="C404" s="6">
        <f t="shared" ca="1" si="55"/>
        <v>-0.49608221639683375</v>
      </c>
      <c r="D404" s="6">
        <f t="shared" ca="1" si="55"/>
        <v>1.2400372106931332</v>
      </c>
      <c r="E404" s="8">
        <f t="shared" ca="1" si="56"/>
        <v>-1.7121252707332085E-2</v>
      </c>
      <c r="F404" s="8">
        <f t="shared" ca="1" si="57"/>
        <v>-3.9297558807050534E-2</v>
      </c>
      <c r="G404" s="8">
        <f t="shared" ca="1" si="58"/>
        <v>-1.5856244036346282E-2</v>
      </c>
      <c r="H404" s="10">
        <f t="shared" ca="1" si="59"/>
        <v>3947.241049127354</v>
      </c>
      <c r="I404" s="10">
        <f t="shared" ca="1" si="60"/>
        <v>522.62212800896452</v>
      </c>
      <c r="J404" s="10">
        <f t="shared" ca="1" si="61"/>
        <v>2200.5454383347296</v>
      </c>
      <c r="K404" s="12">
        <f t="array" aca="1" ref="K404:L404" ca="1">Opt3Spd(H404:J404,$E$3:$G$3,$K$3:$M$3,$N$3:$P$3,$H$3,$I$3,$Q$3,$J$3)</f>
        <v>185.83506157406282</v>
      </c>
      <c r="L404" s="12">
        <f ca="1"/>
        <v>6.213642841703404E-2</v>
      </c>
      <c r="M404" s="12">
        <f t="array" aca="1" ref="M404:N404" ca="1">Opt3Spd(H404:J404,$E$3:$G$3,$K$3:$M$3,$N$3:$P$3,$H$4,$I$3,$Q$3,$J$3)</f>
        <v>3.9904276544955763E-2</v>
      </c>
      <c r="N404" s="12">
        <f ca="1"/>
        <v>214.26697913089916</v>
      </c>
      <c r="O404" s="12">
        <f t="shared" ca="1" si="62"/>
        <v>0.1020407049619898</v>
      </c>
    </row>
    <row r="405" spans="2:15" x14ac:dyDescent="0.15">
      <c r="B405" s="6">
        <f t="shared" ca="1" si="55"/>
        <v>0.12298753699839782</v>
      </c>
      <c r="C405" s="6">
        <f t="shared" ca="1" si="55"/>
        <v>0.2905340229895535</v>
      </c>
      <c r="D405" s="6">
        <f t="shared" ca="1" si="55"/>
        <v>0.41582102356538564</v>
      </c>
      <c r="E405" s="8">
        <f t="shared" ca="1" si="56"/>
        <v>2.8002293332499914E-3</v>
      </c>
      <c r="F405" s="8">
        <f t="shared" ca="1" si="57"/>
        <v>1.1240980840545244E-2</v>
      </c>
      <c r="G405" s="8">
        <f t="shared" ca="1" si="58"/>
        <v>9.7915378918985788E-3</v>
      </c>
      <c r="H405" s="10">
        <f t="shared" ca="1" si="59"/>
        <v>4027.2457210023322</v>
      </c>
      <c r="I405" s="10">
        <f t="shared" ca="1" si="60"/>
        <v>550.11509357725652</v>
      </c>
      <c r="J405" s="10">
        <f t="shared" ca="1" si="61"/>
        <v>2257.8938787262855</v>
      </c>
      <c r="K405" s="12">
        <f t="array" aca="1" ref="K405:L405" ca="1">Opt3Spd(H405:J405,$E$3:$G$3,$K$3:$M$3,$N$3:$P$3,$H$3,$I$3,$Q$3,$J$3)</f>
        <v>193.16182409526346</v>
      </c>
      <c r="L405" s="12">
        <f ca="1"/>
        <v>4.7192179684543589E-2</v>
      </c>
      <c r="M405" s="12">
        <f t="array" aca="1" ref="M405:N405" ca="1">Opt3Spd(H405:J405,$E$3:$G$3,$K$3:$M$3,$N$3:$P$3,$H$4,$I$3,$Q$3,$J$3)</f>
        <v>6.0281358502434657E-2</v>
      </c>
      <c r="N405" s="12">
        <f ca="1"/>
        <v>206.94564944292352</v>
      </c>
      <c r="O405" s="12">
        <f t="shared" ca="1" si="62"/>
        <v>0.10747353818697825</v>
      </c>
    </row>
    <row r="406" spans="2:15" x14ac:dyDescent="0.15">
      <c r="B406" s="6">
        <f t="shared" ca="1" si="55"/>
        <v>1.6073722962953922</v>
      </c>
      <c r="C406" s="6">
        <f t="shared" ca="1" si="55"/>
        <v>-1.5834129570746476</v>
      </c>
      <c r="D406" s="6">
        <f t="shared" ca="1" si="55"/>
        <v>-0.17253174722389983</v>
      </c>
      <c r="E406" s="8">
        <f t="shared" ca="1" si="56"/>
        <v>3.6597294029868971E-2</v>
      </c>
      <c r="F406" s="8">
        <f t="shared" ca="1" si="57"/>
        <v>2.3222807314540822E-2</v>
      </c>
      <c r="G406" s="8">
        <f t="shared" ca="1" si="58"/>
        <v>5.2617652417844142E-2</v>
      </c>
      <c r="H406" s="10">
        <f t="shared" ca="1" si="59"/>
        <v>4162.9747328239537</v>
      </c>
      <c r="I406" s="10">
        <f t="shared" ca="1" si="60"/>
        <v>556.63320717911017</v>
      </c>
      <c r="J406" s="10">
        <f t="shared" ca="1" si="61"/>
        <v>2353.6530708062996</v>
      </c>
      <c r="K406" s="12">
        <f t="array" aca="1" ref="K406:L406" ca="1">Opt3Spd(H406:J406,$E$3:$G$3,$K$3:$M$3,$N$3:$P$3,$H$3,$I$3,$Q$3,$J$3)</f>
        <v>270.53590758962673</v>
      </c>
      <c r="L406" s="12">
        <f ca="1"/>
        <v>8.4165539919922594E-4</v>
      </c>
      <c r="M406" s="12">
        <f t="array" aca="1" ref="M406:N406" ca="1">Opt3Spd(H406:J406,$E$3:$G$3,$K$3:$M$3,$N$3:$P$3,$H$4,$I$3,$Q$3,$J$3)</f>
        <v>1.3806708541393817</v>
      </c>
      <c r="N406" s="12">
        <f ca="1"/>
        <v>130.84560491991186</v>
      </c>
      <c r="O406" s="12">
        <f t="shared" ca="1" si="62"/>
        <v>1.381512509538581</v>
      </c>
    </row>
    <row r="407" spans="2:15" x14ac:dyDescent="0.15">
      <c r="B407" s="6">
        <f t="shared" ca="1" si="55"/>
        <v>4.0078862741139976E-3</v>
      </c>
      <c r="C407" s="6">
        <f t="shared" ca="1" si="55"/>
        <v>-0.27520021617281193</v>
      </c>
      <c r="D407" s="6">
        <f t="shared" ca="1" si="55"/>
        <v>0.51843408881256192</v>
      </c>
      <c r="E407" s="8">
        <f t="shared" ca="1" si="56"/>
        <v>9.1253154449708464E-5</v>
      </c>
      <c r="F407" s="8">
        <f t="shared" ca="1" si="57"/>
        <v>-6.1777727804345692E-3</v>
      </c>
      <c r="G407" s="8">
        <f t="shared" ca="1" si="58"/>
        <v>4.871251546192174E-3</v>
      </c>
      <c r="H407" s="10">
        <f t="shared" ca="1" si="59"/>
        <v>4016.36647266827</v>
      </c>
      <c r="I407" s="10">
        <f t="shared" ca="1" si="60"/>
        <v>540.63929160744362</v>
      </c>
      <c r="J407" s="10">
        <f t="shared" ca="1" si="61"/>
        <v>2246.8921184572855</v>
      </c>
      <c r="K407" s="12">
        <f t="array" aca="1" ref="K407:L407" ca="1">Opt3Spd(H407:J407,$E$3:$G$3,$K$3:$M$3,$N$3:$P$3,$H$3,$I$3,$Q$3,$J$3)</f>
        <v>202.92628082950318</v>
      </c>
      <c r="L407" s="12">
        <f ca="1"/>
        <v>2.8733961785519568E-2</v>
      </c>
      <c r="M407" s="12">
        <f t="array" aca="1" ref="M407:N407" ca="1">Opt3Spd(H407:J407,$E$3:$G$3,$K$3:$M$3,$N$3:$P$3,$H$4,$I$3,$Q$3,$J$3)</f>
        <v>9.3266445622363747E-2</v>
      </c>
      <c r="N407" s="12">
        <f ca="1"/>
        <v>197.1957195779047</v>
      </c>
      <c r="O407" s="12">
        <f t="shared" ca="1" si="62"/>
        <v>0.12200040740788332</v>
      </c>
    </row>
    <row r="408" spans="2:15" x14ac:dyDescent="0.15">
      <c r="B408" s="6">
        <f t="shared" ca="1" si="55"/>
        <v>-0.69557296188910422</v>
      </c>
      <c r="C408" s="6">
        <f t="shared" ca="1" si="55"/>
        <v>0.15180642352636489</v>
      </c>
      <c r="D408" s="6">
        <f t="shared" ca="1" si="55"/>
        <v>-0.34347904246722644</v>
      </c>
      <c r="E408" s="8">
        <f t="shared" ca="1" si="56"/>
        <v>-1.5837082836473275E-2</v>
      </c>
      <c r="F408" s="8">
        <f t="shared" ca="1" si="57"/>
        <v>-2.2311445923847026E-2</v>
      </c>
      <c r="G408" s="8">
        <f t="shared" ca="1" si="58"/>
        <v>-2.8772630754351887E-2</v>
      </c>
      <c r="H408" s="10">
        <f t="shared" ca="1" si="59"/>
        <v>3952.3982753287237</v>
      </c>
      <c r="I408" s="10">
        <f t="shared" ca="1" si="60"/>
        <v>531.86257341742726</v>
      </c>
      <c r="J408" s="10">
        <f t="shared" ca="1" si="61"/>
        <v>2171.6643976332693</v>
      </c>
      <c r="K408" s="12">
        <f t="array" aca="1" ref="K408:L408" ca="1">Opt3Spd(H408:J408,$E$3:$G$3,$K$3:$M$3,$N$3:$P$3,$H$3,$I$3,$Q$3,$J$3)</f>
        <v>190.63422151089367</v>
      </c>
      <c r="L408" s="12">
        <f ca="1"/>
        <v>4.8262466688356653E-2</v>
      </c>
      <c r="M408" s="12">
        <f t="array" aca="1" ref="M408:N408" ca="1">Opt3Spd(H408:J408,$E$3:$G$3,$K$3:$M$3,$N$3:$P$3,$H$4,$I$3,$Q$3,$J$3)</f>
        <v>4.9136904475550303E-2</v>
      </c>
      <c r="N408" s="12">
        <f ca="1"/>
        <v>209.46317786027024</v>
      </c>
      <c r="O408" s="12">
        <f t="shared" ca="1" si="62"/>
        <v>9.7399371163906956E-2</v>
      </c>
    </row>
    <row r="409" spans="2:15" x14ac:dyDescent="0.15">
      <c r="B409" s="6">
        <f t="shared" ca="1" si="55"/>
        <v>-2.6818084773538775</v>
      </c>
      <c r="C409" s="6">
        <f t="shared" ca="1" si="55"/>
        <v>0.1549117663216473</v>
      </c>
      <c r="D409" s="6">
        <f t="shared" ca="1" si="55"/>
        <v>-5.3599043546973769E-3</v>
      </c>
      <c r="E409" s="8">
        <f t="shared" ca="1" si="56"/>
        <v>-6.106048586486168E-2</v>
      </c>
      <c r="F409" s="8">
        <f t="shared" ca="1" si="57"/>
        <v>-9.5916519527012786E-2</v>
      </c>
      <c r="G409" s="8">
        <f t="shared" ca="1" si="58"/>
        <v>-9.813267725546479E-2</v>
      </c>
      <c r="H409" s="10">
        <f t="shared" ca="1" si="59"/>
        <v>3770.7810887667156</v>
      </c>
      <c r="I409" s="10">
        <f t="shared" ca="1" si="60"/>
        <v>491.82141337730508</v>
      </c>
      <c r="J409" s="10">
        <f t="shared" ca="1" si="61"/>
        <v>2016.5753336567807</v>
      </c>
      <c r="K409" s="12">
        <f t="array" aca="1" ref="K409:L409" ca="1">Opt3Spd(H409:J409,$E$3:$G$3,$K$3:$M$3,$N$3:$P$3,$H$3,$I$3,$Q$3,$J$3)</f>
        <v>150.83659146884884</v>
      </c>
      <c r="L409" s="12">
        <f ca="1"/>
        <v>0.2574309342116976</v>
      </c>
      <c r="M409" s="12">
        <f t="array" aca="1" ref="M409:N409" ca="1">Opt3Spd(H409:J409,$E$3:$G$3,$K$3:$M$3,$N$3:$P$3,$H$4,$I$3,$Q$3,$J$3)</f>
        <v>4.9861956625257831E-3</v>
      </c>
      <c r="N409" s="12">
        <f ca="1"/>
        <v>249.42582566102539</v>
      </c>
      <c r="O409" s="12">
        <f t="shared" ca="1" si="62"/>
        <v>0.26241712987422339</v>
      </c>
    </row>
    <row r="410" spans="2:15" x14ac:dyDescent="0.15">
      <c r="B410" s="6">
        <f t="shared" ca="1" si="55"/>
        <v>0.5013399829301548</v>
      </c>
      <c r="C410" s="6">
        <f t="shared" ca="1" si="55"/>
        <v>6.4664904750755883E-3</v>
      </c>
      <c r="D410" s="6">
        <f t="shared" ca="1" si="55"/>
        <v>-0.48832803321225265</v>
      </c>
      <c r="E410" s="8">
        <f t="shared" ca="1" si="56"/>
        <v>1.1414708842818422E-2</v>
      </c>
      <c r="F410" s="8">
        <f t="shared" ca="1" si="57"/>
        <v>1.8745118054110829E-2</v>
      </c>
      <c r="G410" s="8">
        <f t="shared" ca="1" si="58"/>
        <v>1.3235002626301475E-2</v>
      </c>
      <c r="H410" s="10">
        <f t="shared" ca="1" si="59"/>
        <v>4061.841470712759</v>
      </c>
      <c r="I410" s="10">
        <f t="shared" ca="1" si="60"/>
        <v>554.1973442214362</v>
      </c>
      <c r="J410" s="10">
        <f t="shared" ca="1" si="61"/>
        <v>2265.59346587241</v>
      </c>
      <c r="K410" s="12">
        <f t="array" aca="1" ref="K410:L410" ca="1">Opt3Spd(H410:J410,$E$3:$G$3,$K$3:$M$3,$N$3:$P$3,$H$3,$I$3,$Q$3,$J$3)</f>
        <v>217.34327601612199</v>
      </c>
      <c r="L410" s="12">
        <f ca="1"/>
        <v>1.4288993865875455E-2</v>
      </c>
      <c r="M410" s="12">
        <f t="array" aca="1" ref="M410:N410" ca="1">Opt3Spd(H410:J410,$E$3:$G$3,$K$3:$M$3,$N$3:$P$3,$H$4,$I$3,$Q$3,$J$3)</f>
        <v>0.17847727741341401</v>
      </c>
      <c r="N410" s="12">
        <f ca="1"/>
        <v>182.84949025515729</v>
      </c>
      <c r="O410" s="12">
        <f t="shared" ca="1" si="62"/>
        <v>0.19276627127928947</v>
      </c>
    </row>
    <row r="411" spans="2:15" x14ac:dyDescent="0.15">
      <c r="B411" s="6">
        <f t="shared" ca="1" si="55"/>
        <v>-0.38617619200644188</v>
      </c>
      <c r="C411" s="6">
        <f t="shared" ca="1" si="55"/>
        <v>0.73754630282735401</v>
      </c>
      <c r="D411" s="6">
        <f t="shared" ca="1" si="55"/>
        <v>1.1662088874066618</v>
      </c>
      <c r="E411" s="8">
        <f t="shared" ca="1" si="56"/>
        <v>-8.7926136830702335E-3</v>
      </c>
      <c r="F411" s="8">
        <f t="shared" ca="1" si="57"/>
        <v>2.6304479357048675E-3</v>
      </c>
      <c r="G411" s="8">
        <f t="shared" ca="1" si="58"/>
        <v>3.7727685412767208E-4</v>
      </c>
      <c r="H411" s="10">
        <f t="shared" ca="1" si="59"/>
        <v>3980.6888634487896</v>
      </c>
      <c r="I411" s="10">
        <f t="shared" ca="1" si="60"/>
        <v>545.43096367702344</v>
      </c>
      <c r="J411" s="10">
        <f t="shared" ca="1" si="61"/>
        <v>2236.8435910458297</v>
      </c>
      <c r="K411" s="12">
        <f t="array" aca="1" ref="K411:L411" ca="1">Opt3Spd(H411:J411,$E$3:$G$3,$K$3:$M$3,$N$3:$P$3,$H$3,$I$3,$Q$3,$J$3)</f>
        <v>164.74753423879679</v>
      </c>
      <c r="L411" s="12">
        <f ca="1"/>
        <v>0.17000819615941509</v>
      </c>
      <c r="M411" s="12">
        <f t="array" aca="1" ref="M411:N411" ca="1">Opt3Spd(H411:J411,$E$3:$G$3,$K$3:$M$3,$N$3:$P$3,$H$4,$I$3,$Q$3,$J$3)</f>
        <v>1.4295155040446428E-2</v>
      </c>
      <c r="N411" s="12">
        <f ca="1"/>
        <v>235.43676911240308</v>
      </c>
      <c r="O411" s="12">
        <f t="shared" ca="1" si="62"/>
        <v>0.18430335119986152</v>
      </c>
    </row>
    <row r="412" spans="2:15" x14ac:dyDescent="0.15">
      <c r="B412" s="6">
        <f t="shared" ca="1" si="55"/>
        <v>-0.79680843089293829</v>
      </c>
      <c r="C412" s="6">
        <f t="shared" ca="1" si="55"/>
        <v>-1.0861734325569992</v>
      </c>
      <c r="D412" s="6">
        <f t="shared" ca="1" si="55"/>
        <v>-0.1379813469571656</v>
      </c>
      <c r="E412" s="8">
        <f t="shared" ca="1" si="56"/>
        <v>-1.8142052403215224E-2</v>
      </c>
      <c r="F412" s="8">
        <f t="shared" ca="1" si="57"/>
        <v>-5.4525921870263755E-2</v>
      </c>
      <c r="G412" s="8">
        <f t="shared" ca="1" si="58"/>
        <v>-3.3896498616997423E-2</v>
      </c>
      <c r="H412" s="10">
        <f t="shared" ca="1" si="59"/>
        <v>3943.1415175486877</v>
      </c>
      <c r="I412" s="10">
        <f t="shared" ca="1" si="60"/>
        <v>514.33789850257654</v>
      </c>
      <c r="J412" s="10">
        <f t="shared" ca="1" si="61"/>
        <v>2160.2074290923938</v>
      </c>
      <c r="K412" s="12">
        <f t="array" aca="1" ref="K412:L412" ca="1">Opt3Spd(H412:J412,$E$3:$G$3,$K$3:$M$3,$N$3:$P$3,$H$3,$I$3,$Q$3,$J$3)</f>
        <v>215.11091732084401</v>
      </c>
      <c r="L412" s="12">
        <f ca="1"/>
        <v>1.3751922475648826E-2</v>
      </c>
      <c r="M412" s="12">
        <f t="array" aca="1" ref="M412:N412" ca="1">Opt3Spd(H412:J412,$E$3:$G$3,$K$3:$M$3,$N$3:$P$3,$H$4,$I$3,$Q$3,$J$3)</f>
        <v>0.14889075045820377</v>
      </c>
      <c r="N412" s="12">
        <f ca="1"/>
        <v>185.05172535208985</v>
      </c>
      <c r="O412" s="12">
        <f t="shared" ca="1" si="62"/>
        <v>0.16264267293385259</v>
      </c>
    </row>
    <row r="413" spans="2:15" x14ac:dyDescent="0.15">
      <c r="B413" s="6">
        <f t="shared" ca="1" si="55"/>
        <v>-2.4770015512073536E-2</v>
      </c>
      <c r="C413" s="6">
        <f t="shared" ca="1" si="55"/>
        <v>-2.5210816230273547</v>
      </c>
      <c r="D413" s="6">
        <f t="shared" ca="1" si="55"/>
        <v>-1.0451114675283411</v>
      </c>
      <c r="E413" s="8">
        <f t="shared" ca="1" si="56"/>
        <v>-5.6397360021015139E-4</v>
      </c>
      <c r="F413" s="8">
        <f t="shared" ca="1" si="57"/>
        <v>-5.8874684629570739E-2</v>
      </c>
      <c r="G413" s="8">
        <f t="shared" ca="1" si="58"/>
        <v>-1.936226595055774E-2</v>
      </c>
      <c r="H413" s="10">
        <f t="shared" ca="1" si="59"/>
        <v>4013.7350820215561</v>
      </c>
      <c r="I413" s="10">
        <f t="shared" ca="1" si="60"/>
        <v>511.97217156151356</v>
      </c>
      <c r="J413" s="10">
        <f t="shared" ca="1" si="61"/>
        <v>2192.7059733345527</v>
      </c>
      <c r="K413" s="12">
        <f t="array" aca="1" ref="K413:L413" ca="1">Opt3Spd(H413:J413,$E$3:$G$3,$K$3:$M$3,$N$3:$P$3,$H$3,$I$3,$Q$3,$J$3)</f>
        <v>273.22714377313719</v>
      </c>
      <c r="L413" s="12">
        <f ca="1"/>
        <v>5.229172795679915E-4</v>
      </c>
      <c r="M413" s="12">
        <f t="array" aca="1" ref="M413:N413" ca="1">Opt3Spd(H413:J413,$E$3:$G$3,$K$3:$M$3,$N$3:$P$3,$H$4,$I$3,$Q$3,$J$3)</f>
        <v>1.4040335456497388</v>
      </c>
      <c r="N413" s="12">
        <f ca="1"/>
        <v>128.17741268979211</v>
      </c>
      <c r="O413" s="12">
        <f t="shared" ca="1" si="62"/>
        <v>1.4045564629293068</v>
      </c>
    </row>
    <row r="414" spans="2:15" x14ac:dyDescent="0.15">
      <c r="B414" s="6">
        <f t="shared" ca="1" si="55"/>
        <v>-0.29101310964086863</v>
      </c>
      <c r="C414" s="6">
        <f t="shared" ca="1" si="55"/>
        <v>-0.78898588279728576</v>
      </c>
      <c r="D414" s="6">
        <f t="shared" ca="1" si="55"/>
        <v>-1.1399128405174859</v>
      </c>
      <c r="E414" s="8">
        <f t="shared" ca="1" si="56"/>
        <v>-6.6259026391208408E-3</v>
      </c>
      <c r="F414" s="8">
        <f t="shared" ca="1" si="57"/>
        <v>-2.8932299413450491E-2</v>
      </c>
      <c r="G414" s="8">
        <f t="shared" ca="1" si="58"/>
        <v>-2.5125304924799877E-2</v>
      </c>
      <c r="H414" s="10">
        <f t="shared" ca="1" si="59"/>
        <v>3989.3903750012905</v>
      </c>
      <c r="I414" s="10">
        <f t="shared" ca="1" si="60"/>
        <v>528.26082911908293</v>
      </c>
      <c r="J414" s="10">
        <f t="shared" ca="1" si="61"/>
        <v>2179.8198181881476</v>
      </c>
      <c r="K414" s="12">
        <f t="array" aca="1" ref="K414:L414" ca="1">Opt3Spd(H414:J414,$E$3:$G$3,$K$3:$M$3,$N$3:$P$3,$H$3,$I$3,$Q$3,$J$3)</f>
        <v>229.26979871062395</v>
      </c>
      <c r="L414" s="12">
        <f ca="1"/>
        <v>6.659393940026348E-3</v>
      </c>
      <c r="M414" s="12">
        <f t="array" aca="1" ref="M414:N414" ca="1">Opt3Spd(H414:J414,$E$3:$G$3,$K$3:$M$3,$N$3:$P$3,$H$4,$I$3,$Q$3,$J$3)</f>
        <v>0.27453318959467765</v>
      </c>
      <c r="N414" s="12">
        <f ca="1"/>
        <v>171.01139387291076</v>
      </c>
      <c r="O414" s="12">
        <f t="shared" ca="1" si="62"/>
        <v>0.281192583534704</v>
      </c>
    </row>
    <row r="415" spans="2:15" x14ac:dyDescent="0.15">
      <c r="B415" s="6">
        <f t="shared" ca="1" si="55"/>
        <v>0.22741330245685121</v>
      </c>
      <c r="C415" s="6">
        <f t="shared" ca="1" si="55"/>
        <v>-0.31935069418869766</v>
      </c>
      <c r="D415" s="6">
        <f t="shared" ca="1" si="55"/>
        <v>-0.20043333423180246</v>
      </c>
      <c r="E415" s="8">
        <f t="shared" ca="1" si="56"/>
        <v>5.1778368430877913E-3</v>
      </c>
      <c r="F415" s="8">
        <f t="shared" ca="1" si="57"/>
        <v>1.0941666754329142E-3</v>
      </c>
      <c r="G415" s="8">
        <f t="shared" ca="1" si="58"/>
        <v>5.2925019303484803E-3</v>
      </c>
      <c r="H415" s="10">
        <f t="shared" ca="1" si="59"/>
        <v>4036.7941927618403</v>
      </c>
      <c r="I415" s="10">
        <f t="shared" ca="1" si="60"/>
        <v>544.59522667143551</v>
      </c>
      <c r="J415" s="10">
        <f t="shared" ca="1" si="61"/>
        <v>2247.834034316259</v>
      </c>
      <c r="K415" s="12">
        <f t="array" aca="1" ref="K415:L415" ca="1">Opt3Spd(H415:J415,$E$3:$G$3,$K$3:$M$3,$N$3:$P$3,$H$3,$I$3,$Q$3,$J$3)</f>
        <v>216.53926827734313</v>
      </c>
      <c r="L415" s="12">
        <f ca="1"/>
        <v>1.4455347929015261E-2</v>
      </c>
      <c r="M415" s="12">
        <f t="array" aca="1" ref="M415:N415" ca="1">Opt3Spd(H415:J415,$E$3:$G$3,$K$3:$M$3,$N$3:$P$3,$H$4,$I$3,$Q$3,$J$3)</f>
        <v>0.16977877417246212</v>
      </c>
      <c r="N415" s="12">
        <f ca="1"/>
        <v>183.64496584475836</v>
      </c>
      <c r="O415" s="12">
        <f t="shared" ca="1" si="62"/>
        <v>0.18423412210147738</v>
      </c>
    </row>
    <row r="416" spans="2:15" x14ac:dyDescent="0.15">
      <c r="B416" s="6">
        <f t="shared" ca="1" si="55"/>
        <v>-0.30427970470576127</v>
      </c>
      <c r="C416" s="6">
        <f t="shared" ca="1" si="55"/>
        <v>-0.89359223553430489</v>
      </c>
      <c r="D416" s="6">
        <f t="shared" ca="1" si="55"/>
        <v>-0.36233998027616282</v>
      </c>
      <c r="E416" s="8">
        <f t="shared" ca="1" si="56"/>
        <v>-6.9279617709623537E-3</v>
      </c>
      <c r="F416" s="8">
        <f t="shared" ca="1" si="57"/>
        <v>-3.1829146921410187E-2</v>
      </c>
      <c r="G416" s="8">
        <f t="shared" ca="1" si="58"/>
        <v>-1.7632841287687693E-2</v>
      </c>
      <c r="H416" s="10">
        <f t="shared" ca="1" si="59"/>
        <v>3988.1773055278154</v>
      </c>
      <c r="I416" s="10">
        <f t="shared" ca="1" si="60"/>
        <v>526.68494407475293</v>
      </c>
      <c r="J416" s="10">
        <f t="shared" ca="1" si="61"/>
        <v>2196.5729668807303</v>
      </c>
      <c r="K416" s="12">
        <f t="array" aca="1" ref="K416:L416" ca="1">Opt3Spd(H416:J416,$E$3:$G$3,$K$3:$M$3,$N$3:$P$3,$H$3,$I$3,$Q$3,$J$3)</f>
        <v>222.20485831861583</v>
      </c>
      <c r="L416" s="12">
        <f ca="1"/>
        <v>9.9467507702684088E-3</v>
      </c>
      <c r="M416" s="12">
        <f t="array" aca="1" ref="M416:N416" ca="1">Opt3Spd(H416:J416,$E$3:$G$3,$K$3:$M$3,$N$3:$P$3,$H$4,$I$3,$Q$3,$J$3)</f>
        <v>0.20723838749921342</v>
      </c>
      <c r="N416" s="12">
        <f ca="1"/>
        <v>178.01232681965365</v>
      </c>
      <c r="O416" s="12">
        <f t="shared" ca="1" si="62"/>
        <v>0.21718513826948183</v>
      </c>
    </row>
    <row r="417" spans="2:15" x14ac:dyDescent="0.15">
      <c r="B417" s="6">
        <f t="shared" ca="1" si="55"/>
        <v>-0.23149304615490993</v>
      </c>
      <c r="C417" s="6">
        <f t="shared" ca="1" si="55"/>
        <v>2.0470851151607037</v>
      </c>
      <c r="D417" s="6">
        <f t="shared" ca="1" si="55"/>
        <v>1.2771820881768283</v>
      </c>
      <c r="E417" s="8">
        <f t="shared" ca="1" si="56"/>
        <v>-5.2707260760479942E-3</v>
      </c>
      <c r="F417" s="8">
        <f t="shared" ca="1" si="57"/>
        <v>3.8472519049329426E-2</v>
      </c>
      <c r="G417" s="8">
        <f t="shared" ca="1" si="58"/>
        <v>1.1043840680547746E-2</v>
      </c>
      <c r="H417" s="10">
        <f t="shared" ca="1" si="59"/>
        <v>3994.8327640785915</v>
      </c>
      <c r="I417" s="10">
        <f t="shared" ca="1" si="60"/>
        <v>564.92905036283514</v>
      </c>
      <c r="J417" s="10">
        <f t="shared" ca="1" si="61"/>
        <v>2260.694027761705</v>
      </c>
      <c r="K417" s="12">
        <f t="array" aca="1" ref="K417:L417" ca="1">Opt3Spd(H417:J417,$E$3:$G$3,$K$3:$M$3,$N$3:$P$3,$H$3,$I$3,$Q$3,$J$3)</f>
        <v>136.17389243710181</v>
      </c>
      <c r="L417" s="12">
        <f ca="1"/>
        <v>0.57462281989933217</v>
      </c>
      <c r="M417" s="12">
        <f t="array" aca="1" ref="M417:N417" ca="1">Opt3Spd(H417:J417,$E$3:$G$3,$K$3:$M$3,$N$3:$P$3,$H$4,$I$3,$Q$3,$J$3)</f>
        <v>3.0152574602288484E-3</v>
      </c>
      <c r="N417" s="12">
        <f ca="1"/>
        <v>264.40374564025774</v>
      </c>
      <c r="O417" s="12">
        <f t="shared" ca="1" si="62"/>
        <v>0.57763807735956108</v>
      </c>
    </row>
    <row r="418" spans="2:15" x14ac:dyDescent="0.15">
      <c r="B418" s="6">
        <f t="shared" ca="1" si="55"/>
        <v>-0.22917125838342495</v>
      </c>
      <c r="C418" s="6">
        <f t="shared" ca="1" si="55"/>
        <v>-0.44720760405060667</v>
      </c>
      <c r="D418" s="6">
        <f t="shared" ca="1" si="55"/>
        <v>0.64923427186510252</v>
      </c>
      <c r="E418" s="8">
        <f t="shared" ca="1" si="56"/>
        <v>-5.2178626853177767E-3</v>
      </c>
      <c r="F418" s="8">
        <f t="shared" ca="1" si="57"/>
        <v>-1.8781398677515795E-2</v>
      </c>
      <c r="G418" s="8">
        <f t="shared" ca="1" si="58"/>
        <v>-2.8012820058766945E-3</v>
      </c>
      <c r="H418" s="10">
        <f t="shared" ca="1" si="59"/>
        <v>3995.0450634557637</v>
      </c>
      <c r="I418" s="10">
        <f t="shared" ca="1" si="60"/>
        <v>533.78291911943143</v>
      </c>
      <c r="J418" s="10">
        <f t="shared" ca="1" si="61"/>
        <v>2229.7363334348597</v>
      </c>
      <c r="K418" s="12">
        <f t="array" aca="1" ref="K418:L418" ca="1">Opt3Spd(H418:J418,$E$3:$G$3,$K$3:$M$3,$N$3:$P$3,$H$3,$I$3,$Q$3,$J$3)</f>
        <v>201.15487640817287</v>
      </c>
      <c r="L418" s="12">
        <f ca="1"/>
        <v>3.065026092917833E-2</v>
      </c>
      <c r="M418" s="12">
        <f t="array" aca="1" ref="M418:N418" ca="1">Opt3Spd(H418:J418,$E$3:$G$3,$K$3:$M$3,$N$3:$P$3,$H$4,$I$3,$Q$3,$J$3)</f>
        <v>8.4685501573238398E-2</v>
      </c>
      <c r="N418" s="12">
        <f ca="1"/>
        <v>198.96045935432954</v>
      </c>
      <c r="O418" s="12">
        <f t="shared" ca="1" si="62"/>
        <v>0.11533576250241673</v>
      </c>
    </row>
    <row r="419" spans="2:15" x14ac:dyDescent="0.15">
      <c r="B419" s="6">
        <f t="shared" ca="1" si="55"/>
        <v>1.6238919180521423</v>
      </c>
      <c r="C419" s="6">
        <f t="shared" ca="1" si="55"/>
        <v>-0.64435548844604273</v>
      </c>
      <c r="D419" s="6">
        <f t="shared" ca="1" si="55"/>
        <v>0.73500815359445792</v>
      </c>
      <c r="E419" s="8">
        <f t="shared" ca="1" si="56"/>
        <v>3.6973419371886751E-2</v>
      </c>
      <c r="F419" s="8">
        <f t="shared" ca="1" si="57"/>
        <v>4.5423098100672514E-2</v>
      </c>
      <c r="G419" s="8">
        <f t="shared" ca="1" si="58"/>
        <v>6.5618684867115404E-2</v>
      </c>
      <c r="H419" s="10">
        <f t="shared" ca="1" si="59"/>
        <v>4164.4852521974972</v>
      </c>
      <c r="I419" s="10">
        <f t="shared" ca="1" si="60"/>
        <v>568.71016536676586</v>
      </c>
      <c r="J419" s="10">
        <f t="shared" ca="1" si="61"/>
        <v>2382.7233793628702</v>
      </c>
      <c r="K419" s="12">
        <f t="array" aca="1" ref="K419:L419" ca="1">Opt3Spd(H419:J419,$E$3:$G$3,$K$3:$M$3,$N$3:$P$3,$H$3,$I$3,$Q$3,$J$3)</f>
        <v>238.19289477741745</v>
      </c>
      <c r="L419" s="12">
        <f ca="1"/>
        <v>5.5968481808577053E-3</v>
      </c>
      <c r="M419" s="12">
        <f t="array" aca="1" ref="M419:N419" ca="1">Opt3Spd(H419:J419,$E$3:$G$3,$K$3:$M$3,$N$3:$P$3,$H$4,$I$3,$Q$3,$J$3)</f>
        <v>0.44692492923692129</v>
      </c>
      <c r="N419" s="12">
        <f ca="1"/>
        <v>162.25962700000034</v>
      </c>
      <c r="O419" s="12">
        <f t="shared" ca="1" si="62"/>
        <v>0.45252177741777899</v>
      </c>
    </row>
    <row r="420" spans="2:15" x14ac:dyDescent="0.15">
      <c r="B420" s="6">
        <f t="shared" ca="1" si="55"/>
        <v>-0.24884239445136233</v>
      </c>
      <c r="C420" s="6">
        <f t="shared" ca="1" si="55"/>
        <v>-2.2351193417778652</v>
      </c>
      <c r="D420" s="6">
        <f t="shared" ca="1" si="55"/>
        <v>-0.38277502001565689</v>
      </c>
      <c r="E420" s="8">
        <f t="shared" ca="1" si="56"/>
        <v>-5.665742963109727E-3</v>
      </c>
      <c r="F420" s="8">
        <f t="shared" ca="1" si="57"/>
        <v>-6.0612474136676961E-2</v>
      </c>
      <c r="G420" s="8">
        <f t="shared" ca="1" si="58"/>
        <v>-1.9708274391970759E-2</v>
      </c>
      <c r="H420" s="10">
        <f t="shared" ca="1" si="59"/>
        <v>3993.2463762601515</v>
      </c>
      <c r="I420" s="10">
        <f t="shared" ca="1" si="60"/>
        <v>511.02681406964774</v>
      </c>
      <c r="J420" s="10">
        <f t="shared" ca="1" si="61"/>
        <v>2191.9322984595533</v>
      </c>
      <c r="K420" s="12">
        <f t="array" aca="1" ref="K420:L420" ca="1">Opt3Spd(H420:J420,$E$3:$G$3,$K$3:$M$3,$N$3:$P$3,$H$3,$I$3,$Q$3,$J$3)</f>
        <v>254.63892044080694</v>
      </c>
      <c r="L420" s="12">
        <f ca="1"/>
        <v>1.5959218681018683E-3</v>
      </c>
      <c r="M420" s="12">
        <f t="array" aca="1" ref="M420:N420" ca="1">Opt3Spd(H420:J420,$E$3:$G$3,$K$3:$M$3,$N$3:$P$3,$H$4,$I$3,$Q$3,$J$3)</f>
        <v>0.73468074617988322</v>
      </c>
      <c r="N420" s="12">
        <f ca="1"/>
        <v>146.09735622724105</v>
      </c>
      <c r="O420" s="12">
        <f t="shared" ca="1" si="62"/>
        <v>0.73627666804798508</v>
      </c>
    </row>
    <row r="421" spans="2:15" x14ac:dyDescent="0.15">
      <c r="B421" s="6">
        <f t="shared" ca="1" si="55"/>
        <v>-1.8088599813167625</v>
      </c>
      <c r="C421" s="6">
        <f t="shared" ca="1" si="55"/>
        <v>1.1948647355172417</v>
      </c>
      <c r="D421" s="6">
        <f t="shared" ca="1" si="55"/>
        <v>0.50358092030307566</v>
      </c>
      <c r="E421" s="8">
        <f t="shared" ca="1" si="56"/>
        <v>-4.1184846066892253E-2</v>
      </c>
      <c r="F421" s="8">
        <f t="shared" ca="1" si="57"/>
        <v>-3.9628833848495318E-2</v>
      </c>
      <c r="G421" s="8">
        <f t="shared" ca="1" si="58"/>
        <v>-5.7621241637456813E-2</v>
      </c>
      <c r="H421" s="10">
        <f t="shared" ca="1" si="59"/>
        <v>3850.6016581953609</v>
      </c>
      <c r="I421" s="10">
        <f t="shared" ca="1" si="60"/>
        <v>522.44191438641849</v>
      </c>
      <c r="J421" s="10">
        <f t="shared" ca="1" si="61"/>
        <v>2107.1589036986466</v>
      </c>
      <c r="K421" s="12">
        <f t="array" aca="1" ref="K421:L421" ca="1">Opt3Spd(H421:J421,$E$3:$G$3,$K$3:$M$3,$N$3:$P$3,$H$3,$I$3,$Q$3,$J$3)</f>
        <v>136.6159203977295</v>
      </c>
      <c r="L421" s="12">
        <f ca="1"/>
        <v>0.50077706996148663</v>
      </c>
      <c r="M421" s="12">
        <f t="array" aca="1" ref="M421:N421" ca="1">Opt3Spd(H421:J421,$E$3:$G$3,$K$3:$M$3,$N$3:$P$3,$H$4,$I$3,$Q$3,$J$3)</f>
        <v>2.4230062192223123E-3</v>
      </c>
      <c r="N421" s="12">
        <f ca="1"/>
        <v>263.88727967845119</v>
      </c>
      <c r="O421" s="12">
        <f t="shared" ca="1" si="62"/>
        <v>0.50320007618070894</v>
      </c>
    </row>
    <row r="422" spans="2:15" x14ac:dyDescent="0.15">
      <c r="B422" s="6">
        <f t="shared" ca="1" si="55"/>
        <v>0.1253396132931115</v>
      </c>
      <c r="C422" s="6">
        <f t="shared" ca="1" si="55"/>
        <v>0.38548243347718092</v>
      </c>
      <c r="D422" s="6">
        <f t="shared" ca="1" si="55"/>
        <v>-0.7761981361287178</v>
      </c>
      <c r="E422" s="8">
        <f t="shared" ca="1" si="56"/>
        <v>2.8537823451668409E-3</v>
      </c>
      <c r="F422" s="8">
        <f t="shared" ca="1" si="57"/>
        <v>1.3510948883841346E-2</v>
      </c>
      <c r="G422" s="8">
        <f t="shared" ca="1" si="58"/>
        <v>-2.5450631052417595E-3</v>
      </c>
      <c r="H422" s="10">
        <f t="shared" ca="1" si="59"/>
        <v>4027.4607898981903</v>
      </c>
      <c r="I422" s="10">
        <f t="shared" ca="1" si="60"/>
        <v>551.34995619280971</v>
      </c>
      <c r="J422" s="10">
        <f t="shared" ca="1" si="61"/>
        <v>2230.3092388966797</v>
      </c>
      <c r="K422" s="12">
        <f t="array" aca="1" ref="K422:L422" ca="1">Opt3Spd(H422:J422,$E$3:$G$3,$K$3:$M$3,$N$3:$P$3,$H$3,$I$3,$Q$3,$J$3)</f>
        <v>205.17169008111364</v>
      </c>
      <c r="L422" s="12">
        <f ca="1"/>
        <v>2.5449539758710671E-2</v>
      </c>
      <c r="M422" s="12">
        <f t="array" aca="1" ref="M422:N422" ca="1">Opt3Spd(H422:J422,$E$3:$G$3,$K$3:$M$3,$N$3:$P$3,$H$4,$I$3,$Q$3,$J$3)</f>
        <v>0.10215460328905834</v>
      </c>
      <c r="N422" s="12">
        <f ca="1"/>
        <v>194.95591406193412</v>
      </c>
      <c r="O422" s="12">
        <f t="shared" ca="1" si="62"/>
        <v>0.12760414304776901</v>
      </c>
    </row>
    <row r="423" spans="2:15" x14ac:dyDescent="0.15">
      <c r="B423" s="6">
        <f t="shared" ca="1" si="55"/>
        <v>0.40010191004124696</v>
      </c>
      <c r="C423" s="6">
        <f t="shared" ca="1" si="55"/>
        <v>-0.57941821960604034</v>
      </c>
      <c r="D423" s="6">
        <f t="shared" ca="1" si="55"/>
        <v>-8.9089688932146818E-2</v>
      </c>
      <c r="E423" s="8">
        <f t="shared" ca="1" si="56"/>
        <v>9.1096799897817642E-3</v>
      </c>
      <c r="F423" s="8">
        <f t="shared" ca="1" si="57"/>
        <v>1.5212329086001443E-3</v>
      </c>
      <c r="G423" s="8">
        <f t="shared" ca="1" si="58"/>
        <v>1.2067981995291938E-2</v>
      </c>
      <c r="H423" s="10">
        <f t="shared" ca="1" si="59"/>
        <v>4052.5844748389641</v>
      </c>
      <c r="I423" s="10">
        <f t="shared" ca="1" si="60"/>
        <v>544.82755070227847</v>
      </c>
      <c r="J423" s="10">
        <f t="shared" ca="1" si="61"/>
        <v>2262.9840077414729</v>
      </c>
      <c r="K423" s="12">
        <f t="array" aca="1" ref="K423:L423" ca="1">Opt3Spd(H423:J423,$E$3:$G$3,$K$3:$M$3,$N$3:$P$3,$H$3,$I$3,$Q$3,$J$3)</f>
        <v>224.37815515866077</v>
      </c>
      <c r="L423" s="12">
        <f ca="1"/>
        <v>9.7653140787770099E-3</v>
      </c>
      <c r="M423" s="12">
        <f t="array" aca="1" ref="M423:N423" ca="1">Opt3Spd(H423:J423,$E$3:$G$3,$K$3:$M$3,$N$3:$P$3,$H$4,$I$3,$Q$3,$J$3)</f>
        <v>0.23825695386836898</v>
      </c>
      <c r="N423" s="12">
        <f ca="1"/>
        <v>175.86986710928636</v>
      </c>
      <c r="O423" s="12">
        <f t="shared" ca="1" si="62"/>
        <v>0.24802226794714599</v>
      </c>
    </row>
    <row r="424" spans="2:15" x14ac:dyDescent="0.15">
      <c r="B424" s="6">
        <f t="shared" ca="1" si="55"/>
        <v>1.7166870550167133</v>
      </c>
      <c r="C424" s="6">
        <f t="shared" ca="1" si="55"/>
        <v>-0.19338129284083322</v>
      </c>
      <c r="D424" s="6">
        <f t="shared" ca="1" si="55"/>
        <v>1.5530762922174018E-2</v>
      </c>
      <c r="E424" s="8">
        <f t="shared" ca="1" si="56"/>
        <v>3.9086216089773106E-2</v>
      </c>
      <c r="F424" s="8">
        <f t="shared" ca="1" si="57"/>
        <v>5.9232415085366572E-2</v>
      </c>
      <c r="G424" s="8">
        <f t="shared" ca="1" si="58"/>
        <v>6.267236049079207E-2</v>
      </c>
      <c r="H424" s="10">
        <f t="shared" ca="1" si="59"/>
        <v>4172.9702438165286</v>
      </c>
      <c r="I424" s="10">
        <f t="shared" ca="1" si="60"/>
        <v>576.22243380643931</v>
      </c>
      <c r="J424" s="10">
        <f t="shared" ca="1" si="61"/>
        <v>2376.1353980574113</v>
      </c>
      <c r="K424" s="12">
        <f t="array" aca="1" ref="K424:L424" ca="1">Opt3Spd(H424:J424,$E$3:$G$3,$K$3:$M$3,$N$3:$P$3,$H$3,$I$3,$Q$3,$J$3)</f>
        <v>237.95232777595152</v>
      </c>
      <c r="L424" s="12">
        <f ca="1"/>
        <v>5.677078431517657E-3</v>
      </c>
      <c r="M424" s="12">
        <f t="array" aca="1" ref="M424:N424" ca="1">Opt3Spd(H424:J424,$E$3:$G$3,$K$3:$M$3,$N$3:$P$3,$H$4,$I$3,$Q$3,$J$3)</f>
        <v>0.44228849840450835</v>
      </c>
      <c r="N424" s="12">
        <f ca="1"/>
        <v>162.49563780088451</v>
      </c>
      <c r="O424" s="12">
        <f t="shared" ca="1" si="62"/>
        <v>0.447965576836026</v>
      </c>
    </row>
    <row r="425" spans="2:15" x14ac:dyDescent="0.15">
      <c r="B425" s="6">
        <f t="shared" ca="1" si="55"/>
        <v>0.79341793889456802</v>
      </c>
      <c r="C425" s="6">
        <f t="shared" ca="1" si="55"/>
        <v>0.74704436518269635</v>
      </c>
      <c r="D425" s="6">
        <f t="shared" ca="1" si="55"/>
        <v>0.87549028115409966</v>
      </c>
      <c r="E425" s="8">
        <f t="shared" ca="1" si="56"/>
        <v>1.8064856328070554E-2</v>
      </c>
      <c r="F425" s="8">
        <f t="shared" ca="1" si="57"/>
        <v>4.6604089007990269E-2</v>
      </c>
      <c r="G425" s="8">
        <f t="shared" ca="1" si="58"/>
        <v>4.0644178423236511E-2</v>
      </c>
      <c r="H425" s="10">
        <f t="shared" ca="1" si="59"/>
        <v>4088.5484630135311</v>
      </c>
      <c r="I425" s="10">
        <f t="shared" ca="1" si="60"/>
        <v>569.35262442034661</v>
      </c>
      <c r="J425" s="10">
        <f t="shared" ca="1" si="61"/>
        <v>2326.8803829543567</v>
      </c>
      <c r="K425" s="12">
        <f t="array" aca="1" ref="K425:L425" ca="1">Opt3Spd(H425:J425,$E$3:$G$3,$K$3:$M$3,$N$3:$P$3,$H$3,$I$3,$Q$3,$J$3)</f>
        <v>189.20608841693024</v>
      </c>
      <c r="L425" s="12">
        <f ca="1"/>
        <v>6.2015953132004142E-2</v>
      </c>
      <c r="M425" s="12">
        <f t="array" aca="1" ref="M425:N425" ca="1">Opt3Spd(H425:J425,$E$3:$G$3,$K$3:$M$3,$N$3:$P$3,$H$4,$I$3,$Q$3,$J$3)</f>
        <v>5.3798698325893568E-2</v>
      </c>
      <c r="N425" s="12">
        <f ca="1"/>
        <v>210.90972623452765</v>
      </c>
      <c r="O425" s="12">
        <f t="shared" ca="1" si="62"/>
        <v>0.11581465145789771</v>
      </c>
    </row>
    <row r="426" spans="2:15" x14ac:dyDescent="0.15">
      <c r="B426" s="6">
        <f t="shared" ca="1" si="55"/>
        <v>-0.64055137444024024</v>
      </c>
      <c r="C426" s="6">
        <f t="shared" ca="1" si="55"/>
        <v>1.0419276428391682</v>
      </c>
      <c r="D426" s="6">
        <f t="shared" ca="1" si="55"/>
        <v>0.64922447422162877</v>
      </c>
      <c r="E426" s="8">
        <f t="shared" ca="1" si="56"/>
        <v>-1.458432937139416E-2</v>
      </c>
      <c r="F426" s="8">
        <f t="shared" ca="1" si="57"/>
        <v>1.9204735280455769E-4</v>
      </c>
      <c r="G426" s="8">
        <f t="shared" ca="1" si="58"/>
        <v>-1.3591906574647631E-2</v>
      </c>
      <c r="H426" s="10">
        <f t="shared" ca="1" si="59"/>
        <v>3957.4293332444809</v>
      </c>
      <c r="I426" s="10">
        <f t="shared" ca="1" si="60"/>
        <v>544.10447375992567</v>
      </c>
      <c r="J426" s="10">
        <f t="shared" ca="1" si="61"/>
        <v>2205.6084968990881</v>
      </c>
      <c r="K426" s="12">
        <f t="array" aca="1" ref="K426:L426" ca="1">Opt3Spd(H426:J426,$E$3:$G$3,$K$3:$M$3,$N$3:$P$3,$H$3,$I$3,$Q$3,$J$3)</f>
        <v>159.26823787253807</v>
      </c>
      <c r="L426" s="12">
        <f ca="1"/>
        <v>0.21031109348223254</v>
      </c>
      <c r="M426" s="12">
        <f t="array" aca="1" ref="M426:N426" ca="1">Opt3Spd(H426:J426,$E$3:$G$3,$K$3:$M$3,$N$3:$P$3,$H$4,$I$3,$Q$3,$J$3)</f>
        <v>1.0273220263449456E-2</v>
      </c>
      <c r="N426" s="12">
        <f ca="1"/>
        <v>240.95234644120762</v>
      </c>
      <c r="O426" s="12">
        <f t="shared" ca="1" si="62"/>
        <v>0.22058431374568199</v>
      </c>
    </row>
    <row r="427" spans="2:15" x14ac:dyDescent="0.15">
      <c r="B427" s="6">
        <f t="shared" ca="1" si="55"/>
        <v>0.85107106758173556</v>
      </c>
      <c r="C427" s="6">
        <f t="shared" ca="1" si="55"/>
        <v>1.0600609640413605</v>
      </c>
      <c r="D427" s="6">
        <f t="shared" ca="1" si="55"/>
        <v>0.47860160308758781</v>
      </c>
      <c r="E427" s="8">
        <f t="shared" ca="1" si="56"/>
        <v>1.9377525774451503E-2</v>
      </c>
      <c r="F427" s="8">
        <f t="shared" ca="1" si="57"/>
        <v>5.5938427496875331E-2</v>
      </c>
      <c r="G427" s="8">
        <f t="shared" ca="1" si="58"/>
        <v>3.9442862020616233E-2</v>
      </c>
      <c r="H427" s="10">
        <f t="shared" ca="1" si="59"/>
        <v>4093.8201435101973</v>
      </c>
      <c r="I427" s="10">
        <f t="shared" ca="1" si="60"/>
        <v>574.43050455830019</v>
      </c>
      <c r="J427" s="10">
        <f t="shared" ca="1" si="61"/>
        <v>2324.1942394780976</v>
      </c>
      <c r="K427" s="12">
        <f t="array" aca="1" ref="K427:L427" ca="1">Opt3Spd(H427:J427,$E$3:$G$3,$K$3:$M$3,$N$3:$P$3,$H$3,$I$3,$Q$3,$J$3)</f>
        <v>187.70091615838783</v>
      </c>
      <c r="L427" s="12">
        <f ca="1"/>
        <v>6.6699680519604954E-2</v>
      </c>
      <c r="M427" s="12">
        <f t="array" aca="1" ref="M427:N427" ca="1">Opt3Spd(H427:J427,$E$3:$G$3,$K$3:$M$3,$N$3:$P$3,$H$4,$I$3,$Q$3,$J$3)</f>
        <v>5.0147088319546285E-2</v>
      </c>
      <c r="N427" s="12">
        <f ca="1"/>
        <v>212.41593061045131</v>
      </c>
      <c r="O427" s="12">
        <f t="shared" ca="1" si="62"/>
        <v>0.11684676883915124</v>
      </c>
    </row>
    <row r="428" spans="2:15" x14ac:dyDescent="0.15">
      <c r="B428" s="6">
        <f t="shared" ca="1" si="55"/>
        <v>1.1894415782346901</v>
      </c>
      <c r="C428" s="6">
        <f t="shared" ca="1" si="55"/>
        <v>0.58574050265654065</v>
      </c>
      <c r="D428" s="6">
        <f t="shared" ca="1" si="55"/>
        <v>1.6507767665126796</v>
      </c>
      <c r="E428" s="8">
        <f t="shared" ca="1" si="56"/>
        <v>2.7081680622674256E-2</v>
      </c>
      <c r="F428" s="8">
        <f t="shared" ca="1" si="57"/>
        <v>5.7585865208246892E-2</v>
      </c>
      <c r="G428" s="8">
        <f t="shared" ca="1" si="58"/>
        <v>6.2984351580510092E-2</v>
      </c>
      <c r="H428" s="10">
        <f t="shared" ca="1" si="59"/>
        <v>4124.7600293806599</v>
      </c>
      <c r="I428" s="10">
        <f t="shared" ca="1" si="60"/>
        <v>575.32671067328624</v>
      </c>
      <c r="J428" s="10">
        <f t="shared" ca="1" si="61"/>
        <v>2376.8330101340207</v>
      </c>
      <c r="K428" s="12">
        <f t="array" aca="1" ref="K428:L428" ca="1">Opt3Spd(H428:J428,$E$3:$G$3,$K$3:$M$3,$N$3:$P$3,$H$3,$I$3,$Q$3,$J$3)</f>
        <v>190.8813569675533</v>
      </c>
      <c r="L428" s="12">
        <f ca="1"/>
        <v>6.0569731161876916E-2</v>
      </c>
      <c r="M428" s="12">
        <f t="array" aca="1" ref="M428:N428" ca="1">Opt3Spd(H428:J428,$E$3:$G$3,$K$3:$M$3,$N$3:$P$3,$H$4,$I$3,$Q$3,$J$3)</f>
        <v>6.1078887436581297E-2</v>
      </c>
      <c r="N428" s="12">
        <f ca="1"/>
        <v>209.24029165104517</v>
      </c>
      <c r="O428" s="12">
        <f t="shared" ca="1" si="62"/>
        <v>0.12164861859845821</v>
      </c>
    </row>
    <row r="429" spans="2:15" x14ac:dyDescent="0.15">
      <c r="B429" s="6">
        <f t="shared" ca="1" si="55"/>
        <v>1.0810061779327245</v>
      </c>
      <c r="C429" s="6">
        <f t="shared" ca="1" si="55"/>
        <v>1.723626163299169</v>
      </c>
      <c r="D429" s="6">
        <f t="shared" ca="1" si="55"/>
        <v>-0.54156872207735907</v>
      </c>
      <c r="E429" s="8">
        <f t="shared" ca="1" si="56"/>
        <v>2.461278014626074E-2</v>
      </c>
      <c r="F429" s="8">
        <f t="shared" ca="1" si="57"/>
        <v>7.9721896085381605E-2</v>
      </c>
      <c r="G429" s="8">
        <f t="shared" ca="1" si="58"/>
        <v>3.8948684560411506E-2</v>
      </c>
      <c r="H429" s="10">
        <f t="shared" ca="1" si="59"/>
        <v>4114.844925067383</v>
      </c>
      <c r="I429" s="10">
        <f t="shared" ca="1" si="60"/>
        <v>587.36871147044758</v>
      </c>
      <c r="J429" s="10">
        <f t="shared" ca="1" si="61"/>
        <v>2323.0892586770801</v>
      </c>
      <c r="K429" s="12">
        <f t="array" aca="1" ref="K429:L429" ca="1">Opt3Spd(H429:J429,$E$3:$G$3,$K$3:$M$3,$N$3:$P$3,$H$3,$I$3,$Q$3,$J$3)</f>
        <v>188.5752420592878</v>
      </c>
      <c r="L429" s="12">
        <f ca="1"/>
        <v>6.4884683160926215E-2</v>
      </c>
      <c r="M429" s="12">
        <f t="array" aca="1" ref="M429:N429" ca="1">Opt3Spd(H429:J429,$E$3:$G$3,$K$3:$M$3,$N$3:$P$3,$H$4,$I$3,$Q$3,$J$3)</f>
        <v>5.2675362891434041E-2</v>
      </c>
      <c r="N429" s="12">
        <f ca="1"/>
        <v>211.54231798676454</v>
      </c>
      <c r="O429" s="12">
        <f t="shared" ca="1" si="62"/>
        <v>0.11756004605236026</v>
      </c>
    </row>
    <row r="430" spans="2:15" x14ac:dyDescent="0.15">
      <c r="B430" s="6">
        <f t="shared" ca="1" si="55"/>
        <v>1.1330377237186295</v>
      </c>
      <c r="C430" s="6">
        <f t="shared" ca="1" si="55"/>
        <v>-0.85346367173155313</v>
      </c>
      <c r="D430" s="6">
        <f t="shared" ca="1" si="55"/>
        <v>-1.1848023727846106</v>
      </c>
      <c r="E430" s="8">
        <f t="shared" ca="1" si="56"/>
        <v>2.5797455149272872E-2</v>
      </c>
      <c r="F430" s="8">
        <f t="shared" ca="1" si="57"/>
        <v>2.2408506851358589E-2</v>
      </c>
      <c r="G430" s="8">
        <f t="shared" ca="1" si="58"/>
        <v>2.6526619102320556E-2</v>
      </c>
      <c r="H430" s="10">
        <f t="shared" ca="1" si="59"/>
        <v>4119.6025798794799</v>
      </c>
      <c r="I430" s="10">
        <f t="shared" ca="1" si="60"/>
        <v>556.19022772713913</v>
      </c>
      <c r="J430" s="10">
        <f t="shared" ca="1" si="61"/>
        <v>2295.3135203127886</v>
      </c>
      <c r="K430" s="12">
        <f t="array" aca="1" ref="K430:L430" ca="1">Opt3Spd(H430:J430,$E$3:$G$3,$K$3:$M$3,$N$3:$P$3,$H$3,$I$3,$Q$3,$J$3)</f>
        <v>257.04314602117825</v>
      </c>
      <c r="L430" s="12">
        <f ca="1"/>
        <v>1.6906615153402527E-3</v>
      </c>
      <c r="M430" s="12">
        <f t="array" aca="1" ref="M430:N430" ca="1">Opt3Spd(H430:J430,$E$3:$G$3,$K$3:$M$3,$N$3:$P$3,$H$4,$I$3,$Q$3,$J$3)</f>
        <v>0.84754990715994438</v>
      </c>
      <c r="N430" s="12">
        <f ca="1"/>
        <v>143.80609454749703</v>
      </c>
      <c r="O430" s="12">
        <f t="shared" ca="1" si="62"/>
        <v>0.84924056867528463</v>
      </c>
    </row>
    <row r="431" spans="2:15" x14ac:dyDescent="0.15">
      <c r="B431" s="6">
        <f t="shared" ca="1" si="55"/>
        <v>0.54328210602591365</v>
      </c>
      <c r="C431" s="6">
        <f t="shared" ca="1" si="55"/>
        <v>1.0698759709841801</v>
      </c>
      <c r="D431" s="6">
        <f t="shared" ca="1" si="55"/>
        <v>-1.7642837815560683E-2</v>
      </c>
      <c r="E431" s="8">
        <f t="shared" ca="1" si="56"/>
        <v>1.2369663842795826E-2</v>
      </c>
      <c r="F431" s="8">
        <f t="shared" ca="1" si="57"/>
        <v>4.4747084692092369E-2</v>
      </c>
      <c r="G431" s="8">
        <f t="shared" ca="1" si="58"/>
        <v>2.2877169771206116E-2</v>
      </c>
      <c r="H431" s="10">
        <f t="shared" ca="1" si="59"/>
        <v>4065.6765699926682</v>
      </c>
      <c r="I431" s="10">
        <f t="shared" ca="1" si="60"/>
        <v>568.34241407249817</v>
      </c>
      <c r="J431" s="10">
        <f t="shared" ca="1" si="61"/>
        <v>2287.1533516084169</v>
      </c>
      <c r="K431" s="12">
        <f t="array" aca="1" ref="K431:L431" ca="1">Opt3Spd(H431:J431,$E$3:$G$3,$K$3:$M$3,$N$3:$P$3,$H$3,$I$3,$Q$3,$J$3)</f>
        <v>187.81566535203706</v>
      </c>
      <c r="L431" s="12">
        <f ca="1"/>
        <v>6.3633679574195412E-2</v>
      </c>
      <c r="M431" s="12">
        <f t="array" aca="1" ref="M431:N431" ca="1">Opt3Spd(H431:J431,$E$3:$G$3,$K$3:$M$3,$N$3:$P$3,$H$4,$I$3,$Q$3,$J$3)</f>
        <v>4.8538206040715792E-2</v>
      </c>
      <c r="N431" s="12">
        <f ca="1"/>
        <v>212.29650653357785</v>
      </c>
      <c r="O431" s="12">
        <f t="shared" ca="1" si="62"/>
        <v>0.1121718856149112</v>
      </c>
    </row>
    <row r="432" spans="2:15" x14ac:dyDescent="0.15">
      <c r="B432" s="6">
        <f t="shared" ca="1" si="55"/>
        <v>0.26622687260743805</v>
      </c>
      <c r="C432" s="6">
        <f t="shared" ca="1" si="55"/>
        <v>0.36573621211171059</v>
      </c>
      <c r="D432" s="6">
        <f t="shared" ca="1" si="55"/>
        <v>-1.307374571661694</v>
      </c>
      <c r="E432" s="8">
        <f t="shared" ca="1" si="56"/>
        <v>6.0615597008375592E-3</v>
      </c>
      <c r="F432" s="8">
        <f t="shared" ca="1" si="57"/>
        <v>1.82830168727269E-2</v>
      </c>
      <c r="G432" s="8">
        <f t="shared" ca="1" si="58"/>
        <v>-3.0850684690741305E-3</v>
      </c>
      <c r="H432" s="10">
        <f t="shared" ca="1" si="59"/>
        <v>4040.3432237585635</v>
      </c>
      <c r="I432" s="10">
        <f t="shared" ca="1" si="60"/>
        <v>553.94596117876335</v>
      </c>
      <c r="J432" s="10">
        <f t="shared" ca="1" si="61"/>
        <v>2229.1017869031502</v>
      </c>
      <c r="K432" s="12">
        <f t="array" aca="1" ref="K432:L432" ca="1">Opt3Spd(H432:J432,$E$3:$G$3,$K$3:$M$3,$N$3:$P$3,$H$3,$I$3,$Q$3,$J$3)</f>
        <v>214.49464322524523</v>
      </c>
      <c r="L432" s="12">
        <f ca="1"/>
        <v>1.585080427844332E-2</v>
      </c>
      <c r="M432" s="12">
        <f t="array" aca="1" ref="M432:N432" ca="1">Opt3Spd(H432:J432,$E$3:$G$3,$K$3:$M$3,$N$3:$P$3,$H$4,$I$3,$Q$3,$J$3)</f>
        <v>0.15384270151888479</v>
      </c>
      <c r="N432" s="12">
        <f ca="1"/>
        <v>185.67505028055211</v>
      </c>
      <c r="O432" s="12">
        <f t="shared" ca="1" si="62"/>
        <v>0.16969350579732811</v>
      </c>
    </row>
    <row r="433" spans="2:15" x14ac:dyDescent="0.15">
      <c r="B433" s="6">
        <f t="shared" ca="1" si="55"/>
        <v>0.64891055951837073</v>
      </c>
      <c r="C433" s="6">
        <f t="shared" ca="1" si="55"/>
        <v>0.4271010252765281</v>
      </c>
      <c r="D433" s="6">
        <f t="shared" ca="1" si="55"/>
        <v>-1.0470684283521714</v>
      </c>
      <c r="E433" s="8">
        <f t="shared" ca="1" si="56"/>
        <v>1.4774654633848614E-2</v>
      </c>
      <c r="F433" s="8">
        <f t="shared" ca="1" si="57"/>
        <v>3.3888785532018045E-2</v>
      </c>
      <c r="G433" s="8">
        <f t="shared" ca="1" si="58"/>
        <v>1.3925303626593399E-2</v>
      </c>
      <c r="H433" s="10">
        <f t="shared" ca="1" si="59"/>
        <v>4075.3350130095355</v>
      </c>
      <c r="I433" s="10">
        <f t="shared" ca="1" si="60"/>
        <v>562.43549932941778</v>
      </c>
      <c r="J433" s="10">
        <f t="shared" ca="1" si="61"/>
        <v>2267.1369789090627</v>
      </c>
      <c r="K433" s="12">
        <f t="array" aca="1" ref="K433:L433" ca="1">Opt3Spd(H433:J433,$E$3:$G$3,$K$3:$M$3,$N$3:$P$3,$H$3,$I$3,$Q$3,$J$3)</f>
        <v>216.88450937551238</v>
      </c>
      <c r="L433" s="12">
        <f ca="1"/>
        <v>1.478474757686854E-2</v>
      </c>
      <c r="M433" s="12">
        <f t="array" aca="1" ref="M433:N433" ca="1">Opt3Spd(H433:J433,$E$3:$G$3,$K$3:$M$3,$N$3:$P$3,$H$4,$I$3,$Q$3,$J$3)</f>
        <v>0.17575966544998423</v>
      </c>
      <c r="N433" s="12">
        <f ca="1"/>
        <v>183.30603503751448</v>
      </c>
      <c r="O433" s="12">
        <f t="shared" ca="1" si="62"/>
        <v>0.19054441302685277</v>
      </c>
    </row>
    <row r="434" spans="2:15" x14ac:dyDescent="0.15">
      <c r="B434" s="6">
        <f t="shared" ca="1" si="55"/>
        <v>0.54163458884809512</v>
      </c>
      <c r="C434" s="6">
        <f t="shared" ca="1" si="55"/>
        <v>-0.73087843936958885</v>
      </c>
      <c r="D434" s="6">
        <f t="shared" ca="1" si="55"/>
        <v>-0.45154232045573089</v>
      </c>
      <c r="E434" s="8">
        <f t="shared" ca="1" si="56"/>
        <v>1.2332152514079479E-2</v>
      </c>
      <c r="F434" s="8">
        <f t="shared" ca="1" si="57"/>
        <v>3.2893349030668284E-3</v>
      </c>
      <c r="G434" s="8">
        <f t="shared" ca="1" si="58"/>
        <v>1.296675024947024E-2</v>
      </c>
      <c r="H434" s="10">
        <f t="shared" ca="1" si="59"/>
        <v>4065.5259244965428</v>
      </c>
      <c r="I434" s="10">
        <f t="shared" ca="1" si="60"/>
        <v>545.78939818726838</v>
      </c>
      <c r="J434" s="10">
        <f t="shared" ca="1" si="61"/>
        <v>2264.9936535578154</v>
      </c>
      <c r="K434" s="12">
        <f t="array" aca="1" ref="K434:L434" ca="1">Opt3Spd(H434:J434,$E$3:$G$3,$K$3:$M$3,$N$3:$P$3,$H$3,$I$3,$Q$3,$J$3)</f>
        <v>234.77166201440036</v>
      </c>
      <c r="L434" s="12">
        <f ca="1"/>
        <v>5.6013963946952572E-3</v>
      </c>
      <c r="M434" s="12">
        <f t="array" aca="1" ref="M434:N434" ca="1">Opt3Spd(H434:J434,$E$3:$G$3,$K$3:$M$3,$N$3:$P$3,$H$4,$I$3,$Q$3,$J$3)</f>
        <v>0.36234195384071555</v>
      </c>
      <c r="N434" s="12">
        <f ca="1"/>
        <v>165.59628133583504</v>
      </c>
      <c r="O434" s="12">
        <f t="shared" ca="1" si="62"/>
        <v>0.3679433502354108</v>
      </c>
    </row>
    <row r="435" spans="2:15" x14ac:dyDescent="0.15">
      <c r="B435" s="6">
        <f t="shared" ca="1" si="55"/>
        <v>0.4470142405147749</v>
      </c>
      <c r="C435" s="6">
        <f t="shared" ca="1" si="55"/>
        <v>1.3281642526678794</v>
      </c>
      <c r="D435" s="6">
        <f t="shared" ca="1" si="55"/>
        <v>0.99592067748672752</v>
      </c>
      <c r="E435" s="8">
        <f t="shared" ca="1" si="56"/>
        <v>1.0177798655210454E-2</v>
      </c>
      <c r="F435" s="8">
        <f t="shared" ca="1" si="57"/>
        <v>4.7113830411186594E-2</v>
      </c>
      <c r="G435" s="8">
        <f t="shared" ca="1" si="58"/>
        <v>3.0887795551844531E-2</v>
      </c>
      <c r="H435" s="10">
        <f t="shared" ca="1" si="59"/>
        <v>4056.8740393993253</v>
      </c>
      <c r="I435" s="10">
        <f t="shared" ca="1" si="60"/>
        <v>569.62992374368559</v>
      </c>
      <c r="J435" s="10">
        <f t="shared" ca="1" si="61"/>
        <v>2305.0651108539241</v>
      </c>
      <c r="K435" s="12">
        <f t="array" aca="1" ref="K435:L435" ca="1">Opt3Spd(H435:J435,$E$3:$G$3,$K$3:$M$3,$N$3:$P$3,$H$3,$I$3,$Q$3,$J$3)</f>
        <v>168.09175268163881</v>
      </c>
      <c r="L435" s="12">
        <f ca="1"/>
        <v>0.15814669917244828</v>
      </c>
      <c r="M435" s="12">
        <f t="array" aca="1" ref="M435:N435" ca="1">Opt3Spd(H435:J435,$E$3:$G$3,$K$3:$M$3,$N$3:$P$3,$H$4,$I$3,$Q$3,$J$3)</f>
        <v>1.8637453129820347E-2</v>
      </c>
      <c r="N435" s="12">
        <f ca="1"/>
        <v>232.08503147066347</v>
      </c>
      <c r="O435" s="12">
        <f t="shared" ca="1" si="62"/>
        <v>0.17678415230226863</v>
      </c>
    </row>
    <row r="436" spans="2:15" x14ac:dyDescent="0.15">
      <c r="B436" s="6">
        <f t="shared" ca="1" si="55"/>
        <v>1.2019617231280895</v>
      </c>
      <c r="C436" s="6">
        <f t="shared" ca="1" si="55"/>
        <v>-0.58992620919981287</v>
      </c>
      <c r="D436" s="6">
        <f t="shared" ca="1" si="55"/>
        <v>0.18356146206233828</v>
      </c>
      <c r="E436" s="8">
        <f t="shared" ca="1" si="56"/>
        <v>2.7366744279063229E-2</v>
      </c>
      <c r="F436" s="8">
        <f t="shared" ca="1" si="57"/>
        <v>3.1023470591337005E-2</v>
      </c>
      <c r="G436" s="8">
        <f t="shared" ca="1" si="58"/>
        <v>4.440107067850501E-2</v>
      </c>
      <c r="H436" s="10">
        <f t="shared" ca="1" si="59"/>
        <v>4125.9048450247183</v>
      </c>
      <c r="I436" s="10">
        <f t="shared" ca="1" si="60"/>
        <v>560.87676800168731</v>
      </c>
      <c r="J436" s="10">
        <f t="shared" ca="1" si="61"/>
        <v>2335.2807940371372</v>
      </c>
      <c r="K436" s="12">
        <f t="array" aca="1" ref="K436:L436" ca="1">Opt3Spd(H436:J436,$E$3:$G$3,$K$3:$M$3,$N$3:$P$3,$H$3,$I$3,$Q$3,$J$3)</f>
        <v>235.86751437940597</v>
      </c>
      <c r="L436" s="12">
        <f ca="1"/>
        <v>5.8951759563115047E-3</v>
      </c>
      <c r="M436" s="12">
        <f t="array" aca="1" ref="M436:N436" ca="1">Opt3Spd(H436:J436,$E$3:$G$3,$K$3:$M$3,$N$3:$P$3,$H$4,$I$3,$Q$3,$J$3)</f>
        <v>0.39636654682570338</v>
      </c>
      <c r="N436" s="12">
        <f ca="1"/>
        <v>164.53474734337604</v>
      </c>
      <c r="O436" s="12">
        <f t="shared" ca="1" si="62"/>
        <v>0.40226172278201489</v>
      </c>
    </row>
    <row r="437" spans="2:15" x14ac:dyDescent="0.15">
      <c r="B437" s="6">
        <f t="shared" ca="1" si="55"/>
        <v>0.54721810799259518</v>
      </c>
      <c r="C437" s="6">
        <f t="shared" ca="1" si="55"/>
        <v>0.23511517080957495</v>
      </c>
      <c r="D437" s="6">
        <f t="shared" ca="1" si="55"/>
        <v>-0.32895416547417894</v>
      </c>
      <c r="E437" s="8">
        <f t="shared" ca="1" si="56"/>
        <v>1.2459280306641059E-2</v>
      </c>
      <c r="F437" s="8">
        <f t="shared" ca="1" si="57"/>
        <v>2.5703188594097669E-2</v>
      </c>
      <c r="G437" s="8">
        <f t="shared" ca="1" si="58"/>
        <v>1.7282069276100504E-2</v>
      </c>
      <c r="H437" s="10">
        <f t="shared" ca="1" si="59"/>
        <v>4066.0364697114701</v>
      </c>
      <c r="I437" s="10">
        <f t="shared" ca="1" si="60"/>
        <v>557.98253459518912</v>
      </c>
      <c r="J437" s="10">
        <f t="shared" ca="1" si="61"/>
        <v>2274.6427069013607</v>
      </c>
      <c r="K437" s="12">
        <f t="array" aca="1" ref="K437:L437" ca="1">Opt3Spd(H437:J437,$E$3:$G$3,$K$3:$M$3,$N$3:$P$3,$H$3,$I$3,$Q$3,$J$3)</f>
        <v>210.96316171530657</v>
      </c>
      <c r="L437" s="12">
        <f ca="1"/>
        <v>2.0100806819527861E-2</v>
      </c>
      <c r="M437" s="12">
        <f t="array" aca="1" ref="M437:N437" ca="1">Opt3Spd(H437:J437,$E$3:$G$3,$K$3:$M$3,$N$3:$P$3,$H$4,$I$3,$Q$3,$J$3)</f>
        <v>0.13689185332372489</v>
      </c>
      <c r="N437" s="12">
        <f ca="1"/>
        <v>189.19383094483669</v>
      </c>
      <c r="O437" s="12">
        <f t="shared" ca="1" si="62"/>
        <v>0.15699266014325275</v>
      </c>
    </row>
    <row r="438" spans="2:15" x14ac:dyDescent="0.15">
      <c r="B438" s="6">
        <f t="shared" ca="1" si="55"/>
        <v>0.29244980169205959</v>
      </c>
      <c r="C438" s="6">
        <f t="shared" ca="1" si="55"/>
        <v>-0.57509775370927896</v>
      </c>
      <c r="D438" s="6">
        <f t="shared" ca="1" si="55"/>
        <v>-0.68319193471419859</v>
      </c>
      <c r="E438" s="8">
        <f t="shared" ca="1" si="56"/>
        <v>6.6586138172026032E-3</v>
      </c>
      <c r="F438" s="8">
        <f t="shared" ca="1" si="57"/>
        <v>-2.3726413797199248E-3</v>
      </c>
      <c r="G438" s="8">
        <f t="shared" ca="1" si="58"/>
        <v>1.7965572570888644E-3</v>
      </c>
      <c r="H438" s="10">
        <f t="shared" ca="1" si="59"/>
        <v>4042.7409930898862</v>
      </c>
      <c r="I438" s="10">
        <f t="shared" ca="1" si="60"/>
        <v>542.70928308943235</v>
      </c>
      <c r="J438" s="10">
        <f t="shared" ca="1" si="61"/>
        <v>2240.0171020268508</v>
      </c>
      <c r="K438" s="12">
        <f t="array" aca="1" ref="K438:L438" ca="1">Opt3Spd(H438:J438,$E$3:$G$3,$K$3:$M$3,$N$3:$P$3,$H$3,$I$3,$Q$3,$J$3)</f>
        <v>229.40482207945979</v>
      </c>
      <c r="L438" s="12">
        <f ca="1"/>
        <v>7.2329460908804322E-3</v>
      </c>
      <c r="M438" s="12">
        <f t="array" aca="1" ref="M438:N438" ca="1">Opt3Spd(H438:J438,$E$3:$G$3,$K$3:$M$3,$N$3:$P$3,$H$4,$I$3,$Q$3,$J$3)</f>
        <v>0.28782070526859727</v>
      </c>
      <c r="N438" s="12">
        <f ca="1"/>
        <v>170.89023157189968</v>
      </c>
      <c r="O438" s="12">
        <f t="shared" ca="1" si="62"/>
        <v>0.2950536513594777</v>
      </c>
    </row>
    <row r="439" spans="2:15" x14ac:dyDescent="0.15">
      <c r="B439" s="6">
        <f t="shared" ca="1" si="55"/>
        <v>1.0758829390741007</v>
      </c>
      <c r="C439" s="6">
        <f t="shared" ca="1" si="55"/>
        <v>1.6463605384039099</v>
      </c>
      <c r="D439" s="6">
        <f t="shared" ca="1" si="55"/>
        <v>0.98562580700924318</v>
      </c>
      <c r="E439" s="8">
        <f t="shared" ca="1" si="56"/>
        <v>2.4496132198970351E-2</v>
      </c>
      <c r="F439" s="8">
        <f t="shared" ca="1" si="57"/>
        <v>7.7755636542266152E-2</v>
      </c>
      <c r="G439" s="8">
        <f t="shared" ca="1" si="58"/>
        <v>5.4805451599433522E-2</v>
      </c>
      <c r="H439" s="10">
        <f t="shared" ca="1" si="59"/>
        <v>4114.3764669110651</v>
      </c>
      <c r="I439" s="10">
        <f t="shared" ca="1" si="60"/>
        <v>586.29906627899288</v>
      </c>
      <c r="J439" s="10">
        <f t="shared" ca="1" si="61"/>
        <v>2358.5449897763338</v>
      </c>
      <c r="K439" s="12">
        <f t="array" aca="1" ref="K439:L439" ca="1">Opt3Spd(H439:J439,$E$3:$G$3,$K$3:$M$3,$N$3:$P$3,$H$3,$I$3,$Q$3,$J$3)</f>
        <v>172.16600899665536</v>
      </c>
      <c r="L439" s="12">
        <f ca="1"/>
        <v>0.14054302014574205</v>
      </c>
      <c r="M439" s="12">
        <f t="array" aca="1" ref="M439:N439" ca="1">Opt3Spd(H439:J439,$E$3:$G$3,$K$3:$M$3,$N$3:$P$3,$H$4,$I$3,$Q$3,$J$3)</f>
        <v>2.4578854470429956E-2</v>
      </c>
      <c r="N439" s="12">
        <f ca="1"/>
        <v>227.99911287796081</v>
      </c>
      <c r="O439" s="12">
        <f t="shared" ca="1" si="62"/>
        <v>0.165121874616172</v>
      </c>
    </row>
    <row r="440" spans="2:15" x14ac:dyDescent="0.15">
      <c r="B440" s="6">
        <f t="shared" ca="1" si="55"/>
        <v>2.5545847580594961E-2</v>
      </c>
      <c r="C440" s="6">
        <f t="shared" ca="1" si="55"/>
        <v>0.74391008070369147</v>
      </c>
      <c r="D440" s="6">
        <f t="shared" ca="1" si="55"/>
        <v>-0.19687387637314194</v>
      </c>
      <c r="E440" s="8">
        <f t="shared" ca="1" si="56"/>
        <v>5.816380544221096E-4</v>
      </c>
      <c r="F440" s="8">
        <f t="shared" ca="1" si="57"/>
        <v>1.8048960080774647E-2</v>
      </c>
      <c r="G440" s="8">
        <f t="shared" ca="1" si="58"/>
        <v>1.0007540970645721E-3</v>
      </c>
      <c r="H440" s="10">
        <f t="shared" ca="1" si="59"/>
        <v>4018.3358584265593</v>
      </c>
      <c r="I440" s="10">
        <f t="shared" ca="1" si="60"/>
        <v>553.81863428394149</v>
      </c>
      <c r="J440" s="10">
        <f t="shared" ca="1" si="61"/>
        <v>2238.2376861610364</v>
      </c>
      <c r="K440" s="12">
        <f t="array" aca="1" ref="K440:L440" ca="1">Opt3Spd(H440:J440,$E$3:$G$3,$K$3:$M$3,$N$3:$P$3,$H$3,$I$3,$Q$3,$J$3)</f>
        <v>188.16611938438473</v>
      </c>
      <c r="L440" s="12">
        <f ca="1"/>
        <v>5.8918892650126509E-2</v>
      </c>
      <c r="M440" s="12">
        <f t="array" aca="1" ref="M440:N440" ca="1">Opt3Spd(H440:J440,$E$3:$G$3,$K$3:$M$3,$N$3:$P$3,$H$4,$I$3,$Q$3,$J$3)</f>
        <v>4.6798800047173295E-2</v>
      </c>
      <c r="N440" s="12">
        <f ca="1"/>
        <v>211.93959830831258</v>
      </c>
      <c r="O440" s="12">
        <f t="shared" ca="1" si="62"/>
        <v>0.1057176926972998</v>
      </c>
    </row>
    <row r="441" spans="2:15" x14ac:dyDescent="0.15">
      <c r="B441" s="6">
        <f t="shared" ca="1" si="55"/>
        <v>-1.3191338565213908</v>
      </c>
      <c r="C441" s="6">
        <f t="shared" ca="1" si="55"/>
        <v>-0.85130026222383626</v>
      </c>
      <c r="D441" s="6">
        <f t="shared" ca="1" si="55"/>
        <v>1.1375998292575125</v>
      </c>
      <c r="E441" s="8">
        <f t="shared" ca="1" si="56"/>
        <v>-3.0034566181795348E-2</v>
      </c>
      <c r="F441" s="8">
        <f t="shared" ca="1" si="57"/>
        <v>-6.8501427700594836E-2</v>
      </c>
      <c r="G441" s="8">
        <f t="shared" ca="1" si="58"/>
        <v>-3.8815219729525299E-2</v>
      </c>
      <c r="H441" s="10">
        <f t="shared" ca="1" si="59"/>
        <v>3895.3811822139101</v>
      </c>
      <c r="I441" s="10">
        <f t="shared" ca="1" si="60"/>
        <v>506.73522333087641</v>
      </c>
      <c r="J441" s="10">
        <f t="shared" ca="1" si="61"/>
        <v>2149.2091686847816</v>
      </c>
      <c r="K441" s="12">
        <f t="array" aca="1" ref="K441:L441" ca="1">Opt3Spd(H441:J441,$E$3:$G$3,$K$3:$M$3,$N$3:$P$3,$H$3,$I$3,$Q$3,$J$3)</f>
        <v>185.06121363236184</v>
      </c>
      <c r="L441" s="12">
        <f ca="1"/>
        <v>6.0973090244942796E-2</v>
      </c>
      <c r="M441" s="12">
        <f t="array" aca="1" ref="M441:N441" ca="1">Opt3Spd(H441:J441,$E$3:$G$3,$K$3:$M$3,$N$3:$P$3,$H$4,$I$3,$Q$3,$J$3)</f>
        <v>3.6488090062277934E-2</v>
      </c>
      <c r="N441" s="12">
        <f ca="1"/>
        <v>215.03624754794538</v>
      </c>
      <c r="O441" s="12">
        <f t="shared" ca="1" si="62"/>
        <v>9.7461180307220729E-2</v>
      </c>
    </row>
    <row r="442" spans="2:15" x14ac:dyDescent="0.15">
      <c r="B442" s="6">
        <f t="shared" ca="1" si="55"/>
        <v>-0.4686191295723604</v>
      </c>
      <c r="C442" s="6">
        <f t="shared" ca="1" si="55"/>
        <v>0.2786851818633499</v>
      </c>
      <c r="D442" s="6">
        <f t="shared" ca="1" si="55"/>
        <v>-1.1256720151396629</v>
      </c>
      <c r="E442" s="8">
        <f t="shared" ca="1" si="56"/>
        <v>-1.066970739293443E-2</v>
      </c>
      <c r="F442" s="8">
        <f t="shared" ca="1" si="57"/>
        <v>-1.0976178126010816E-2</v>
      </c>
      <c r="G442" s="8">
        <f t="shared" ca="1" si="58"/>
        <v>-2.8399134960778692E-2</v>
      </c>
      <c r="H442" s="10">
        <f t="shared" ca="1" si="59"/>
        <v>3973.1504551099756</v>
      </c>
      <c r="I442" s="10">
        <f t="shared" ca="1" si="60"/>
        <v>538.02895909945016</v>
      </c>
      <c r="J442" s="10">
        <f t="shared" ca="1" si="61"/>
        <v>2172.4995342276989</v>
      </c>
      <c r="K442" s="12">
        <f t="array" aca="1" ref="K442:L442" ca="1">Opt3Spd(H442:J442,$E$3:$G$3,$K$3:$M$3,$N$3:$P$3,$H$3,$I$3,$Q$3,$J$3)</f>
        <v>201.08336692662124</v>
      </c>
      <c r="L442" s="12">
        <f ca="1"/>
        <v>2.9013489615408616E-2</v>
      </c>
      <c r="M442" s="12">
        <f t="array" aca="1" ref="M442:N442" ca="1">Opt3Spd(H442:J442,$E$3:$G$3,$K$3:$M$3,$N$3:$P$3,$H$4,$I$3,$Q$3,$J$3)</f>
        <v>8.0545560781278169E-2</v>
      </c>
      <c r="N442" s="12">
        <f ca="1"/>
        <v>199.02619212377544</v>
      </c>
      <c r="O442" s="12">
        <f t="shared" ca="1" si="62"/>
        <v>0.10955905039668679</v>
      </c>
    </row>
    <row r="443" spans="2:15" x14ac:dyDescent="0.15">
      <c r="B443" s="6">
        <f t="shared" ca="1" si="55"/>
        <v>0.1327379457386598</v>
      </c>
      <c r="C443" s="6">
        <f t="shared" ca="1" si="55"/>
        <v>-1.1132166116945739</v>
      </c>
      <c r="D443" s="6">
        <f t="shared" ca="1" si="55"/>
        <v>1.1927268481051654</v>
      </c>
      <c r="E443" s="8">
        <f t="shared" ca="1" si="56"/>
        <v>3.0222305313552461E-3</v>
      </c>
      <c r="F443" s="8">
        <f t="shared" ca="1" si="57"/>
        <v>-2.0667459635175453E-2</v>
      </c>
      <c r="G443" s="8">
        <f t="shared" ca="1" si="58"/>
        <v>1.4351124815488581E-2</v>
      </c>
      <c r="H443" s="10">
        <f t="shared" ca="1" si="59"/>
        <v>4028.1372778139225</v>
      </c>
      <c r="I443" s="10">
        <f t="shared" ca="1" si="60"/>
        <v>532.7569019584646</v>
      </c>
      <c r="J443" s="10">
        <f t="shared" ca="1" si="61"/>
        <v>2268.0891150874327</v>
      </c>
      <c r="K443" s="12">
        <f t="array" aca="1" ref="K443:L443" ca="1">Opt3Spd(H443:J443,$E$3:$G$3,$K$3:$M$3,$N$3:$P$3,$H$3,$I$3,$Q$3,$J$3)</f>
        <v>216.69622778385883</v>
      </c>
      <c r="L443" s="12">
        <f ca="1"/>
        <v>1.4550647196074351E-2</v>
      </c>
      <c r="M443" s="12">
        <f t="array" aca="1" ref="M443:N443" ca="1">Opt3Spd(H443:J443,$E$3:$G$3,$K$3:$M$3,$N$3:$P$3,$H$4,$I$3,$Q$3,$J$3)</f>
        <v>0.17297927180414341</v>
      </c>
      <c r="N443" s="12">
        <f ca="1"/>
        <v>183.49130213514138</v>
      </c>
      <c r="O443" s="12">
        <f t="shared" ca="1" si="62"/>
        <v>0.18752991900021776</v>
      </c>
    </row>
    <row r="444" spans="2:15" x14ac:dyDescent="0.15">
      <c r="B444" s="6">
        <f t="shared" ca="1" si="55"/>
        <v>-0.5636670567453822</v>
      </c>
      <c r="C444" s="6">
        <f t="shared" ca="1" si="55"/>
        <v>-1.0232253195155874</v>
      </c>
      <c r="D444" s="6">
        <f t="shared" ca="1" si="55"/>
        <v>-1.2461163669573529</v>
      </c>
      <c r="E444" s="8">
        <f t="shared" ca="1" si="56"/>
        <v>-1.2833796537495248E-2</v>
      </c>
      <c r="F444" s="8">
        <f t="shared" ca="1" si="57"/>
        <v>-4.4430805840108827E-2</v>
      </c>
      <c r="G444" s="8">
        <f t="shared" ca="1" si="58"/>
        <v>-3.6953549755316735E-2</v>
      </c>
      <c r="H444" s="10">
        <f t="shared" ca="1" si="59"/>
        <v>3964.459473105419</v>
      </c>
      <c r="I444" s="10">
        <f t="shared" ca="1" si="60"/>
        <v>519.82964162298083</v>
      </c>
      <c r="J444" s="10">
        <f t="shared" ca="1" si="61"/>
        <v>2153.3718627471117</v>
      </c>
      <c r="K444" s="12">
        <f t="array" aca="1" ref="K444:L444" ca="1">Opt3Spd(H444:J444,$E$3:$G$3,$K$3:$M$3,$N$3:$P$3,$H$3,$I$3,$Q$3,$J$3)</f>
        <v>231.0519173959749</v>
      </c>
      <c r="L444" s="12">
        <f ca="1"/>
        <v>5.8022608811825194E-3</v>
      </c>
      <c r="M444" s="12">
        <f t="array" aca="1" ref="M444:N444" ca="1">Opt3Spd(H444:J444,$E$3:$G$3,$K$3:$M$3,$N$3:$P$3,$H$4,$I$3,$Q$3,$J$3)</f>
        <v>0.28993535973047102</v>
      </c>
      <c r="N444" s="12">
        <f ca="1"/>
        <v>169.24382022463675</v>
      </c>
      <c r="O444" s="12">
        <f t="shared" ca="1" si="62"/>
        <v>0.29573762061165354</v>
      </c>
    </row>
    <row r="445" spans="2:15" x14ac:dyDescent="0.15">
      <c r="B445" s="6">
        <f t="shared" ca="1" si="55"/>
        <v>0.43694357836887449</v>
      </c>
      <c r="C445" s="6">
        <f t="shared" ca="1" si="55"/>
        <v>-0.59233406003167643</v>
      </c>
      <c r="D445" s="6">
        <f t="shared" ca="1" si="55"/>
        <v>-0.15755537853533441</v>
      </c>
      <c r="E445" s="8">
        <f t="shared" ca="1" si="56"/>
        <v>9.9485057997354479E-3</v>
      </c>
      <c r="F445" s="8">
        <f t="shared" ca="1" si="57"/>
        <v>2.5909041968432385E-3</v>
      </c>
      <c r="G445" s="8">
        <f t="shared" ca="1" si="58"/>
        <v>1.2654621953915965E-2</v>
      </c>
      <c r="H445" s="10">
        <f t="shared" ca="1" si="59"/>
        <v>4055.9531992917377</v>
      </c>
      <c r="I445" s="10">
        <f t="shared" ca="1" si="60"/>
        <v>545.40945188308274</v>
      </c>
      <c r="J445" s="10">
        <f t="shared" ca="1" si="61"/>
        <v>2264.2957346889557</v>
      </c>
      <c r="K445" s="12">
        <f t="array" aca="1" ref="K445:L445" ca="1">Opt3Spd(H445:J445,$E$3:$G$3,$K$3:$M$3,$N$3:$P$3,$H$3,$I$3,$Q$3,$J$3)</f>
        <v>226.15911208171815</v>
      </c>
      <c r="L445" s="12">
        <f ca="1"/>
        <v>8.9031473905833991E-3</v>
      </c>
      <c r="M445" s="12">
        <f t="array" aca="1" ref="M445:N445" ca="1">Opt3Spd(H445:J445,$E$3:$G$3,$K$3:$M$3,$N$3:$P$3,$H$4,$I$3,$Q$3,$J$3)</f>
        <v>0.25654441381007587</v>
      </c>
      <c r="N445" s="12">
        <f ca="1"/>
        <v>174.10633547948251</v>
      </c>
      <c r="O445" s="12">
        <f t="shared" ca="1" si="62"/>
        <v>0.26544756120065927</v>
      </c>
    </row>
    <row r="446" spans="2:15" x14ac:dyDescent="0.15">
      <c r="B446" s="6">
        <f t="shared" ca="1" si="55"/>
        <v>-1.4671075865831658</v>
      </c>
      <c r="C446" s="6">
        <f t="shared" ca="1" si="55"/>
        <v>-1.1458780257498562</v>
      </c>
      <c r="D446" s="6">
        <f t="shared" ca="1" si="55"/>
        <v>0.99526463843147084</v>
      </c>
      <c r="E446" s="8">
        <f t="shared" ca="1" si="56"/>
        <v>-3.3403691132031538E-2</v>
      </c>
      <c r="F446" s="8">
        <f t="shared" ca="1" si="57"/>
        <v>-8.0762193834837737E-2</v>
      </c>
      <c r="G446" s="8">
        <f t="shared" ca="1" si="58"/>
        <v>-4.6622989135017619E-2</v>
      </c>
      <c r="H446" s="10">
        <f t="shared" ca="1" si="59"/>
        <v>3881.8507764137612</v>
      </c>
      <c r="I446" s="10">
        <f t="shared" ca="1" si="60"/>
        <v>500.06536655384826</v>
      </c>
      <c r="J446" s="10">
        <f t="shared" ca="1" si="61"/>
        <v>2131.7509962941008</v>
      </c>
      <c r="K446" s="12">
        <f t="array" aca="1" ref="K446:L446" ca="1">Opt3Spd(H446:J446,$E$3:$G$3,$K$3:$M$3,$N$3:$P$3,$H$3,$I$3,$Q$3,$J$3)</f>
        <v>190.91580411718587</v>
      </c>
      <c r="L446" s="12">
        <f ca="1"/>
        <v>4.5112336632200822E-2</v>
      </c>
      <c r="M446" s="12">
        <f t="array" aca="1" ref="M446:N446" ca="1">Opt3Spd(H446:J446,$E$3:$G$3,$K$3:$M$3,$N$3:$P$3,$H$4,$I$3,$Q$3,$J$3)</f>
        <v>4.7804474728749824E-2</v>
      </c>
      <c r="N446" s="12">
        <f ca="1"/>
        <v>209.17711269417509</v>
      </c>
      <c r="O446" s="12">
        <f t="shared" ca="1" si="62"/>
        <v>9.2916811360950646E-2</v>
      </c>
    </row>
    <row r="447" spans="2:15" x14ac:dyDescent="0.15">
      <c r="B447" s="6">
        <f t="shared" ca="1" si="55"/>
        <v>0.39264656625714622</v>
      </c>
      <c r="C447" s="6">
        <f t="shared" ca="1" si="55"/>
        <v>0.45459486436783242</v>
      </c>
      <c r="D447" s="6">
        <f t="shared" ca="1" si="55"/>
        <v>1.0417602925695513</v>
      </c>
      <c r="E447" s="8">
        <f t="shared" ca="1" si="56"/>
        <v>8.9399337466809364E-3</v>
      </c>
      <c r="F447" s="8">
        <f t="shared" ca="1" si="57"/>
        <v>2.501509479420682E-2</v>
      </c>
      <c r="G447" s="8">
        <f t="shared" ca="1" si="58"/>
        <v>2.6842801019046077E-2</v>
      </c>
      <c r="H447" s="10">
        <f t="shared" ca="1" si="59"/>
        <v>4051.9027739266703</v>
      </c>
      <c r="I447" s="10">
        <f t="shared" ca="1" si="60"/>
        <v>557.60821156804843</v>
      </c>
      <c r="J447" s="10">
        <f t="shared" ca="1" si="61"/>
        <v>2296.0205030785869</v>
      </c>
      <c r="K447" s="12">
        <f t="array" aca="1" ref="K447:L447" ca="1">Opt3Spd(H447:J447,$E$3:$G$3,$K$3:$M$3,$N$3:$P$3,$H$3,$I$3,$Q$3,$J$3)</f>
        <v>186.78606536692746</v>
      </c>
      <c r="L447" s="12">
        <f ca="1"/>
        <v>6.6681488428002922E-2</v>
      </c>
      <c r="M447" s="12">
        <f t="array" aca="1" ref="M447:N447" ca="1">Opt3Spd(H447:J447,$E$3:$G$3,$K$3:$M$3,$N$3:$P$3,$H$4,$I$3,$Q$3,$J$3)</f>
        <v>4.6316190172349891E-2</v>
      </c>
      <c r="N447" s="12">
        <f ca="1"/>
        <v>213.32693231167289</v>
      </c>
      <c r="O447" s="12">
        <f t="shared" ca="1" si="62"/>
        <v>0.11299767860035281</v>
      </c>
    </row>
    <row r="448" spans="2:15" x14ac:dyDescent="0.15">
      <c r="B448" s="6">
        <f t="shared" ref="B448:D511" ca="1" si="63">NORMINV(RAND(),0,1)</f>
        <v>2.8231737176638814</v>
      </c>
      <c r="C448" s="6">
        <f t="shared" ca="1" si="63"/>
        <v>-0.12414952032379058</v>
      </c>
      <c r="D448" s="6">
        <f t="shared" ca="1" si="63"/>
        <v>3.1204281117637462</v>
      </c>
      <c r="E448" s="8">
        <f t="shared" ca="1" si="56"/>
        <v>6.4279146082629621E-2</v>
      </c>
      <c r="F448" s="8">
        <f t="shared" ca="1" si="57"/>
        <v>0.10186743126876241</v>
      </c>
      <c r="G448" s="8">
        <f t="shared" ca="1" si="58"/>
        <v>0.13660049920118711</v>
      </c>
      <c r="H448" s="10">
        <f t="shared" ca="1" si="59"/>
        <v>4274.1450506678402</v>
      </c>
      <c r="I448" s="10">
        <f t="shared" ca="1" si="60"/>
        <v>599.41588261020672</v>
      </c>
      <c r="J448" s="10">
        <f t="shared" ca="1" si="61"/>
        <v>2541.4387162138541</v>
      </c>
      <c r="K448" s="12">
        <f t="array" aca="1" ref="K448:L448" ca="1">Opt3Spd(H448:J448,$E$3:$G$3,$K$3:$M$3,$N$3:$P$3,$H$3,$I$3,$Q$3,$J$3)</f>
        <v>219.37919345112846</v>
      </c>
      <c r="L448" s="12">
        <f ca="1"/>
        <v>1.8913066546247137E-2</v>
      </c>
      <c r="M448" s="12">
        <f t="array" aca="1" ref="M448:N448" ca="1">Opt3Spd(H448:J448,$E$3:$G$3,$K$3:$M$3,$N$3:$P$3,$H$4,$I$3,$Q$3,$J$3)</f>
        <v>0.2409459150496609</v>
      </c>
      <c r="N448" s="12">
        <f ca="1"/>
        <v>180.88066553046744</v>
      </c>
      <c r="O448" s="12">
        <f t="shared" ca="1" si="62"/>
        <v>0.25985898159590803</v>
      </c>
    </row>
    <row r="449" spans="2:15" x14ac:dyDescent="0.15">
      <c r="B449" s="6">
        <f t="shared" ca="1" si="63"/>
        <v>0.31627022751835121</v>
      </c>
      <c r="C449" s="6">
        <f t="shared" ca="1" si="63"/>
        <v>2.0473784687033296</v>
      </c>
      <c r="D449" s="6">
        <f t="shared" ca="1" si="63"/>
        <v>0.45809039760226794</v>
      </c>
      <c r="E449" s="8">
        <f t="shared" ca="1" si="56"/>
        <v>7.2009667804150993E-3</v>
      </c>
      <c r="F449" s="8">
        <f t="shared" ca="1" si="57"/>
        <v>5.8797729085054734E-2</v>
      </c>
      <c r="G449" s="8">
        <f t="shared" ca="1" si="58"/>
        <v>2.2442795849564452E-2</v>
      </c>
      <c r="H449" s="10">
        <f t="shared" ca="1" si="59"/>
        <v>4044.9190825901474</v>
      </c>
      <c r="I449" s="10">
        <f t="shared" ca="1" si="60"/>
        <v>575.98596462226976</v>
      </c>
      <c r="J449" s="10">
        <f t="shared" ca="1" si="61"/>
        <v>2286.1820915196263</v>
      </c>
      <c r="K449" s="12">
        <f t="array" aca="1" ref="K449:L449" ca="1">Opt3Spd(H449:J449,$E$3:$G$3,$K$3:$M$3,$N$3:$P$3,$H$3,$I$3,$Q$3,$J$3)</f>
        <v>155.51894371770572</v>
      </c>
      <c r="L449" s="12">
        <f ca="1"/>
        <v>0.26845028300340346</v>
      </c>
      <c r="M449" s="12">
        <f t="array" aca="1" ref="M449:N449" ca="1">Opt3Spd(H449:J449,$E$3:$G$3,$K$3:$M$3,$N$3:$P$3,$H$4,$I$3,$Q$3,$J$3)</f>
        <v>9.4394060249316514E-3</v>
      </c>
      <c r="N449" s="12">
        <f ca="1"/>
        <v>244.75894597132262</v>
      </c>
      <c r="O449" s="12">
        <f t="shared" ca="1" si="62"/>
        <v>0.27788968902833511</v>
      </c>
    </row>
    <row r="450" spans="2:15" x14ac:dyDescent="0.15">
      <c r="B450" s="6">
        <f t="shared" ca="1" si="63"/>
        <v>-1.0197906388145976</v>
      </c>
      <c r="C450" s="6">
        <f t="shared" ca="1" si="63"/>
        <v>1.3672307140254223</v>
      </c>
      <c r="D450" s="6">
        <f t="shared" ca="1" si="63"/>
        <v>-0.94190737605769959</v>
      </c>
      <c r="E450" s="8">
        <f t="shared" ca="1" si="56"/>
        <v>-2.3219000317240147E-2</v>
      </c>
      <c r="F450" s="8">
        <f t="shared" ca="1" si="57"/>
        <v>-6.3970420135519047E-3</v>
      </c>
      <c r="G450" s="8">
        <f t="shared" ca="1" si="58"/>
        <v>-4.3530609197723377E-2</v>
      </c>
      <c r="H450" s="10">
        <f t="shared" ca="1" si="59"/>
        <v>3922.7524947259635</v>
      </c>
      <c r="I450" s="10">
        <f t="shared" ca="1" si="60"/>
        <v>540.52000914462769</v>
      </c>
      <c r="J450" s="10">
        <f t="shared" ca="1" si="61"/>
        <v>2138.6655578338905</v>
      </c>
      <c r="K450" s="12">
        <f t="array" aca="1" ref="K450:L450" ca="1">Opt3Spd(H450:J450,$E$3:$G$3,$K$3:$M$3,$N$3:$P$3,$H$3,$I$3,$Q$3,$J$3)</f>
        <v>163.75129958879984</v>
      </c>
      <c r="L450" s="12">
        <f ca="1"/>
        <v>0.163598411186058</v>
      </c>
      <c r="M450" s="12">
        <f t="array" aca="1" ref="M450:N450" ca="1">Opt3Spd(H450:J450,$E$3:$G$3,$K$3:$M$3,$N$3:$P$3,$H$4,$I$3,$Q$3,$J$3)</f>
        <v>1.2100357492850877E-2</v>
      </c>
      <c r="N450" s="12">
        <f ca="1"/>
        <v>236.42439917987906</v>
      </c>
      <c r="O450" s="12">
        <f t="shared" ca="1" si="62"/>
        <v>0.17569876867890888</v>
      </c>
    </row>
    <row r="451" spans="2:15" x14ac:dyDescent="0.15">
      <c r="B451" s="6">
        <f t="shared" ca="1" si="63"/>
        <v>-0.85913968509596783</v>
      </c>
      <c r="C451" s="6">
        <f t="shared" ca="1" si="63"/>
        <v>0.57111619145094183</v>
      </c>
      <c r="D451" s="6">
        <f t="shared" ca="1" si="63"/>
        <v>-1.1316942847604916</v>
      </c>
      <c r="E451" s="8">
        <f t="shared" ca="1" si="56"/>
        <v>-1.9561235278630143E-2</v>
      </c>
      <c r="F451" s="8">
        <f t="shared" ca="1" si="57"/>
        <v>-1.8739409550378842E-2</v>
      </c>
      <c r="G451" s="8">
        <f t="shared" ca="1" si="58"/>
        <v>-4.196146195594308E-2</v>
      </c>
      <c r="H451" s="10">
        <f t="shared" ca="1" si="59"/>
        <v>3937.4420791210214</v>
      </c>
      <c r="I451" s="10">
        <f t="shared" ca="1" si="60"/>
        <v>533.80576120459386</v>
      </c>
      <c r="J451" s="10">
        <f t="shared" ca="1" si="61"/>
        <v>2142.1741710665115</v>
      </c>
      <c r="K451" s="12">
        <f t="array" aca="1" ref="K451:L451" ca="1">Opt3Spd(H451:J451,$E$3:$G$3,$K$3:$M$3,$N$3:$P$3,$H$3,$I$3,$Q$3,$J$3)</f>
        <v>187.32083945126055</v>
      </c>
      <c r="L451" s="12">
        <f ca="1"/>
        <v>5.5063790844997129E-2</v>
      </c>
      <c r="M451" s="12">
        <f t="array" aca="1" ref="M451:N451" ca="1">Opt3Spd(H451:J451,$E$3:$G$3,$K$3:$M$3,$N$3:$P$3,$H$4,$I$3,$Q$3,$J$3)</f>
        <v>4.0724960641826513E-2</v>
      </c>
      <c r="N451" s="12">
        <f ca="1"/>
        <v>212.77494930022627</v>
      </c>
      <c r="O451" s="12">
        <f t="shared" ca="1" si="62"/>
        <v>9.5788751486823642E-2</v>
      </c>
    </row>
    <row r="452" spans="2:15" x14ac:dyDescent="0.15">
      <c r="B452" s="6">
        <f t="shared" ca="1" si="63"/>
        <v>-1.8950423654287698</v>
      </c>
      <c r="C452" s="6">
        <f t="shared" ca="1" si="63"/>
        <v>-0.77937622841262655</v>
      </c>
      <c r="D452" s="6">
        <f t="shared" ca="1" si="63"/>
        <v>-0.70667403815017371</v>
      </c>
      <c r="E452" s="8">
        <f t="shared" ca="1" si="56"/>
        <v>-4.3147080988329894E-2</v>
      </c>
      <c r="F452" s="8">
        <f t="shared" ca="1" si="57"/>
        <v>-8.8210474295190092E-2</v>
      </c>
      <c r="G452" s="8">
        <f t="shared" ca="1" si="58"/>
        <v>-7.9411518213398841E-2</v>
      </c>
      <c r="H452" s="10">
        <f t="shared" ca="1" si="59"/>
        <v>3842.7213227508673</v>
      </c>
      <c r="I452" s="10">
        <f t="shared" ca="1" si="60"/>
        <v>496.01350198341657</v>
      </c>
      <c r="J452" s="10">
        <f t="shared" ca="1" si="61"/>
        <v>2058.4358452748402</v>
      </c>
      <c r="K452" s="12">
        <f t="array" aca="1" ref="K452:L452" ca="1">Opt3Spd(H452:J452,$E$3:$G$3,$K$3:$M$3,$N$3:$P$3,$H$3,$I$3,$Q$3,$J$3)</f>
        <v>194.9161438666506</v>
      </c>
      <c r="L452" s="12">
        <f ca="1"/>
        <v>3.4346926669968525E-2</v>
      </c>
      <c r="M452" s="12">
        <f t="array" aca="1" ref="M452:N452" ca="1">Opt3Spd(H452:J452,$E$3:$G$3,$K$3:$M$3,$N$3:$P$3,$H$4,$I$3,$Q$3,$J$3)</f>
        <v>5.4291227040564216E-2</v>
      </c>
      <c r="N452" s="12">
        <f ca="1"/>
        <v>205.17249428705992</v>
      </c>
      <c r="O452" s="12">
        <f t="shared" ca="1" si="62"/>
        <v>8.8638153710532741E-2</v>
      </c>
    </row>
    <row r="453" spans="2:15" x14ac:dyDescent="0.15">
      <c r="B453" s="6">
        <f t="shared" ca="1" si="63"/>
        <v>0.87197972037291505</v>
      </c>
      <c r="C453" s="6">
        <f t="shared" ca="1" si="63"/>
        <v>-0.56025965403444167</v>
      </c>
      <c r="D453" s="6">
        <f t="shared" ca="1" si="63"/>
        <v>-0.29607819625362963</v>
      </c>
      <c r="E453" s="8">
        <f t="shared" ref="E453:E516" ca="1" si="64">B453*$U$3*$C$6</f>
        <v>1.9853582326957005E-2</v>
      </c>
      <c r="F453" s="8">
        <f t="shared" ref="F453:F516" ca="1" si="65">($N$3*B453+C453*SQRT(1-$N$3^2))*$V$3*$C$6</f>
        <v>1.9465267095782404E-2</v>
      </c>
      <c r="G453" s="8">
        <f t="shared" ref="G453:G516" ca="1" si="66">(D453/$T$3+($P$3-$N$3*$O$3)*C453+$O$3*B453*SQRT(1/(1-$N$3^2)))*$W$3*$C$6</f>
        <v>2.7254562304642998E-2</v>
      </c>
      <c r="H453" s="10">
        <f t="shared" ref="H453:H516" ca="1" si="67">B$3*(1+E453)</f>
        <v>4095.7319866250591</v>
      </c>
      <c r="I453" s="10">
        <f t="shared" ref="I453:I516" ca="1" si="68">C$3*(1+F453)</f>
        <v>554.58910530010564</v>
      </c>
      <c r="J453" s="10">
        <f t="shared" ref="J453:J516" ca="1" si="69">D$3*(1+G453)</f>
        <v>2296.9412013131819</v>
      </c>
      <c r="K453" s="12">
        <f t="array" aca="1" ref="K453:L453" ca="1">Opt3Spd(H453:J453,$E$3:$G$3,$K$3:$M$3,$N$3:$P$3,$H$3,$I$3,$Q$3,$J$3)</f>
        <v>234.92466858248758</v>
      </c>
      <c r="L453" s="12">
        <f ca="1"/>
        <v>5.8510941883014311E-3</v>
      </c>
      <c r="M453" s="12">
        <f t="array" aca="1" ref="M453:N453" ca="1">Opt3Spd(H453:J453,$E$3:$G$3,$K$3:$M$3,$N$3:$P$3,$H$4,$I$3,$Q$3,$J$3)</f>
        <v>0.37257621193692003</v>
      </c>
      <c r="N453" s="12">
        <f ca="1"/>
        <v>165.45375872363763</v>
      </c>
      <c r="O453" s="12">
        <f t="shared" ca="1" si="62"/>
        <v>0.37842730612522146</v>
      </c>
    </row>
    <row r="454" spans="2:15" x14ac:dyDescent="0.15">
      <c r="B454" s="6">
        <f t="shared" ca="1" si="63"/>
        <v>-2.1632183984136733E-2</v>
      </c>
      <c r="C454" s="6">
        <f t="shared" ca="1" si="63"/>
        <v>0.95166007370000349</v>
      </c>
      <c r="D454" s="6">
        <f t="shared" ca="1" si="63"/>
        <v>-0.39573863080196725</v>
      </c>
      <c r="E454" s="8">
        <f t="shared" ca="1" si="64"/>
        <v>-4.9253019950655215E-4</v>
      </c>
      <c r="F454" s="8">
        <f t="shared" ca="1" si="65"/>
        <v>2.1074821083498202E-2</v>
      </c>
      <c r="G454" s="8">
        <f t="shared" ca="1" si="66"/>
        <v>-2.24791492102258E-3</v>
      </c>
      <c r="H454" s="10">
        <f t="shared" ca="1" si="67"/>
        <v>4014.0219987187816</v>
      </c>
      <c r="I454" s="10">
        <f t="shared" ca="1" si="68"/>
        <v>555.46470266942299</v>
      </c>
      <c r="J454" s="10">
        <f t="shared" ca="1" si="69"/>
        <v>2230.9736622365936</v>
      </c>
      <c r="K454" s="12">
        <f t="array" aca="1" ref="K454:L454" ca="1">Opt3Spd(H454:J454,$E$3:$G$3,$K$3:$M$3,$N$3:$P$3,$H$3,$I$3,$Q$3,$J$3)</f>
        <v>184.86011260333839</v>
      </c>
      <c r="L454" s="12">
        <f ca="1"/>
        <v>6.8469273930304553E-2</v>
      </c>
      <c r="M454" s="12">
        <f t="array" aca="1" ref="M454:N454" ca="1">Opt3Spd(H454:J454,$E$3:$G$3,$K$3:$M$3,$N$3:$P$3,$H$4,$I$3,$Q$3,$J$3)</f>
        <v>3.9648137080884105E-2</v>
      </c>
      <c r="N454" s="12">
        <f ca="1"/>
        <v>215.2480048076728</v>
      </c>
      <c r="O454" s="12">
        <f t="shared" ca="1" si="62"/>
        <v>0.10811741101118866</v>
      </c>
    </row>
    <row r="455" spans="2:15" x14ac:dyDescent="0.15">
      <c r="B455" s="6">
        <f t="shared" ca="1" si="63"/>
        <v>-0.30753696601063468</v>
      </c>
      <c r="C455" s="6">
        <f t="shared" ca="1" si="63"/>
        <v>0.82130891074168155</v>
      </c>
      <c r="D455" s="6">
        <f t="shared" ca="1" si="63"/>
        <v>-1.7561344052627197</v>
      </c>
      <c r="E455" s="8">
        <f t="shared" ca="1" si="64"/>
        <v>-7.0021243964980247E-3</v>
      </c>
      <c r="F455" s="8">
        <f t="shared" ca="1" si="65"/>
        <v>7.4730298695126294E-3</v>
      </c>
      <c r="G455" s="8">
        <f t="shared" ca="1" si="66"/>
        <v>-2.7622367460935042E-2</v>
      </c>
      <c r="H455" s="10">
        <f t="shared" ca="1" si="67"/>
        <v>3987.8794684236636</v>
      </c>
      <c r="I455" s="10">
        <f t="shared" ca="1" si="68"/>
        <v>548.0653282490149</v>
      </c>
      <c r="J455" s="10">
        <f t="shared" ca="1" si="69"/>
        <v>2174.2363863573491</v>
      </c>
      <c r="K455" s="12">
        <f t="array" aca="1" ref="K455:L455" ca="1">Opt3Spd(H455:J455,$E$3:$G$3,$K$3:$M$3,$N$3:$P$3,$H$3,$I$3,$Q$3,$J$3)</f>
        <v>198.88942343562599</v>
      </c>
      <c r="L455" s="12">
        <f ca="1"/>
        <v>3.2673389060846603E-2</v>
      </c>
      <c r="M455" s="12">
        <f t="array" aca="1" ref="M455:N455" ca="1">Opt3Spd(H455:J455,$E$3:$G$3,$K$3:$M$3,$N$3:$P$3,$H$4,$I$3,$Q$3,$J$3)</f>
        <v>7.3125776855238911E-2</v>
      </c>
      <c r="N455" s="12">
        <f ca="1"/>
        <v>201.21637573029011</v>
      </c>
      <c r="O455" s="12">
        <f t="shared" ca="1" si="62"/>
        <v>0.10579916591608551</v>
      </c>
    </row>
    <row r="456" spans="2:15" x14ac:dyDescent="0.15">
      <c r="B456" s="6">
        <f t="shared" ca="1" si="63"/>
        <v>-1.0976348102585964</v>
      </c>
      <c r="C456" s="6">
        <f t="shared" ca="1" si="63"/>
        <v>0.18880929883171296</v>
      </c>
      <c r="D456" s="6">
        <f t="shared" ca="1" si="63"/>
        <v>-1.0008007026930714</v>
      </c>
      <c r="E456" s="8">
        <f t="shared" ca="1" si="64"/>
        <v>-2.4991387484428206E-2</v>
      </c>
      <c r="F456" s="8">
        <f t="shared" ca="1" si="65"/>
        <v>-3.6374693420286437E-2</v>
      </c>
      <c r="G456" s="8">
        <f t="shared" ca="1" si="66"/>
        <v>-5.0438794342912374E-2</v>
      </c>
      <c r="H456" s="10">
        <f t="shared" ca="1" si="67"/>
        <v>3915.6345878625366</v>
      </c>
      <c r="I456" s="10">
        <f t="shared" ca="1" si="68"/>
        <v>524.21216677936422</v>
      </c>
      <c r="J456" s="10">
        <f t="shared" ca="1" si="69"/>
        <v>2123.218855849248</v>
      </c>
      <c r="K456" s="12">
        <f t="array" aca="1" ref="K456:L456" ca="1">Opt3Spd(H456:J456,$E$3:$G$3,$K$3:$M$3,$N$3:$P$3,$H$3,$I$3,$Q$3,$J$3)</f>
        <v>190.33215864335534</v>
      </c>
      <c r="L456" s="12">
        <f ca="1"/>
        <v>4.6465552425615897E-2</v>
      </c>
      <c r="M456" s="12">
        <f t="array" aca="1" ref="M456:N456" ca="1">Opt3Spd(H456:J456,$E$3:$G$3,$K$3:$M$3,$N$3:$P$3,$H$4,$I$3,$Q$3,$J$3)</f>
        <v>4.6224778946514E-2</v>
      </c>
      <c r="N456" s="12">
        <f ca="1"/>
        <v>209.76053168801678</v>
      </c>
      <c r="O456" s="12">
        <f t="shared" ca="1" si="62"/>
        <v>9.2690331372129897E-2</v>
      </c>
    </row>
    <row r="457" spans="2:15" x14ac:dyDescent="0.15">
      <c r="B457" s="6">
        <f t="shared" ca="1" si="63"/>
        <v>1.2251910904397791</v>
      </c>
      <c r="C457" s="6">
        <f t="shared" ca="1" si="63"/>
        <v>-0.59181952685529915</v>
      </c>
      <c r="D457" s="6">
        <f t="shared" ca="1" si="63"/>
        <v>-0.37679921133997962</v>
      </c>
      <c r="E457" s="8">
        <f t="shared" ca="1" si="64"/>
        <v>2.7895639786092361E-2</v>
      </c>
      <c r="F457" s="8">
        <f t="shared" ca="1" si="65"/>
        <v>3.1841604994061509E-2</v>
      </c>
      <c r="G457" s="8">
        <f t="shared" ca="1" si="66"/>
        <v>3.9279430886761856E-2</v>
      </c>
      <c r="H457" s="10">
        <f t="shared" ca="1" si="67"/>
        <v>4128.0288893809466</v>
      </c>
      <c r="I457" s="10">
        <f t="shared" ca="1" si="68"/>
        <v>561.32183311676943</v>
      </c>
      <c r="J457" s="10">
        <f t="shared" ca="1" si="69"/>
        <v>2323.8288074627994</v>
      </c>
      <c r="K457" s="12">
        <f t="array" aca="1" ref="K457:L457" ca="1">Opt3Spd(H457:J457,$E$3:$G$3,$K$3:$M$3,$N$3:$P$3,$H$3,$I$3,$Q$3,$J$3)</f>
        <v>243.00348149318006</v>
      </c>
      <c r="L457" s="12">
        <f ca="1"/>
        <v>3.9288304647016048E-3</v>
      </c>
      <c r="M457" s="12">
        <f t="array" aca="1" ref="M457:N457" ca="1">Opt3Spd(H457:J457,$E$3:$G$3,$K$3:$M$3,$N$3:$P$3,$H$4,$I$3,$Q$3,$J$3)</f>
        <v>0.51665309896633715</v>
      </c>
      <c r="N457" s="12">
        <f ca="1"/>
        <v>157.51710043625098</v>
      </c>
      <c r="O457" s="12">
        <f t="shared" ca="1" si="62"/>
        <v>0.52058192943103876</v>
      </c>
    </row>
    <row r="458" spans="2:15" x14ac:dyDescent="0.15">
      <c r="B458" s="6">
        <f t="shared" ca="1" si="63"/>
        <v>2.352490925986318E-5</v>
      </c>
      <c r="C458" s="6">
        <f t="shared" ca="1" si="63"/>
        <v>-3.995550158969751E-3</v>
      </c>
      <c r="D458" s="6">
        <f t="shared" ca="1" si="63"/>
        <v>1.3494646687616236</v>
      </c>
      <c r="E458" s="8">
        <f t="shared" ca="1" si="64"/>
        <v>5.3562452407166579E-7</v>
      </c>
      <c r="F458" s="8">
        <f t="shared" ca="1" si="65"/>
        <v>-9.0979071716055469E-5</v>
      </c>
      <c r="G458" s="8">
        <f t="shared" ca="1" si="66"/>
        <v>1.4365185797780736E-2</v>
      </c>
      <c r="H458" s="10">
        <f t="shared" ca="1" si="67"/>
        <v>4016.0021510680886</v>
      </c>
      <c r="I458" s="10">
        <f t="shared" ca="1" si="68"/>
        <v>543.95050738498651</v>
      </c>
      <c r="J458" s="10">
        <f t="shared" ca="1" si="69"/>
        <v>2268.1205554438375</v>
      </c>
      <c r="K458" s="12">
        <f t="array" aca="1" ref="K458:L458" ca="1">Opt3Spd(H458:J458,$E$3:$G$3,$K$3:$M$3,$N$3:$P$3,$H$3,$I$3,$Q$3,$J$3)</f>
        <v>186.68558617844906</v>
      </c>
      <c r="L458" s="12">
        <f ca="1"/>
        <v>6.4524648257929584E-2</v>
      </c>
      <c r="M458" s="12">
        <f t="array" aca="1" ref="M458:N458" ca="1">Opt3Spd(H458:J458,$E$3:$G$3,$K$3:$M$3,$N$3:$P$3,$H$4,$I$3,$Q$3,$J$3)</f>
        <v>4.4622827013784949E-2</v>
      </c>
      <c r="N458" s="12">
        <f ca="1"/>
        <v>213.42356129682267</v>
      </c>
      <c r="O458" s="12">
        <f t="shared" ca="1" si="62"/>
        <v>0.10914747527171453</v>
      </c>
    </row>
    <row r="459" spans="2:15" x14ac:dyDescent="0.15">
      <c r="B459" s="6">
        <f t="shared" ca="1" si="63"/>
        <v>-0.43261453783094966</v>
      </c>
      <c r="C459" s="6">
        <f t="shared" ca="1" si="63"/>
        <v>-0.44250756775117978</v>
      </c>
      <c r="D459" s="6">
        <f t="shared" ca="1" si="63"/>
        <v>-1.033557901839657</v>
      </c>
      <c r="E459" s="8">
        <f t="shared" ca="1" si="64"/>
        <v>-9.8499404768175383E-3</v>
      </c>
      <c r="F459" s="8">
        <f t="shared" ca="1" si="65"/>
        <v>-2.6219778641884146E-2</v>
      </c>
      <c r="G459" s="8">
        <f t="shared" ca="1" si="66"/>
        <v>-2.8188689713300567E-2</v>
      </c>
      <c r="H459" s="10">
        <f t="shared" ca="1" si="67"/>
        <v>3976.4426390451008</v>
      </c>
      <c r="I459" s="10">
        <f t="shared" ca="1" si="68"/>
        <v>529.73644041881505</v>
      </c>
      <c r="J459" s="10">
        <f t="shared" ca="1" si="69"/>
        <v>2172.9700898010601</v>
      </c>
      <c r="K459" s="12">
        <f t="array" aca="1" ref="K459:L459" ca="1">Opt3Spd(H459:J459,$E$3:$G$3,$K$3:$M$3,$N$3:$P$3,$H$3,$I$3,$Q$3,$J$3)</f>
        <v>217.39178394267969</v>
      </c>
      <c r="L459" s="12">
        <f ca="1"/>
        <v>1.2494468212935317E-2</v>
      </c>
      <c r="M459" s="12">
        <f t="array" aca="1" ref="M459:N459" ca="1">Opt3Spd(H459:J459,$E$3:$G$3,$K$3:$M$3,$N$3:$P$3,$H$4,$I$3,$Q$3,$J$3)</f>
        <v>0.16617436440567701</v>
      </c>
      <c r="N459" s="12">
        <f ca="1"/>
        <v>182.7868848899389</v>
      </c>
      <c r="O459" s="12">
        <f t="shared" ref="O459:O522" ca="1" si="70">L459+M459</f>
        <v>0.17866883261861233</v>
      </c>
    </row>
    <row r="460" spans="2:15" x14ac:dyDescent="0.15">
      <c r="B460" s="6">
        <f t="shared" ca="1" si="63"/>
        <v>0.24087505960712449</v>
      </c>
      <c r="C460" s="6">
        <f t="shared" ca="1" si="63"/>
        <v>-1.0377531671519054</v>
      </c>
      <c r="D460" s="6">
        <f t="shared" ca="1" si="63"/>
        <v>-0.92315906925789637</v>
      </c>
      <c r="E460" s="8">
        <f t="shared" ca="1" si="64"/>
        <v>5.4843395031888235E-3</v>
      </c>
      <c r="F460" s="8">
        <f t="shared" ca="1" si="65"/>
        <v>-1.4921482590760066E-2</v>
      </c>
      <c r="G460" s="8">
        <f t="shared" ca="1" si="66"/>
        <v>-3.9976730266571264E-3</v>
      </c>
      <c r="H460" s="10">
        <f t="shared" ca="1" si="67"/>
        <v>4038.0251074448061</v>
      </c>
      <c r="I460" s="10">
        <f t="shared" ca="1" si="68"/>
        <v>535.88271347062653</v>
      </c>
      <c r="J460" s="10">
        <f t="shared" ca="1" si="69"/>
        <v>2227.0612031123947</v>
      </c>
      <c r="K460" s="12">
        <f t="array" aca="1" ref="K460:L460" ca="1">Opt3Spd(H460:J460,$E$3:$G$3,$K$3:$M$3,$N$3:$P$3,$H$3,$I$3,$Q$3,$J$3)</f>
        <v>242.08567702485698</v>
      </c>
      <c r="L460" s="12">
        <f ca="1"/>
        <v>3.5126892507832963E-3</v>
      </c>
      <c r="M460" s="12">
        <f t="array" aca="1" ref="M460:N460" ca="1">Opt3Spd(H460:J460,$E$3:$G$3,$K$3:$M$3,$N$3:$P$3,$H$4,$I$3,$Q$3,$J$3)</f>
        <v>0.46950654340616182</v>
      </c>
      <c r="N460" s="12">
        <f ca="1"/>
        <v>158.38734220779997</v>
      </c>
      <c r="O460" s="12">
        <f t="shared" ca="1" si="70"/>
        <v>0.47301923265694512</v>
      </c>
    </row>
    <row r="461" spans="2:15" x14ac:dyDescent="0.15">
      <c r="B461" s="6">
        <f t="shared" ca="1" si="63"/>
        <v>-1.8365628385141171</v>
      </c>
      <c r="C461" s="6">
        <f t="shared" ca="1" si="63"/>
        <v>0.41456388339354328</v>
      </c>
      <c r="D461" s="6">
        <f t="shared" ca="1" si="63"/>
        <v>-1.1767221648014783</v>
      </c>
      <c r="E461" s="8">
        <f t="shared" ca="1" si="64"/>
        <v>-4.1815595777246056E-2</v>
      </c>
      <c r="F461" s="8">
        <f t="shared" ca="1" si="65"/>
        <v>-5.8594374146171704E-2</v>
      </c>
      <c r="G461" s="8">
        <f t="shared" ca="1" si="66"/>
        <v>-7.8804550356843417E-2</v>
      </c>
      <c r="H461" s="10">
        <f t="shared" ca="1" si="67"/>
        <v>3848.0685673585799</v>
      </c>
      <c r="I461" s="10">
        <f t="shared" ca="1" si="68"/>
        <v>512.12466046448253</v>
      </c>
      <c r="J461" s="10">
        <f t="shared" ca="1" si="69"/>
        <v>2059.793025402098</v>
      </c>
      <c r="K461" s="12">
        <f t="array" aca="1" ref="K461:L461" ca="1">Opt3Spd(H461:J461,$E$3:$G$3,$K$3:$M$3,$N$3:$P$3,$H$3,$I$3,$Q$3,$J$3)</f>
        <v>173.86795767589524</v>
      </c>
      <c r="L461" s="12">
        <f ca="1"/>
        <v>9.5359761536656151E-2</v>
      </c>
      <c r="M461" s="12">
        <f t="array" aca="1" ref="M461:N461" ca="1">Opt3Spd(H461:J461,$E$3:$G$3,$K$3:$M$3,$N$3:$P$3,$H$4,$I$3,$Q$3,$J$3)</f>
        <v>1.884288032597814E-2</v>
      </c>
      <c r="N461" s="12">
        <f ca="1"/>
        <v>226.24624496596741</v>
      </c>
      <c r="O461" s="12">
        <f t="shared" ca="1" si="70"/>
        <v>0.11420264186263429</v>
      </c>
    </row>
    <row r="462" spans="2:15" x14ac:dyDescent="0.15">
      <c r="B462" s="6">
        <f t="shared" ca="1" si="63"/>
        <v>-1.2655454038577409</v>
      </c>
      <c r="C462" s="6">
        <f t="shared" ca="1" si="63"/>
        <v>0.24690394732802445</v>
      </c>
      <c r="D462" s="6">
        <f t="shared" ca="1" si="63"/>
        <v>0.18846138132708981</v>
      </c>
      <c r="E462" s="8">
        <f t="shared" ca="1" si="64"/>
        <v>-2.8814442901546347E-2</v>
      </c>
      <c r="F462" s="8">
        <f t="shared" ca="1" si="65"/>
        <v>-4.1267579210822962E-2</v>
      </c>
      <c r="G462" s="8">
        <f t="shared" ca="1" si="66"/>
        <v>-4.376963576882946E-2</v>
      </c>
      <c r="H462" s="10">
        <f t="shared" ca="1" si="67"/>
        <v>3900.2811973073899</v>
      </c>
      <c r="I462" s="10">
        <f t="shared" ca="1" si="68"/>
        <v>521.55043690931234</v>
      </c>
      <c r="J462" s="10">
        <f t="shared" ca="1" si="69"/>
        <v>2138.1310944208976</v>
      </c>
      <c r="K462" s="12">
        <f t="array" aca="1" ref="K462:L462" ca="1">Opt3Spd(H462:J462,$E$3:$G$3,$K$3:$M$3,$N$3:$P$3,$H$3,$I$3,$Q$3,$J$3)</f>
        <v>171.84743428201045</v>
      </c>
      <c r="L462" s="12">
        <f ca="1"/>
        <v>0.1124832399693787</v>
      </c>
      <c r="M462" s="12">
        <f t="array" aca="1" ref="M462:N462" ca="1">Opt3Spd(H462:J462,$E$3:$G$3,$K$3:$M$3,$N$3:$P$3,$H$4,$I$3,$Q$3,$J$3)</f>
        <v>1.846143045669324E-2</v>
      </c>
      <c r="N462" s="12">
        <f ca="1"/>
        <v>228.28351038841561</v>
      </c>
      <c r="O462" s="12">
        <f t="shared" ca="1" si="70"/>
        <v>0.13094467042607194</v>
      </c>
    </row>
    <row r="463" spans="2:15" x14ac:dyDescent="0.15">
      <c r="B463" s="6">
        <f t="shared" ca="1" si="63"/>
        <v>-0.28046406993959661</v>
      </c>
      <c r="C463" s="6">
        <f t="shared" ca="1" si="63"/>
        <v>0.3434958914036727</v>
      </c>
      <c r="D463" s="6">
        <f t="shared" ca="1" si="63"/>
        <v>0.35082341896900449</v>
      </c>
      <c r="E463" s="8">
        <f t="shared" ca="1" si="64"/>
        <v>-6.3857178925191965E-3</v>
      </c>
      <c r="F463" s="8">
        <f t="shared" ca="1" si="65"/>
        <v>-2.5069444217406304E-3</v>
      </c>
      <c r="G463" s="8">
        <f t="shared" ca="1" si="66"/>
        <v>-5.5692943003014519E-3</v>
      </c>
      <c r="H463" s="10">
        <f t="shared" ca="1" si="67"/>
        <v>3990.3549569436432</v>
      </c>
      <c r="I463" s="10">
        <f t="shared" ca="1" si="68"/>
        <v>542.6362222345731</v>
      </c>
      <c r="J463" s="10">
        <f t="shared" ca="1" si="69"/>
        <v>2223.5470579445259</v>
      </c>
      <c r="K463" s="12">
        <f t="array" aca="1" ref="K463:L463" ca="1">Opt3Spd(H463:J463,$E$3:$G$3,$K$3:$M$3,$N$3:$P$3,$H$3,$I$3,$Q$3,$J$3)</f>
        <v>185.4290142919715</v>
      </c>
      <c r="L463" s="12">
        <f ca="1"/>
        <v>6.5541895908154402E-2</v>
      </c>
      <c r="M463" s="12">
        <f t="array" aca="1" ref="M463:N463" ca="1">Opt3Spd(H463:J463,$E$3:$G$3,$K$3:$M$3,$N$3:$P$3,$H$4,$I$3,$Q$3,$J$3)</f>
        <v>4.0237858749369693E-2</v>
      </c>
      <c r="N463" s="12">
        <f ca="1"/>
        <v>214.67676546268603</v>
      </c>
      <c r="O463" s="12">
        <f t="shared" ca="1" si="70"/>
        <v>0.10577975465752409</v>
      </c>
    </row>
    <row r="464" spans="2:15" x14ac:dyDescent="0.15">
      <c r="B464" s="6">
        <f t="shared" ca="1" si="63"/>
        <v>-4.6469285472279007E-2</v>
      </c>
      <c r="C464" s="6">
        <f t="shared" ca="1" si="63"/>
        <v>0.60605799697983298</v>
      </c>
      <c r="D464" s="6">
        <f t="shared" ca="1" si="63"/>
        <v>-0.22983159919949514</v>
      </c>
      <c r="E464" s="8">
        <f t="shared" ca="1" si="64"/>
        <v>-1.0580312399974196E-3</v>
      </c>
      <c r="F464" s="8">
        <f t="shared" ca="1" si="65"/>
        <v>1.2208653291786603E-2</v>
      </c>
      <c r="G464" s="8">
        <f t="shared" ca="1" si="66"/>
        <v>-2.3962457788359588E-3</v>
      </c>
      <c r="H464" s="10">
        <f t="shared" ca="1" si="67"/>
        <v>4011.7509465401704</v>
      </c>
      <c r="I464" s="10">
        <f t="shared" ca="1" si="68"/>
        <v>550.64150739073193</v>
      </c>
      <c r="J464" s="10">
        <f t="shared" ca="1" si="69"/>
        <v>2230.6419944385229</v>
      </c>
      <c r="K464" s="12">
        <f t="array" aca="1" ref="K464:L464" ca="1">Opt3Spd(H464:J464,$E$3:$G$3,$K$3:$M$3,$N$3:$P$3,$H$3,$I$3,$Q$3,$J$3)</f>
        <v>190.45584505958345</v>
      </c>
      <c r="L464" s="12">
        <f ca="1"/>
        <v>5.2307563845715777E-2</v>
      </c>
      <c r="M464" s="12">
        <f t="array" aca="1" ref="M464:N464" ca="1">Opt3Spd(H464:J464,$E$3:$G$3,$K$3:$M$3,$N$3:$P$3,$H$4,$I$3,$Q$3,$J$3)</f>
        <v>5.1771089821794902E-2</v>
      </c>
      <c r="N464" s="12">
        <f ca="1"/>
        <v>209.64823359408405</v>
      </c>
      <c r="O464" s="12">
        <f t="shared" ca="1" si="70"/>
        <v>0.10407865366751068</v>
      </c>
    </row>
    <row r="465" spans="2:15" x14ac:dyDescent="0.15">
      <c r="B465" s="6">
        <f t="shared" ca="1" si="63"/>
        <v>-0.35165131702901636</v>
      </c>
      <c r="C465" s="6">
        <f t="shared" ca="1" si="63"/>
        <v>0.28294578663238229</v>
      </c>
      <c r="D465" s="6">
        <f t="shared" ca="1" si="63"/>
        <v>-1.4009808660147887</v>
      </c>
      <c r="E465" s="8">
        <f t="shared" ca="1" si="64"/>
        <v>-8.0065375488694579E-3</v>
      </c>
      <c r="F465" s="8">
        <f t="shared" ca="1" si="65"/>
        <v>-6.5394856879107625E-3</v>
      </c>
      <c r="G465" s="8">
        <f t="shared" ca="1" si="66"/>
        <v>-2.7022439490480367E-2</v>
      </c>
      <c r="H465" s="10">
        <f t="shared" ca="1" si="67"/>
        <v>3983.8457452037401</v>
      </c>
      <c r="I465" s="10">
        <f t="shared" ca="1" si="68"/>
        <v>540.44251978577654</v>
      </c>
      <c r="J465" s="10">
        <f t="shared" ca="1" si="69"/>
        <v>2175.5778252992859</v>
      </c>
      <c r="K465" s="12">
        <f t="array" aca="1" ref="K465:L465" ca="1">Opt3Spd(H465:J465,$E$3:$G$3,$K$3:$M$3,$N$3:$P$3,$H$3,$I$3,$Q$3,$J$3)</f>
        <v>206.3711397632776</v>
      </c>
      <c r="L465" s="12">
        <f ca="1"/>
        <v>2.2338866422842329E-2</v>
      </c>
      <c r="M465" s="12">
        <f t="array" aca="1" ref="M465:N465" ca="1">Opt3Spd(H465:J465,$E$3:$G$3,$K$3:$M$3,$N$3:$P$3,$H$4,$I$3,$Q$3,$J$3)</f>
        <v>0.10278680939317475</v>
      </c>
      <c r="N465" s="12">
        <f ca="1"/>
        <v>193.75398591253841</v>
      </c>
      <c r="O465" s="12">
        <f t="shared" ca="1" si="70"/>
        <v>0.12512567581601708</v>
      </c>
    </row>
    <row r="466" spans="2:15" x14ac:dyDescent="0.15">
      <c r="B466" s="6">
        <f t="shared" ca="1" si="63"/>
        <v>0.43514274274547715</v>
      </c>
      <c r="C466" s="6">
        <f t="shared" ca="1" si="63"/>
        <v>-0.60474442781534599</v>
      </c>
      <c r="D466" s="6">
        <f t="shared" ca="1" si="63"/>
        <v>-0.55099936664507165</v>
      </c>
      <c r="E466" s="8">
        <f t="shared" ca="1" si="64"/>
        <v>9.9075036554526139E-3</v>
      </c>
      <c r="F466" s="8">
        <f t="shared" ca="1" si="65"/>
        <v>2.2388091660185587E-3</v>
      </c>
      <c r="G466" s="8">
        <f t="shared" ca="1" si="66"/>
        <v>8.361055045440045E-3</v>
      </c>
      <c r="H466" s="10">
        <f t="shared" ca="1" si="67"/>
        <v>4055.7885346802973</v>
      </c>
      <c r="I466" s="10">
        <f t="shared" ca="1" si="68"/>
        <v>545.21791218631415</v>
      </c>
      <c r="J466" s="10">
        <f t="shared" ca="1" si="69"/>
        <v>2254.6953190816039</v>
      </c>
      <c r="K466" s="12">
        <f t="array" aca="1" ref="K466:L466" ca="1">Opt3Spd(H466:J466,$E$3:$G$3,$K$3:$M$3,$N$3:$P$3,$H$3,$I$3,$Q$3,$J$3)</f>
        <v>231.09895885098422</v>
      </c>
      <c r="L466" s="12">
        <f ca="1"/>
        <v>6.7432095916046819E-3</v>
      </c>
      <c r="M466" s="12">
        <f t="array" aca="1" ref="M466:N466" ca="1">Opt3Spd(H466:J466,$E$3:$G$3,$K$3:$M$3,$N$3:$P$3,$H$4,$I$3,$Q$3,$J$3)</f>
        <v>0.31119958387251501</v>
      </c>
      <c r="N466" s="12">
        <f ca="1"/>
        <v>169.21898394247989</v>
      </c>
      <c r="O466" s="12">
        <f t="shared" ca="1" si="70"/>
        <v>0.31794279346411969</v>
      </c>
    </row>
    <row r="467" spans="2:15" x14ac:dyDescent="0.15">
      <c r="B467" s="6">
        <f t="shared" ca="1" si="63"/>
        <v>-0.29896921373920754</v>
      </c>
      <c r="C467" s="6">
        <f t="shared" ca="1" si="63"/>
        <v>-0.18616676800487517</v>
      </c>
      <c r="D467" s="6">
        <f t="shared" ca="1" si="63"/>
        <v>0.95244041019703118</v>
      </c>
      <c r="E467" s="8">
        <f t="shared" ca="1" si="64"/>
        <v>-6.8070503929363296E-3</v>
      </c>
      <c r="F467" s="8">
        <f t="shared" ca="1" si="65"/>
        <v>-1.536951380927494E-2</v>
      </c>
      <c r="G467" s="8">
        <f t="shared" ca="1" si="66"/>
        <v>-1.377679951040104E-3</v>
      </c>
      <c r="H467" s="10">
        <f t="shared" ca="1" si="67"/>
        <v>3988.6628856219677</v>
      </c>
      <c r="I467" s="10">
        <f t="shared" ca="1" si="68"/>
        <v>535.63898448775444</v>
      </c>
      <c r="J467" s="10">
        <f t="shared" ca="1" si="69"/>
        <v>2232.9195076294745</v>
      </c>
      <c r="K467" s="12">
        <f t="array" aca="1" ref="K467:L467" ca="1">Opt3Spd(H467:J467,$E$3:$G$3,$K$3:$M$3,$N$3:$P$3,$H$3,$I$3,$Q$3,$J$3)</f>
        <v>190.23316070838996</v>
      </c>
      <c r="L467" s="12">
        <f ca="1"/>
        <v>5.2404081566464811E-2</v>
      </c>
      <c r="M467" s="12">
        <f t="array" aca="1" ref="M467:N467" ca="1">Opt3Spd(H467:J467,$E$3:$G$3,$K$3:$M$3,$N$3:$P$3,$H$4,$I$3,$Q$3,$J$3)</f>
        <v>5.1040234029776421E-2</v>
      </c>
      <c r="N467" s="12">
        <f ca="1"/>
        <v>209.87028360720629</v>
      </c>
      <c r="O467" s="12">
        <f t="shared" ca="1" si="70"/>
        <v>0.10344431559624123</v>
      </c>
    </row>
    <row r="468" spans="2:15" x14ac:dyDescent="0.15">
      <c r="B468" s="6">
        <f t="shared" ca="1" si="63"/>
        <v>-0.83367546018359584</v>
      </c>
      <c r="C468" s="6">
        <f t="shared" ca="1" si="63"/>
        <v>0.68654501082297104</v>
      </c>
      <c r="D468" s="6">
        <f t="shared" ca="1" si="63"/>
        <v>0.9387353583336483</v>
      </c>
      <c r="E468" s="8">
        <f t="shared" ca="1" si="64"/>
        <v>-1.8981455641698085E-2</v>
      </c>
      <c r="F468" s="8">
        <f t="shared" ca="1" si="65"/>
        <v>-1.5141316809767023E-2</v>
      </c>
      <c r="G468" s="8">
        <f t="shared" ca="1" si="66"/>
        <v>-1.8634461667881477E-2</v>
      </c>
      <c r="H468" s="10">
        <f t="shared" ca="1" si="67"/>
        <v>3939.7704741429407</v>
      </c>
      <c r="I468" s="10">
        <f t="shared" ca="1" si="68"/>
        <v>535.76312365548677</v>
      </c>
      <c r="J468" s="10">
        <f t="shared" ca="1" si="69"/>
        <v>2194.3333437106171</v>
      </c>
      <c r="K468" s="12">
        <f t="array" aca="1" ref="K468:L468" ca="1">Opt3Spd(H468:J468,$E$3:$G$3,$K$3:$M$3,$N$3:$P$3,$H$3,$I$3,$Q$3,$J$3)</f>
        <v>160.57880993475737</v>
      </c>
      <c r="L468" s="12">
        <f ca="1"/>
        <v>0.19600549590427363</v>
      </c>
      <c r="M468" s="12">
        <f t="array" aca="1" ref="M468:N468" ca="1">Opt3Spd(H468:J468,$E$3:$G$3,$K$3:$M$3,$N$3:$P$3,$H$4,$I$3,$Q$3,$J$3)</f>
        <v>1.0839251007309425E-2</v>
      </c>
      <c r="N468" s="12">
        <f ca="1"/>
        <v>239.6280348121542</v>
      </c>
      <c r="O468" s="12">
        <f t="shared" ca="1" si="70"/>
        <v>0.20684474691158306</v>
      </c>
    </row>
    <row r="469" spans="2:15" x14ac:dyDescent="0.15">
      <c r="B469" s="6">
        <f t="shared" ca="1" si="63"/>
        <v>-0.83546948389596998</v>
      </c>
      <c r="C469" s="6">
        <f t="shared" ca="1" si="63"/>
        <v>-1.2747892183952889</v>
      </c>
      <c r="D469" s="6">
        <f t="shared" ca="1" si="63"/>
        <v>0.10866939445433163</v>
      </c>
      <c r="E469" s="8">
        <f t="shared" ca="1" si="64"/>
        <v>-1.9022302689671745E-2</v>
      </c>
      <c r="F469" s="8">
        <f t="shared" ca="1" si="65"/>
        <v>-6.0295989745484335E-2</v>
      </c>
      <c r="G469" s="8">
        <f t="shared" ca="1" si="66"/>
        <v>-3.323680520859585E-2</v>
      </c>
      <c r="H469" s="10">
        <f t="shared" ca="1" si="67"/>
        <v>3939.6064323982782</v>
      </c>
      <c r="I469" s="10">
        <f t="shared" ca="1" si="68"/>
        <v>511.19898157845654</v>
      </c>
      <c r="J469" s="10">
        <f t="shared" ca="1" si="69"/>
        <v>2161.6825035535799</v>
      </c>
      <c r="K469" s="12">
        <f t="array" aca="1" ref="K469:L469" ca="1">Opt3Spd(H469:J469,$E$3:$G$3,$K$3:$M$3,$N$3:$P$3,$H$3,$I$3,$Q$3,$J$3)</f>
        <v>215.86003628715434</v>
      </c>
      <c r="L469" s="12">
        <f ca="1"/>
        <v>1.3226191196508807E-2</v>
      </c>
      <c r="M469" s="12">
        <f t="array" aca="1" ref="M469:N469" ca="1">Opt3Spd(H469:J469,$E$3:$G$3,$K$3:$M$3,$N$3:$P$3,$H$4,$I$3,$Q$3,$J$3)</f>
        <v>0.1539615199537927</v>
      </c>
      <c r="N469" s="12">
        <f ca="1"/>
        <v>184.30715142399595</v>
      </c>
      <c r="O469" s="12">
        <f t="shared" ca="1" si="70"/>
        <v>0.16718771115030151</v>
      </c>
    </row>
    <row r="470" spans="2:15" x14ac:dyDescent="0.15">
      <c r="B470" s="6">
        <f t="shared" ca="1" si="63"/>
        <v>-1.514134193142703</v>
      </c>
      <c r="C470" s="6">
        <f t="shared" ca="1" si="63"/>
        <v>0.14779761902794128</v>
      </c>
      <c r="D470" s="6">
        <f t="shared" ca="1" si="63"/>
        <v>0.49861593741519555</v>
      </c>
      <c r="E470" s="8">
        <f t="shared" ca="1" si="64"/>
        <v>-3.4474411681000156E-2</v>
      </c>
      <c r="F470" s="8">
        <f t="shared" ca="1" si="65"/>
        <v>-5.2766917223736345E-2</v>
      </c>
      <c r="G470" s="8">
        <f t="shared" ca="1" si="66"/>
        <v>-4.9885993062337819E-2</v>
      </c>
      <c r="H470" s="10">
        <f t="shared" ca="1" si="67"/>
        <v>3877.5507626891031</v>
      </c>
      <c r="I470" s="10">
        <f t="shared" ca="1" si="68"/>
        <v>515.29479703028744</v>
      </c>
      <c r="J470" s="10">
        <f t="shared" ca="1" si="69"/>
        <v>2124.4549195126124</v>
      </c>
      <c r="K470" s="12">
        <f t="array" aca="1" ref="K470:L470" ca="1">Opt3Spd(H470:J470,$E$3:$G$3,$K$3:$M$3,$N$3:$P$3,$H$3,$I$3,$Q$3,$J$3)</f>
        <v>165.99612827239025</v>
      </c>
      <c r="L470" s="12">
        <f ca="1"/>
        <v>0.14450058805346089</v>
      </c>
      <c r="M470" s="12">
        <f t="array" aca="1" ref="M470:N470" ca="1">Opt3Spd(H470:J470,$E$3:$G$3,$K$3:$M$3,$N$3:$P$3,$H$4,$I$3,$Q$3,$J$3)</f>
        <v>1.3313418064777593E-2</v>
      </c>
      <c r="N470" s="12">
        <f ca="1"/>
        <v>234.16168573372798</v>
      </c>
      <c r="O470" s="12">
        <f t="shared" ca="1" si="70"/>
        <v>0.15781400611823848</v>
      </c>
    </row>
    <row r="471" spans="2:15" x14ac:dyDescent="0.15">
      <c r="B471" s="6">
        <f t="shared" ca="1" si="63"/>
        <v>-0.50363502342363553</v>
      </c>
      <c r="C471" s="6">
        <f t="shared" ca="1" si="63"/>
        <v>-1.7818951891028989</v>
      </c>
      <c r="D471" s="6">
        <f t="shared" ca="1" si="63"/>
        <v>0.70790065150167591</v>
      </c>
      <c r="E471" s="8">
        <f t="shared" ca="1" si="64"/>
        <v>-1.1466963240846777E-2</v>
      </c>
      <c r="F471" s="8">
        <f t="shared" ca="1" si="65"/>
        <v>-5.9644686709059799E-2</v>
      </c>
      <c r="G471" s="8">
        <f t="shared" ca="1" si="66"/>
        <v>-1.6134217472371506E-2</v>
      </c>
      <c r="H471" s="10">
        <f t="shared" ca="1" si="67"/>
        <v>3969.9486756247597</v>
      </c>
      <c r="I471" s="10">
        <f t="shared" ca="1" si="68"/>
        <v>511.55329043027149</v>
      </c>
      <c r="J471" s="10">
        <f t="shared" ca="1" si="69"/>
        <v>2199.9238897317773</v>
      </c>
      <c r="K471" s="12">
        <f t="array" aca="1" ref="K471:L471" ca="1">Opt3Spd(H471:J471,$E$3:$G$3,$K$3:$M$3,$N$3:$P$3,$H$3,$I$3,$Q$3,$J$3)</f>
        <v>226.50932999460383</v>
      </c>
      <c r="L471" s="12">
        <f ca="1"/>
        <v>7.863924167395453E-3</v>
      </c>
      <c r="M471" s="12">
        <f t="array" aca="1" ref="M471:N471" ca="1">Opt3Spd(H471:J471,$E$3:$G$3,$K$3:$M$3,$N$3:$P$3,$H$4,$I$3,$Q$3,$J$3)</f>
        <v>0.24812957183769413</v>
      </c>
      <c r="N471" s="12">
        <f ca="1"/>
        <v>173.74666350140126</v>
      </c>
      <c r="O471" s="12">
        <f t="shared" ca="1" si="70"/>
        <v>0.25599349600508958</v>
      </c>
    </row>
    <row r="472" spans="2:15" x14ac:dyDescent="0.15">
      <c r="B472" s="6">
        <f t="shared" ca="1" si="63"/>
        <v>0.51356951483138813</v>
      </c>
      <c r="C472" s="6">
        <f t="shared" ca="1" si="63"/>
        <v>-0.4598365953847563</v>
      </c>
      <c r="D472" s="6">
        <f t="shared" ca="1" si="63"/>
        <v>0.50864878207822706</v>
      </c>
      <c r="E472" s="8">
        <f t="shared" ca="1" si="64"/>
        <v>1.1693155706602646E-2</v>
      </c>
      <c r="F472" s="8">
        <f t="shared" ca="1" si="65"/>
        <v>8.4791472550293113E-3</v>
      </c>
      <c r="G472" s="8">
        <f t="shared" ca="1" si="66"/>
        <v>2.2951479681628344E-2</v>
      </c>
      <c r="H472" s="10">
        <f t="shared" ca="1" si="67"/>
        <v>4062.9597133177163</v>
      </c>
      <c r="I472" s="10">
        <f t="shared" ca="1" si="68"/>
        <v>548.61265610673604</v>
      </c>
      <c r="J472" s="10">
        <f t="shared" ca="1" si="69"/>
        <v>2287.3195085681209</v>
      </c>
      <c r="K472" s="12">
        <f t="array" aca="1" ref="K472:L472" ca="1">Opt3Spd(H472:J472,$E$3:$G$3,$K$3:$M$3,$N$3:$P$3,$H$3,$I$3,$Q$3,$J$3)</f>
        <v>216.53491722739727</v>
      </c>
      <c r="L472" s="12">
        <f ca="1"/>
        <v>1.520796451904971E-2</v>
      </c>
      <c r="M472" s="12">
        <f t="array" aca="1" ref="M472:N472" ca="1">Opt3Spd(H472:J472,$E$3:$G$3,$K$3:$M$3,$N$3:$P$3,$H$4,$I$3,$Q$3,$J$3)</f>
        <v>0.17490935815764175</v>
      </c>
      <c r="N472" s="12">
        <f ca="1"/>
        <v>183.65520009527941</v>
      </c>
      <c r="O472" s="12">
        <f t="shared" ca="1" si="70"/>
        <v>0.19011732267669146</v>
      </c>
    </row>
    <row r="473" spans="2:15" x14ac:dyDescent="0.15">
      <c r="B473" s="6">
        <f t="shared" ca="1" si="63"/>
        <v>0.32011284172605498</v>
      </c>
      <c r="C473" s="6">
        <f t="shared" ca="1" si="63"/>
        <v>8.7876753121651913E-2</v>
      </c>
      <c r="D473" s="6">
        <f t="shared" ca="1" si="63"/>
        <v>1.7349165655474459</v>
      </c>
      <c r="E473" s="8">
        <f t="shared" ca="1" si="64"/>
        <v>7.2884569544879032E-3</v>
      </c>
      <c r="F473" s="8">
        <f t="shared" ca="1" si="65"/>
        <v>1.3894265608051572E-2</v>
      </c>
      <c r="G473" s="8">
        <f t="shared" ca="1" si="66"/>
        <v>3.0497689400990548E-2</v>
      </c>
      <c r="H473" s="10">
        <f t="shared" ca="1" si="67"/>
        <v>4045.2704431292236</v>
      </c>
      <c r="I473" s="10">
        <f t="shared" ca="1" si="68"/>
        <v>551.55848049078008</v>
      </c>
      <c r="J473" s="10">
        <f t="shared" ca="1" si="69"/>
        <v>2304.1928335006146</v>
      </c>
      <c r="K473" s="12">
        <f t="array" aca="1" ref="K473:L473" ca="1">Opt3Spd(H473:J473,$E$3:$G$3,$K$3:$M$3,$N$3:$P$3,$H$3,$I$3,$Q$3,$J$3)</f>
        <v>185.75062539792248</v>
      </c>
      <c r="L473" s="12">
        <f ca="1"/>
        <v>7.0167804254197108E-2</v>
      </c>
      <c r="M473" s="12">
        <f t="array" aca="1" ref="M473:N473" ca="1">Opt3Spd(H473:J473,$E$3:$G$3,$K$3:$M$3,$N$3:$P$3,$H$4,$I$3,$Q$3,$J$3)</f>
        <v>4.4280445750835007E-2</v>
      </c>
      <c r="N473" s="12">
        <f ca="1"/>
        <v>214.36382285208256</v>
      </c>
      <c r="O473" s="12">
        <f t="shared" ca="1" si="70"/>
        <v>0.11444825000503211</v>
      </c>
    </row>
    <row r="474" spans="2:15" x14ac:dyDescent="0.15">
      <c r="B474" s="6">
        <f t="shared" ca="1" si="63"/>
        <v>-0.56047145337459403</v>
      </c>
      <c r="C474" s="6">
        <f t="shared" ca="1" si="63"/>
        <v>-0.56384098370333435</v>
      </c>
      <c r="D474" s="6">
        <f t="shared" ca="1" si="63"/>
        <v>1.6826262170905588</v>
      </c>
      <c r="E474" s="8">
        <f t="shared" ca="1" si="64"/>
        <v>-1.2761037764413792E-2</v>
      </c>
      <c r="F474" s="8">
        <f t="shared" ca="1" si="65"/>
        <v>-3.3751714189867721E-2</v>
      </c>
      <c r="G474" s="8">
        <f t="shared" ca="1" si="66"/>
        <v>-4.3025151238719542E-3</v>
      </c>
      <c r="H474" s="10">
        <f t="shared" ca="1" si="67"/>
        <v>3964.7516723381141</v>
      </c>
      <c r="I474" s="10">
        <f t="shared" ca="1" si="68"/>
        <v>525.6390674807119</v>
      </c>
      <c r="J474" s="10">
        <f t="shared" ca="1" si="69"/>
        <v>2226.3795761830224</v>
      </c>
      <c r="K474" s="12">
        <f t="array" aca="1" ref="K474:L474" ca="1">Opt3Spd(H474:J474,$E$3:$G$3,$K$3:$M$3,$N$3:$P$3,$H$3,$I$3,$Q$3,$J$3)</f>
        <v>185.60386256651373</v>
      </c>
      <c r="L474" s="12">
        <f ca="1"/>
        <v>6.4486289049909828E-2</v>
      </c>
      <c r="M474" s="12">
        <f t="array" aca="1" ref="M474:N474" ca="1">Opt3Spd(H474:J474,$E$3:$G$3,$K$3:$M$3,$N$3:$P$3,$H$4,$I$3,$Q$3,$J$3)</f>
        <v>4.0464928756153817E-2</v>
      </c>
      <c r="N474" s="12">
        <f ca="1"/>
        <v>214.50108865129235</v>
      </c>
      <c r="O474" s="12">
        <f t="shared" ca="1" si="70"/>
        <v>0.10495121780606365</v>
      </c>
    </row>
    <row r="475" spans="2:15" x14ac:dyDescent="0.15">
      <c r="B475" s="6">
        <f t="shared" ca="1" si="63"/>
        <v>-2.775198601217909E-2</v>
      </c>
      <c r="C475" s="6">
        <f t="shared" ca="1" si="63"/>
        <v>0.67036166868164626</v>
      </c>
      <c r="D475" s="6">
        <f t="shared" ca="1" si="63"/>
        <v>-1.9522842887073184E-2</v>
      </c>
      <c r="E475" s="8">
        <f t="shared" ca="1" si="64"/>
        <v>-6.3186829481965887E-4</v>
      </c>
      <c r="F475" s="8">
        <f t="shared" ca="1" si="65"/>
        <v>1.4381188528590289E-2</v>
      </c>
      <c r="G475" s="8">
        <f t="shared" ca="1" si="66"/>
        <v>7.1849966914738729E-4</v>
      </c>
      <c r="H475" s="10">
        <f t="shared" ca="1" si="67"/>
        <v>4013.4624169280041</v>
      </c>
      <c r="I475" s="10">
        <f t="shared" ca="1" si="68"/>
        <v>551.82336655955305</v>
      </c>
      <c r="J475" s="10">
        <f t="shared" ca="1" si="69"/>
        <v>2237.6065652602138</v>
      </c>
      <c r="K475" s="12">
        <f t="array" aca="1" ref="K475:L475" ca="1">Opt3Spd(H475:J475,$E$3:$G$3,$K$3:$M$3,$N$3:$P$3,$H$3,$I$3,$Q$3,$J$3)</f>
        <v>186.80444277037304</v>
      </c>
      <c r="L475" s="12">
        <f ca="1"/>
        <v>6.2694967760762665E-2</v>
      </c>
      <c r="M475" s="12">
        <f t="array" aca="1" ref="M475:N475" ca="1">Opt3Spd(H475:J475,$E$3:$G$3,$K$3:$M$3,$N$3:$P$3,$H$4,$I$3,$Q$3,$J$3)</f>
        <v>4.3763222081821596E-2</v>
      </c>
      <c r="N475" s="12">
        <f ca="1"/>
        <v>213.30201541946954</v>
      </c>
      <c r="O475" s="12">
        <f t="shared" ca="1" si="70"/>
        <v>0.10645818984258426</v>
      </c>
    </row>
    <row r="476" spans="2:15" x14ac:dyDescent="0.15">
      <c r="B476" s="6">
        <f t="shared" ca="1" si="63"/>
        <v>-1.7517613999148849</v>
      </c>
      <c r="C476" s="6">
        <f t="shared" ca="1" si="63"/>
        <v>-1.0251016622371318</v>
      </c>
      <c r="D476" s="6">
        <f t="shared" ca="1" si="63"/>
        <v>-0.83907628212780183</v>
      </c>
      <c r="E476" s="8">
        <f t="shared" ca="1" si="64"/>
        <v>-3.9884802774452117E-2</v>
      </c>
      <c r="F476" s="8">
        <f t="shared" ca="1" si="65"/>
        <v>-8.8544537800408107E-2</v>
      </c>
      <c r="G476" s="8">
        <f t="shared" ca="1" si="66"/>
        <v>-7.627143063318452E-2</v>
      </c>
      <c r="H476" s="10">
        <f t="shared" ca="1" si="67"/>
        <v>3855.8226320578001</v>
      </c>
      <c r="I476" s="10">
        <f t="shared" ca="1" si="68"/>
        <v>495.83177143657798</v>
      </c>
      <c r="J476" s="10">
        <f t="shared" ca="1" si="69"/>
        <v>2065.4570811041995</v>
      </c>
      <c r="K476" s="12">
        <f t="array" aca="1" ref="K476:L476" ca="1">Opt3Spd(H476:J476,$E$3:$G$3,$K$3:$M$3,$N$3:$P$3,$H$3,$I$3,$Q$3,$J$3)</f>
        <v>204.78423029325313</v>
      </c>
      <c r="L476" s="12">
        <f ca="1"/>
        <v>2.0973086077447078E-2</v>
      </c>
      <c r="M476" s="12">
        <f t="array" aca="1" ref="M476:N476" ca="1">Opt3Spd(H476:J476,$E$3:$G$3,$K$3:$M$3,$N$3:$P$3,$H$4,$I$3,$Q$3,$J$3)</f>
        <v>8.7015570976744172E-2</v>
      </c>
      <c r="N476" s="12">
        <f ca="1"/>
        <v>195.32375836380106</v>
      </c>
      <c r="O476" s="12">
        <f t="shared" ca="1" si="70"/>
        <v>0.10798865705419125</v>
      </c>
    </row>
    <row r="477" spans="2:15" x14ac:dyDescent="0.15">
      <c r="B477" s="6">
        <f t="shared" ca="1" si="63"/>
        <v>0.90640792342041776</v>
      </c>
      <c r="C477" s="6">
        <f t="shared" ca="1" si="63"/>
        <v>-0.11962198045357399</v>
      </c>
      <c r="D477" s="6">
        <f t="shared" ca="1" si="63"/>
        <v>0.20855328331193854</v>
      </c>
      <c r="E477" s="8">
        <f t="shared" ca="1" si="64"/>
        <v>2.063745739607039E-2</v>
      </c>
      <c r="F477" s="8">
        <f t="shared" ca="1" si="65"/>
        <v>3.087192812085961E-2</v>
      </c>
      <c r="G477" s="8">
        <f t="shared" ca="1" si="66"/>
        <v>3.5174423429519444E-2</v>
      </c>
      <c r="H477" s="10">
        <f t="shared" ca="1" si="67"/>
        <v>4098.8800289026185</v>
      </c>
      <c r="I477" s="10">
        <f t="shared" ca="1" si="68"/>
        <v>560.79432889774762</v>
      </c>
      <c r="J477" s="10">
        <f t="shared" ca="1" si="69"/>
        <v>2314.6500107884058</v>
      </c>
      <c r="K477" s="12">
        <f t="array" aca="1" ref="K477:L477" ca="1">Opt3Spd(H477:J477,$E$3:$G$3,$K$3:$M$3,$N$3:$P$3,$H$3,$I$3,$Q$3,$J$3)</f>
        <v>219.29789001921108</v>
      </c>
      <c r="L477" s="12">
        <f ca="1"/>
        <v>1.3792747191473609E-2</v>
      </c>
      <c r="M477" s="12">
        <f t="array" aca="1" ref="M477:N477" ca="1">Opt3Spd(H477:J477,$E$3:$G$3,$K$3:$M$3,$N$3:$P$3,$H$4,$I$3,$Q$3,$J$3)</f>
        <v>0.20113364692072722</v>
      </c>
      <c r="N477" s="12">
        <f ca="1"/>
        <v>180.91703637490113</v>
      </c>
      <c r="O477" s="12">
        <f t="shared" ca="1" si="70"/>
        <v>0.21492639411220082</v>
      </c>
    </row>
    <row r="478" spans="2:15" x14ac:dyDescent="0.15">
      <c r="B478" s="6">
        <f t="shared" ca="1" si="63"/>
        <v>-0.71793405586985903</v>
      </c>
      <c r="C478" s="6">
        <f t="shared" ca="1" si="63"/>
        <v>-0.72305598281412864</v>
      </c>
      <c r="D478" s="6">
        <f t="shared" ca="1" si="63"/>
        <v>-0.32173082561390531</v>
      </c>
      <c r="E478" s="8">
        <f t="shared" ca="1" si="64"/>
        <v>-1.6346209149729594E-2</v>
      </c>
      <c r="F478" s="8">
        <f t="shared" ca="1" si="65"/>
        <v>-4.3252669454197736E-2</v>
      </c>
      <c r="G478" s="8">
        <f t="shared" ca="1" si="66"/>
        <v>-3.1902156146571915E-2</v>
      </c>
      <c r="H478" s="10">
        <f t="shared" ca="1" si="67"/>
        <v>3950.353624054686</v>
      </c>
      <c r="I478" s="10">
        <f t="shared" ca="1" si="68"/>
        <v>520.47054781691645</v>
      </c>
      <c r="J478" s="10">
        <f t="shared" ca="1" si="69"/>
        <v>2164.6667788562654</v>
      </c>
      <c r="K478" s="12">
        <f t="array" aca="1" ref="K478:L478" ca="1">Opt3Spd(H478:J478,$E$3:$G$3,$K$3:$M$3,$N$3:$P$3,$H$3,$I$3,$Q$3,$J$3)</f>
        <v>210.28518164293564</v>
      </c>
      <c r="L478" s="12">
        <f ca="1"/>
        <v>1.7823523448896594E-2</v>
      </c>
      <c r="M478" s="12">
        <f t="array" aca="1" ref="M478:N478" ca="1">Opt3Spd(H478:J478,$E$3:$G$3,$K$3:$M$3,$N$3:$P$3,$H$4,$I$3,$Q$3,$J$3)</f>
        <v>0.12090542011049266</v>
      </c>
      <c r="N478" s="12">
        <f ca="1"/>
        <v>189.85354730062375</v>
      </c>
      <c r="O478" s="12">
        <f t="shared" ca="1" si="70"/>
        <v>0.13872894355938925</v>
      </c>
    </row>
    <row r="479" spans="2:15" x14ac:dyDescent="0.15">
      <c r="B479" s="6">
        <f t="shared" ca="1" si="63"/>
        <v>-1.8390107689821042</v>
      </c>
      <c r="C479" s="6">
        <f t="shared" ca="1" si="63"/>
        <v>-0.20813092488978571</v>
      </c>
      <c r="D479" s="6">
        <f t="shared" ca="1" si="63"/>
        <v>-1.8830787094376975</v>
      </c>
      <c r="E479" s="8">
        <f t="shared" ca="1" si="64"/>
        <v>-4.1871331235240505E-2</v>
      </c>
      <c r="F479" s="8">
        <f t="shared" ca="1" si="65"/>
        <v>-7.2999994305565724E-2</v>
      </c>
      <c r="G479" s="8">
        <f t="shared" ca="1" si="66"/>
        <v>-8.8227002924267897E-2</v>
      </c>
      <c r="H479" s="10">
        <f t="shared" ca="1" si="67"/>
        <v>3847.8447337592738</v>
      </c>
      <c r="I479" s="10">
        <f t="shared" ca="1" si="68"/>
        <v>504.28800309777228</v>
      </c>
      <c r="J479" s="10">
        <f t="shared" ca="1" si="69"/>
        <v>2038.724421461337</v>
      </c>
      <c r="K479" s="12">
        <f t="array" aca="1" ref="K479:L479" ca="1">Opt3Spd(H479:J479,$E$3:$G$3,$K$3:$M$3,$N$3:$P$3,$H$3,$I$3,$Q$3,$J$3)</f>
        <v>196.65262304829707</v>
      </c>
      <c r="L479" s="12">
        <f ca="1"/>
        <v>3.0904976127658301E-2</v>
      </c>
      <c r="M479" s="12">
        <f t="array" aca="1" ref="M479:N479" ca="1">Opt3Spd(H479:J479,$E$3:$G$3,$K$3:$M$3,$N$3:$P$3,$H$4,$I$3,$Q$3,$J$3)</f>
        <v>5.7984946334493692E-2</v>
      </c>
      <c r="N479" s="12">
        <f ca="1"/>
        <v>203.43626687416509</v>
      </c>
      <c r="O479" s="12">
        <f t="shared" ca="1" si="70"/>
        <v>8.8889922462151993E-2</v>
      </c>
    </row>
    <row r="480" spans="2:15" x14ac:dyDescent="0.15">
      <c r="B480" s="6">
        <f t="shared" ca="1" si="63"/>
        <v>0.88161791369869447</v>
      </c>
      <c r="C480" s="6">
        <f t="shared" ca="1" si="63"/>
        <v>-1.0039212732208143</v>
      </c>
      <c r="D480" s="6">
        <f t="shared" ca="1" si="63"/>
        <v>0.67758652756460502</v>
      </c>
      <c r="E480" s="8">
        <f t="shared" ca="1" si="64"/>
        <v>2.0073028559714177E-2</v>
      </c>
      <c r="F480" s="8">
        <f t="shared" ca="1" si="65"/>
        <v>9.6236677268153516E-3</v>
      </c>
      <c r="G480" s="8">
        <f t="shared" ca="1" si="66"/>
        <v>3.6693220335392025E-2</v>
      </c>
      <c r="H480" s="10">
        <f t="shared" ca="1" si="67"/>
        <v>4096.6132826958119</v>
      </c>
      <c r="I480" s="10">
        <f t="shared" ca="1" si="68"/>
        <v>549.23527524338749</v>
      </c>
      <c r="J480" s="10">
        <f t="shared" ca="1" si="69"/>
        <v>2318.0460406699367</v>
      </c>
      <c r="K480" s="12">
        <f t="array" aca="1" ref="K480:L480" ca="1">Opt3Spd(H480:J480,$E$3:$G$3,$K$3:$M$3,$N$3:$P$3,$H$3,$I$3,$Q$3,$J$3)</f>
        <v>233.820175541136</v>
      </c>
      <c r="L480" s="12">
        <f ca="1"/>
        <v>6.3535697122460988E-3</v>
      </c>
      <c r="M480" s="12">
        <f t="array" aca="1" ref="M480:N480" ca="1">Opt3Spd(H480:J480,$E$3:$G$3,$K$3:$M$3,$N$3:$P$3,$H$4,$I$3,$Q$3,$J$3)</f>
        <v>0.36104027569132668</v>
      </c>
      <c r="N480" s="12">
        <f ca="1"/>
        <v>166.54721830426757</v>
      </c>
      <c r="O480" s="12">
        <f t="shared" ca="1" si="70"/>
        <v>0.36739384540357278</v>
      </c>
    </row>
    <row r="481" spans="2:15" x14ac:dyDescent="0.15">
      <c r="B481" s="6">
        <f t="shared" ca="1" si="63"/>
        <v>-3.0547730480670765</v>
      </c>
      <c r="C481" s="6">
        <f t="shared" ca="1" si="63"/>
        <v>0.20453992275438967</v>
      </c>
      <c r="D481" s="6">
        <f t="shared" ca="1" si="63"/>
        <v>1.3568943023252062</v>
      </c>
      <c r="E481" s="8">
        <f t="shared" ca="1" si="64"/>
        <v>-6.9552292080866274E-2</v>
      </c>
      <c r="F481" s="8">
        <f t="shared" ca="1" si="65"/>
        <v>-0.10861021042251853</v>
      </c>
      <c r="G481" s="8">
        <f t="shared" ca="1" si="66"/>
        <v>-9.7178551828442428E-2</v>
      </c>
      <c r="H481" s="10">
        <f t="shared" ca="1" si="67"/>
        <v>3736.6779950032414</v>
      </c>
      <c r="I481" s="10">
        <f t="shared" ca="1" si="68"/>
        <v>484.91604553014992</v>
      </c>
      <c r="J481" s="10">
        <f t="shared" ca="1" si="69"/>
        <v>2018.7087581116027</v>
      </c>
      <c r="K481" s="12">
        <f t="array" aca="1" ref="K481:L481" ca="1">Opt3Spd(H481:J481,$E$3:$G$3,$K$3:$M$3,$N$3:$P$3,$H$3,$I$3,$Q$3,$J$3)</f>
        <v>127.14526288727848</v>
      </c>
      <c r="L481" s="12">
        <f ca="1"/>
        <v>0.68731978807863925</v>
      </c>
      <c r="M481" s="12">
        <f t="array" aca="1" ref="M481:N481" ca="1">Opt3Spd(H481:J481,$E$3:$G$3,$K$3:$M$3,$N$3:$P$3,$H$4,$I$3,$Q$3,$J$3)</f>
        <v>1.1589825573828649E-3</v>
      </c>
      <c r="N481" s="12">
        <f ca="1"/>
        <v>273.54321588335756</v>
      </c>
      <c r="O481" s="12">
        <f t="shared" ca="1" si="70"/>
        <v>0.68847877063602214</v>
      </c>
    </row>
    <row r="482" spans="2:15" x14ac:dyDescent="0.15">
      <c r="B482" s="6">
        <f t="shared" ca="1" si="63"/>
        <v>-0.7478104119949045</v>
      </c>
      <c r="C482" s="6">
        <f t="shared" ca="1" si="63"/>
        <v>-0.94764757994313453</v>
      </c>
      <c r="D482" s="6">
        <f t="shared" ca="1" si="63"/>
        <v>-1.5689320874770585</v>
      </c>
      <c r="E482" s="8">
        <f t="shared" ca="1" si="64"/>
        <v>-1.7026445951228149E-2</v>
      </c>
      <c r="F482" s="8">
        <f t="shared" ca="1" si="65"/>
        <v>-4.9523911861215394E-2</v>
      </c>
      <c r="G482" s="8">
        <f t="shared" ca="1" si="66"/>
        <v>-4.6938250616357709E-2</v>
      </c>
      <c r="H482" s="10">
        <f t="shared" ca="1" si="67"/>
        <v>3947.6217930598677</v>
      </c>
      <c r="I482" s="10">
        <f t="shared" ca="1" si="68"/>
        <v>517.05899194749884</v>
      </c>
      <c r="J482" s="10">
        <f t="shared" ca="1" si="69"/>
        <v>2131.046071621824</v>
      </c>
      <c r="K482" s="12">
        <f t="array" aca="1" ref="K482:L482" ca="1">Opt3Spd(H482:J482,$E$3:$G$3,$K$3:$M$3,$N$3:$P$3,$H$3,$I$3,$Q$3,$J$3)</f>
        <v>229.81039363706668</v>
      </c>
      <c r="L482" s="12">
        <f ca="1"/>
        <v>6.0235041091800667E-3</v>
      </c>
      <c r="M482" s="12">
        <f t="array" aca="1" ref="M482:N482" ca="1">Opt3Spd(H482:J482,$E$3:$G$3,$K$3:$M$3,$N$3:$P$3,$H$4,$I$3,$Q$3,$J$3)</f>
        <v>0.27159136639718895</v>
      </c>
      <c r="N482" s="12">
        <f ca="1"/>
        <v>170.46722123343969</v>
      </c>
      <c r="O482" s="12">
        <f t="shared" ca="1" si="70"/>
        <v>0.27761487050636902</v>
      </c>
    </row>
    <row r="483" spans="2:15" x14ac:dyDescent="0.15">
      <c r="B483" s="6">
        <f t="shared" ca="1" si="63"/>
        <v>1.744261174478249</v>
      </c>
      <c r="C483" s="6">
        <f t="shared" ca="1" si="63"/>
        <v>-1.4669059644577962</v>
      </c>
      <c r="D483" s="6">
        <f t="shared" ca="1" si="63"/>
        <v>-5.121179893898558E-2</v>
      </c>
      <c r="E483" s="8">
        <f t="shared" ca="1" si="64"/>
        <v>3.9714034647971713E-2</v>
      </c>
      <c r="F483" s="8">
        <f t="shared" ca="1" si="65"/>
        <v>3.0978817902847171E-2</v>
      </c>
      <c r="G483" s="8">
        <f t="shared" ca="1" si="66"/>
        <v>5.9277371605480314E-2</v>
      </c>
      <c r="H483" s="10">
        <f t="shared" ca="1" si="67"/>
        <v>4175.4915631462536</v>
      </c>
      <c r="I483" s="10">
        <f t="shared" ca="1" si="68"/>
        <v>560.85247693914891</v>
      </c>
      <c r="J483" s="10">
        <f t="shared" ca="1" si="69"/>
        <v>2368.544202909854</v>
      </c>
      <c r="K483" s="12">
        <f t="array" aca="1" ref="K483:L483" ca="1">Opt3Spd(H483:J483,$E$3:$G$3,$K$3:$M$3,$N$3:$P$3,$H$3,$I$3,$Q$3,$J$3)</f>
        <v>268.85645689606781</v>
      </c>
      <c r="L483" s="12">
        <f ca="1"/>
        <v>9.5830737927826704E-4</v>
      </c>
      <c r="M483" s="12">
        <f t="array" aca="1" ref="M483:N483" ca="1">Opt3Spd(H483:J483,$E$3:$G$3,$K$3:$M$3,$N$3:$P$3,$H$4,$I$3,$Q$3,$J$3)</f>
        <v>1.3156838815769021</v>
      </c>
      <c r="N483" s="12">
        <f ca="1"/>
        <v>132.46018529288835</v>
      </c>
      <c r="O483" s="12">
        <f t="shared" ca="1" si="70"/>
        <v>1.3166421889561803</v>
      </c>
    </row>
    <row r="484" spans="2:15" x14ac:dyDescent="0.15">
      <c r="B484" s="6">
        <f t="shared" ca="1" si="63"/>
        <v>-1.0718962349296466</v>
      </c>
      <c r="C484" s="6">
        <f t="shared" ca="1" si="63"/>
        <v>-0.57524305009139542</v>
      </c>
      <c r="D484" s="6">
        <f t="shared" ca="1" si="63"/>
        <v>1.3855447806454875</v>
      </c>
      <c r="E484" s="8">
        <f t="shared" ca="1" si="64"/>
        <v>-2.4405361327703653E-2</v>
      </c>
      <c r="F484" s="8">
        <f t="shared" ca="1" si="65"/>
        <v>-5.2984374365425392E-2</v>
      </c>
      <c r="G484" s="8">
        <f t="shared" ca="1" si="66"/>
        <v>-2.628935447355104E-2</v>
      </c>
      <c r="H484" s="10">
        <f t="shared" ca="1" si="67"/>
        <v>3917.9880689079423</v>
      </c>
      <c r="I484" s="10">
        <f t="shared" ca="1" si="68"/>
        <v>515.17650034520864</v>
      </c>
      <c r="J484" s="10">
        <f t="shared" ca="1" si="69"/>
        <v>2177.2170033971397</v>
      </c>
      <c r="K484" s="12">
        <f t="array" aca="1" ref="K484:L484" ca="1">Opt3Spd(H484:J484,$E$3:$G$3,$K$3:$M$3,$N$3:$P$3,$H$3,$I$3,$Q$3,$J$3)</f>
        <v>180.17622900371202</v>
      </c>
      <c r="L484" s="12">
        <f ca="1"/>
        <v>7.9062346673481443E-2</v>
      </c>
      <c r="M484" s="12">
        <f t="array" aca="1" ref="M484:N484" ca="1">Opt3Spd(H484:J484,$E$3:$G$3,$K$3:$M$3,$N$3:$P$3,$H$4,$I$3,$Q$3,$J$3)</f>
        <v>2.9422677320738444E-2</v>
      </c>
      <c r="N484" s="12">
        <f ca="1"/>
        <v>219.93225602028218</v>
      </c>
      <c r="O484" s="12">
        <f t="shared" ca="1" si="70"/>
        <v>0.10848502399421989</v>
      </c>
    </row>
    <row r="485" spans="2:15" x14ac:dyDescent="0.15">
      <c r="B485" s="6">
        <f t="shared" ca="1" si="63"/>
        <v>-2.1654420286242382</v>
      </c>
      <c r="C485" s="6">
        <f t="shared" ca="1" si="63"/>
        <v>2.0332948037731922</v>
      </c>
      <c r="D485" s="6">
        <f t="shared" ca="1" si="63"/>
        <v>-0.22649483977619861</v>
      </c>
      <c r="E485" s="8">
        <f t="shared" ca="1" si="64"/>
        <v>-4.9303648450858495E-2</v>
      </c>
      <c r="F485" s="8">
        <f t="shared" ca="1" si="65"/>
        <v>-3.3581468853297519E-2</v>
      </c>
      <c r="G485" s="8">
        <f t="shared" ca="1" si="66"/>
        <v>-7.6065084863789212E-2</v>
      </c>
      <c r="H485" s="10">
        <f t="shared" ca="1" si="67"/>
        <v>3817.9965478213526</v>
      </c>
      <c r="I485" s="10">
        <f t="shared" ca="1" si="68"/>
        <v>525.73168094380617</v>
      </c>
      <c r="J485" s="10">
        <f t="shared" ca="1" si="69"/>
        <v>2065.9184702445673</v>
      </c>
      <c r="K485" s="12">
        <f t="array" aca="1" ref="K485:L485" ca="1">Opt3Spd(H485:J485,$E$3:$G$3,$K$3:$M$3,$N$3:$P$3,$H$3,$I$3,$Q$3,$J$3)</f>
        <v>119.81622283490196</v>
      </c>
      <c r="L485" s="12">
        <f ca="1"/>
        <v>0.94959964592271717</v>
      </c>
      <c r="M485" s="12">
        <f t="array" aca="1" ref="M485:N485" ca="1">Opt3Spd(H485:J485,$E$3:$G$3,$K$3:$M$3,$N$3:$P$3,$H$4,$I$3,$Q$3,$J$3)</f>
        <v>7.8090232664695947E-4</v>
      </c>
      <c r="N485" s="12">
        <f ca="1"/>
        <v>281.13415771334741</v>
      </c>
      <c r="O485" s="12">
        <f t="shared" ca="1" si="70"/>
        <v>0.95038054824936413</v>
      </c>
    </row>
    <row r="486" spans="2:15" x14ac:dyDescent="0.15">
      <c r="B486" s="6">
        <f t="shared" ca="1" si="63"/>
        <v>-2.3331505342238126</v>
      </c>
      <c r="C486" s="6">
        <f t="shared" ca="1" si="63"/>
        <v>1.6036500973851777</v>
      </c>
      <c r="D486" s="6">
        <f t="shared" ca="1" si="63"/>
        <v>-0.22556050834704458</v>
      </c>
      <c r="E486" s="8">
        <f t="shared" ca="1" si="64"/>
        <v>-5.3122102647738353E-2</v>
      </c>
      <c r="F486" s="8">
        <f t="shared" ca="1" si="65"/>
        <v>-4.9679253246001948E-2</v>
      </c>
      <c r="G486" s="8">
        <f t="shared" ca="1" si="66"/>
        <v>-8.3463715221880508E-2</v>
      </c>
      <c r="H486" s="10">
        <f t="shared" ca="1" si="67"/>
        <v>3802.661635766683</v>
      </c>
      <c r="I486" s="10">
        <f t="shared" ca="1" si="68"/>
        <v>516.97448623417495</v>
      </c>
      <c r="J486" s="10">
        <f t="shared" ca="1" si="69"/>
        <v>2049.3751327638752</v>
      </c>
      <c r="K486" s="12">
        <f t="array" aca="1" ref="K486:L486" ca="1">Opt3Spd(H486:J486,$E$3:$G$3,$K$3:$M$3,$N$3:$P$3,$H$3,$I$3,$Q$3,$J$3)</f>
        <v>126.53677940070475</v>
      </c>
      <c r="L486" s="12">
        <f ca="1"/>
        <v>0.72188799063928855</v>
      </c>
      <c r="M486" s="12">
        <f t="array" aca="1" ref="M486:N486" ca="1">Opt3Spd(H486:J486,$E$3:$G$3,$K$3:$M$3,$N$3:$P$3,$H$4,$I$3,$Q$3,$J$3)</f>
        <v>1.1775981230419119E-3</v>
      </c>
      <c r="N486" s="12">
        <f ca="1"/>
        <v>274.18628618805758</v>
      </c>
      <c r="O486" s="12">
        <f t="shared" ca="1" si="70"/>
        <v>0.72306558876233051</v>
      </c>
    </row>
    <row r="487" spans="2:15" x14ac:dyDescent="0.15">
      <c r="B487" s="6">
        <f t="shared" ca="1" si="63"/>
        <v>-0.18293895246768344</v>
      </c>
      <c r="C487" s="6">
        <f t="shared" ca="1" si="63"/>
        <v>-0.94121539211966398</v>
      </c>
      <c r="D487" s="6">
        <f t="shared" ca="1" si="63"/>
        <v>-1.2580288789149934</v>
      </c>
      <c r="E487" s="8">
        <f t="shared" ca="1" si="64"/>
        <v>-4.1652270904547544E-3</v>
      </c>
      <c r="F487" s="8">
        <f t="shared" ca="1" si="65"/>
        <v>-2.8422976469260675E-2</v>
      </c>
      <c r="G487" s="8">
        <f t="shared" ca="1" si="66"/>
        <v>-2.2855050556814201E-2</v>
      </c>
      <c r="H487" s="10">
        <f t="shared" ca="1" si="67"/>
        <v>3999.2724480047336</v>
      </c>
      <c r="I487" s="10">
        <f t="shared" ca="1" si="68"/>
        <v>528.53790080072213</v>
      </c>
      <c r="J487" s="10">
        <f t="shared" ca="1" si="69"/>
        <v>2184.8961069549632</v>
      </c>
      <c r="K487" s="12">
        <f t="array" aca="1" ref="K487:L487" ca="1">Opt3Spd(H487:J487,$E$3:$G$3,$K$3:$M$3,$N$3:$P$3,$H$3,$I$3,$Q$3,$J$3)</f>
        <v>236.1683387946016</v>
      </c>
      <c r="L487" s="12">
        <f ca="1"/>
        <v>4.5855485047923139E-3</v>
      </c>
      <c r="M487" s="12">
        <f t="array" aca="1" ref="M487:N487" ca="1">Opt3Spd(H487:J487,$E$3:$G$3,$K$3:$M$3,$N$3:$P$3,$H$4,$I$3,$Q$3,$J$3)</f>
        <v>0.36336770081376457</v>
      </c>
      <c r="N487" s="12">
        <f ca="1"/>
        <v>164.19961445471696</v>
      </c>
      <c r="O487" s="12">
        <f t="shared" ca="1" si="70"/>
        <v>0.36795324931855689</v>
      </c>
    </row>
    <row r="488" spans="2:15" x14ac:dyDescent="0.15">
      <c r="B488" s="6">
        <f t="shared" ca="1" si="63"/>
        <v>1.0375625591780322E-2</v>
      </c>
      <c r="C488" s="6">
        <f t="shared" ca="1" si="63"/>
        <v>1.9015212677289128</v>
      </c>
      <c r="D488" s="6">
        <f t="shared" ca="1" si="63"/>
        <v>1.4700943721419875</v>
      </c>
      <c r="E488" s="8">
        <f t="shared" ca="1" si="64"/>
        <v>2.3623638493793929E-4</v>
      </c>
      <c r="F488" s="8">
        <f t="shared" ca="1" si="65"/>
        <v>4.4097984637372058E-2</v>
      </c>
      <c r="G488" s="8">
        <f t="shared" ca="1" si="66"/>
        <v>2.1562239788328705E-2</v>
      </c>
      <c r="H488" s="10">
        <f t="shared" ca="1" si="67"/>
        <v>4016.9487253219108</v>
      </c>
      <c r="I488" s="10">
        <f t="shared" ca="1" si="68"/>
        <v>567.98930364273042</v>
      </c>
      <c r="J488" s="10">
        <f t="shared" ca="1" si="69"/>
        <v>2284.2131681667029</v>
      </c>
      <c r="K488" s="12">
        <f t="array" aca="1" ref="K488:L488" ca="1">Opt3Spd(H488:J488,$E$3:$G$3,$K$3:$M$3,$N$3:$P$3,$H$3,$I$3,$Q$3,$J$3)</f>
        <v>141.53180265614151</v>
      </c>
      <c r="L488" s="12">
        <f ca="1"/>
        <v>0.47254724595086373</v>
      </c>
      <c r="M488" s="12">
        <f t="array" aca="1" ref="M488:N488" ca="1">Opt3Spd(H488:J488,$E$3:$G$3,$K$3:$M$3,$N$3:$P$3,$H$4,$I$3,$Q$3,$J$3)</f>
        <v>4.2713983206686956E-3</v>
      </c>
      <c r="N488" s="12">
        <f ca="1"/>
        <v>258.94501598813002</v>
      </c>
      <c r="O488" s="12">
        <f t="shared" ca="1" si="70"/>
        <v>0.47681864427153242</v>
      </c>
    </row>
    <row r="489" spans="2:15" x14ac:dyDescent="0.15">
      <c r="B489" s="6">
        <f t="shared" ca="1" si="63"/>
        <v>0.79295672257851746</v>
      </c>
      <c r="C489" s="6">
        <f t="shared" ca="1" si="63"/>
        <v>-0.45123995160015817</v>
      </c>
      <c r="D489" s="6">
        <f t="shared" ca="1" si="63"/>
        <v>-0.95050623239843068</v>
      </c>
      <c r="E489" s="8">
        <f t="shared" ca="1" si="64"/>
        <v>1.805435517089074E-2</v>
      </c>
      <c r="F489" s="8">
        <f t="shared" ca="1" si="65"/>
        <v>1.9040225303179857E-2</v>
      </c>
      <c r="G489" s="8">
        <f t="shared" ca="1" si="66"/>
        <v>1.7696209442026694E-2</v>
      </c>
      <c r="H489" s="10">
        <f t="shared" ca="1" si="67"/>
        <v>4088.506290366297</v>
      </c>
      <c r="I489" s="10">
        <f t="shared" ca="1" si="68"/>
        <v>554.35788256492981</v>
      </c>
      <c r="J489" s="10">
        <f t="shared" ca="1" si="69"/>
        <v>2275.5687243123721</v>
      </c>
      <c r="K489" s="12">
        <f t="array" aca="1" ref="K489:L489" ca="1">Opt3Spd(H489:J489,$E$3:$G$3,$K$3:$M$3,$N$3:$P$3,$H$3,$I$3,$Q$3,$J$3)</f>
        <v>238.75392352842255</v>
      </c>
      <c r="L489" s="12">
        <f ca="1"/>
        <v>4.6074221995695552E-3</v>
      </c>
      <c r="M489" s="12">
        <f t="array" aca="1" ref="M489:N489" ca="1">Opt3Spd(H489:J489,$E$3:$G$3,$K$3:$M$3,$N$3:$P$3,$H$4,$I$3,$Q$3,$J$3)</f>
        <v>0.42661532215959852</v>
      </c>
      <c r="N489" s="12">
        <f ca="1"/>
        <v>161.67729921593661</v>
      </c>
      <c r="O489" s="12">
        <f t="shared" ca="1" si="70"/>
        <v>0.43122274435916808</v>
      </c>
    </row>
    <row r="490" spans="2:15" x14ac:dyDescent="0.15">
      <c r="B490" s="6">
        <f t="shared" ca="1" si="63"/>
        <v>7.4819971654229156E-2</v>
      </c>
      <c r="C490" s="6">
        <f t="shared" ca="1" si="63"/>
        <v>0.73954723711852932</v>
      </c>
      <c r="D490" s="6">
        <f t="shared" ca="1" si="63"/>
        <v>-0.67674993274377748</v>
      </c>
      <c r="E490" s="8">
        <f t="shared" ca="1" si="64"/>
        <v>1.7035309792555217E-3</v>
      </c>
      <c r="F490" s="8">
        <f t="shared" ca="1" si="65"/>
        <v>1.9776415420274362E-2</v>
      </c>
      <c r="G490" s="8">
        <f t="shared" ca="1" si="66"/>
        <v>-2.3138056458196945E-3</v>
      </c>
      <c r="H490" s="10">
        <f t="shared" ca="1" si="67"/>
        <v>4022.8413804126899</v>
      </c>
      <c r="I490" s="10">
        <f t="shared" ca="1" si="68"/>
        <v>554.75836998862928</v>
      </c>
      <c r="J490" s="10">
        <f t="shared" ca="1" si="69"/>
        <v>2230.8263305759469</v>
      </c>
      <c r="K490" s="12">
        <f t="array" aca="1" ref="K490:L490" ca="1">Opt3Spd(H490:J490,$E$3:$G$3,$K$3:$M$3,$N$3:$P$3,$H$3,$I$3,$Q$3,$J$3)</f>
        <v>194.85729757536888</v>
      </c>
      <c r="L490" s="12">
        <f ca="1"/>
        <v>4.2474432459584932E-2</v>
      </c>
      <c r="M490" s="12">
        <f t="array" aca="1" ref="M490:N490" ca="1">Opt3Spd(H490:J490,$E$3:$G$3,$K$3:$M$3,$N$3:$P$3,$H$4,$I$3,$Q$3,$J$3)</f>
        <v>6.3841823504985129E-2</v>
      </c>
      <c r="N490" s="12">
        <f ca="1"/>
        <v>205.2490186805957</v>
      </c>
      <c r="O490" s="12">
        <f t="shared" ca="1" si="70"/>
        <v>0.10631625596457006</v>
      </c>
    </row>
    <row r="491" spans="2:15" x14ac:dyDescent="0.15">
      <c r="B491" s="6">
        <f t="shared" ca="1" si="63"/>
        <v>0.52515689701284729</v>
      </c>
      <c r="C491" s="6">
        <f t="shared" ca="1" si="63"/>
        <v>0.82980234829713528</v>
      </c>
      <c r="D491" s="6">
        <f t="shared" ca="1" si="63"/>
        <v>0.11638799679308316</v>
      </c>
      <c r="E491" s="8">
        <f t="shared" ca="1" si="64"/>
        <v>1.1956981849250928E-2</v>
      </c>
      <c r="F491" s="8">
        <f t="shared" ca="1" si="65"/>
        <v>3.8555825159691332E-2</v>
      </c>
      <c r="G491" s="8">
        <f t="shared" ca="1" si="66"/>
        <v>2.2942190098343227E-2</v>
      </c>
      <c r="H491" s="10">
        <f t="shared" ca="1" si="67"/>
        <v>4064.0192391065916</v>
      </c>
      <c r="I491" s="10">
        <f t="shared" ca="1" si="68"/>
        <v>564.97436888687207</v>
      </c>
      <c r="J491" s="10">
        <f t="shared" ca="1" si="69"/>
        <v>2287.2987370598958</v>
      </c>
      <c r="K491" s="12">
        <f t="array" aca="1" ref="K491:L491" ca="1">Opt3Spd(H491:J491,$E$3:$G$3,$K$3:$M$3,$N$3:$P$3,$H$3,$I$3,$Q$3,$J$3)</f>
        <v>191.46428596809915</v>
      </c>
      <c r="L491" s="12">
        <f ca="1"/>
        <v>5.340561045090908E-2</v>
      </c>
      <c r="M491" s="12">
        <f t="array" aca="1" ref="M491:N491" ca="1">Opt3Spd(H491:J491,$E$3:$G$3,$K$3:$M$3,$N$3:$P$3,$H$4,$I$3,$Q$3,$J$3)</f>
        <v>5.7566585987685492E-2</v>
      </c>
      <c r="N491" s="12">
        <f ca="1"/>
        <v>208.64668622833943</v>
      </c>
      <c r="O491" s="12">
        <f t="shared" ca="1" si="70"/>
        <v>0.11097219643859457</v>
      </c>
    </row>
    <row r="492" spans="2:15" x14ac:dyDescent="0.15">
      <c r="B492" s="6">
        <f t="shared" ca="1" si="63"/>
        <v>-0.72946724317734402</v>
      </c>
      <c r="C492" s="6">
        <f t="shared" ca="1" si="63"/>
        <v>1.3948612747176825</v>
      </c>
      <c r="D492" s="6">
        <f t="shared" ca="1" si="63"/>
        <v>7.4205857235706052E-2</v>
      </c>
      <c r="E492" s="8">
        <f t="shared" ca="1" si="64"/>
        <v>-1.6608801361855174E-2</v>
      </c>
      <c r="F492" s="8">
        <f t="shared" ca="1" si="65"/>
        <v>5.0072588495925314E-3</v>
      </c>
      <c r="G492" s="8">
        <f t="shared" ca="1" si="66"/>
        <v>-2.1959679530014434E-2</v>
      </c>
      <c r="H492" s="10">
        <f t="shared" ca="1" si="67"/>
        <v>3949.2990537307896</v>
      </c>
      <c r="I492" s="10">
        <f t="shared" ca="1" si="68"/>
        <v>546.72394881417836</v>
      </c>
      <c r="J492" s="10">
        <f t="shared" ca="1" si="69"/>
        <v>2186.8981565708877</v>
      </c>
      <c r="K492" s="12">
        <f t="array" aca="1" ref="K492:L492" ca="1">Opt3Spd(H492:J492,$E$3:$G$3,$K$3:$M$3,$N$3:$P$3,$H$3,$I$3,$Q$3,$J$3)</f>
        <v>156.32731877903939</v>
      </c>
      <c r="L492" s="12">
        <f ca="1"/>
        <v>0.23566143637890491</v>
      </c>
      <c r="M492" s="12">
        <f t="array" aca="1" ref="M492:N492" ca="1">Opt3Spd(H492:J492,$E$3:$G$3,$K$3:$M$3,$N$3:$P$3,$H$4,$I$3,$Q$3,$J$3)</f>
        <v>8.5658684463196799E-3</v>
      </c>
      <c r="N492" s="12">
        <f ca="1"/>
        <v>243.91690852578583</v>
      </c>
      <c r="O492" s="12">
        <f t="shared" ca="1" si="70"/>
        <v>0.24422730482522459</v>
      </c>
    </row>
    <row r="493" spans="2:15" x14ac:dyDescent="0.15">
      <c r="B493" s="6">
        <f t="shared" ca="1" si="63"/>
        <v>-1.6620547258591338</v>
      </c>
      <c r="C493" s="6">
        <f t="shared" ca="1" si="63"/>
        <v>-1.0871965410479034</v>
      </c>
      <c r="D493" s="6">
        <f t="shared" ca="1" si="63"/>
        <v>-9.0476852953987372E-2</v>
      </c>
      <c r="E493" s="8">
        <f t="shared" ca="1" si="64"/>
        <v>-3.7842325412843658E-2</v>
      </c>
      <c r="F493" s="8">
        <f t="shared" ca="1" si="65"/>
        <v>-8.6644469708383645E-2</v>
      </c>
      <c r="G493" s="8">
        <f t="shared" ca="1" si="66"/>
        <v>-6.518114251089295E-2</v>
      </c>
      <c r="H493" s="10">
        <f t="shared" ca="1" si="67"/>
        <v>3864.0252211420197</v>
      </c>
      <c r="I493" s="10">
        <f t="shared" ca="1" si="68"/>
        <v>496.86540847863927</v>
      </c>
      <c r="J493" s="10">
        <f t="shared" ca="1" si="69"/>
        <v>2090.2549653456435</v>
      </c>
      <c r="K493" s="12">
        <f t="array" aca="1" ref="K493:L493" ca="1">Opt3Spd(H493:J493,$E$3:$G$3,$K$3:$M$3,$N$3:$P$3,$H$3,$I$3,$Q$3,$J$3)</f>
        <v>198.94210515237069</v>
      </c>
      <c r="L493" s="12">
        <f ca="1"/>
        <v>2.9020248995720976E-2</v>
      </c>
      <c r="M493" s="12">
        <f t="array" aca="1" ref="M493:N493" ca="1">Opt3Spd(H493:J493,$E$3:$G$3,$K$3:$M$3,$N$3:$P$3,$H$4,$I$3,$Q$3,$J$3)</f>
        <v>6.76363609248396E-2</v>
      </c>
      <c r="N493" s="12">
        <f ca="1"/>
        <v>201.15455145754987</v>
      </c>
      <c r="O493" s="12">
        <f t="shared" ca="1" si="70"/>
        <v>9.6656609920560577E-2</v>
      </c>
    </row>
    <row r="494" spans="2:15" x14ac:dyDescent="0.15">
      <c r="B494" s="6">
        <f t="shared" ca="1" si="63"/>
        <v>-0.14791130884473258</v>
      </c>
      <c r="C494" s="6">
        <f t="shared" ca="1" si="63"/>
        <v>0.37772970099974718</v>
      </c>
      <c r="D494" s="6">
        <f t="shared" ca="1" si="63"/>
        <v>0.67753016057754778</v>
      </c>
      <c r="E494" s="8">
        <f t="shared" ca="1" si="64"/>
        <v>-3.3677037190509374E-3</v>
      </c>
      <c r="F494" s="8">
        <f t="shared" ca="1" si="65"/>
        <v>3.1968875026293208E-3</v>
      </c>
      <c r="G494" s="8">
        <f t="shared" ca="1" si="66"/>
        <v>2.880283019165198E-3</v>
      </c>
      <c r="H494" s="10">
        <f t="shared" ca="1" si="67"/>
        <v>4002.4753018642914</v>
      </c>
      <c r="I494" s="10">
        <f t="shared" ca="1" si="68"/>
        <v>545.73910680143035</v>
      </c>
      <c r="J494" s="10">
        <f t="shared" ca="1" si="69"/>
        <v>2242.4403128308536</v>
      </c>
      <c r="K494" s="12">
        <f t="array" aca="1" ref="K494:L494" ca="1">Opt3Spd(H494:J494,$E$3:$G$3,$K$3:$M$3,$N$3:$P$3,$H$3,$I$3,$Q$3,$J$3)</f>
        <v>183.14698733758428</v>
      </c>
      <c r="L494" s="12">
        <f ca="1"/>
        <v>7.4412771008155687E-2</v>
      </c>
      <c r="M494" s="12">
        <f t="array" aca="1" ref="M494:N494" ca="1">Opt3Spd(H494:J494,$E$3:$G$3,$K$3:$M$3,$N$3:$P$3,$H$4,$I$3,$Q$3,$J$3)</f>
        <v>3.6699736885077883E-2</v>
      </c>
      <c r="N494" s="12">
        <f ca="1"/>
        <v>216.96412517030896</v>
      </c>
      <c r="O494" s="12">
        <f t="shared" ca="1" si="70"/>
        <v>0.11111250789323357</v>
      </c>
    </row>
    <row r="495" spans="2:15" x14ac:dyDescent="0.15">
      <c r="B495" s="6">
        <f t="shared" ca="1" si="63"/>
        <v>-0.69960330032340501</v>
      </c>
      <c r="C495" s="6">
        <f t="shared" ca="1" si="63"/>
        <v>0.10499516497998587</v>
      </c>
      <c r="D495" s="6">
        <f t="shared" ca="1" si="63"/>
        <v>0.17571964396379541</v>
      </c>
      <c r="E495" s="8">
        <f t="shared" ca="1" si="64"/>
        <v>-1.5928847190667967E-2</v>
      </c>
      <c r="F495" s="8">
        <f t="shared" ca="1" si="65"/>
        <v>-2.3537065833332947E-2</v>
      </c>
      <c r="G495" s="8">
        <f t="shared" ca="1" si="66"/>
        <v>-2.3525538715979101E-2</v>
      </c>
      <c r="H495" s="10">
        <f t="shared" ca="1" si="67"/>
        <v>3952.0297496822773</v>
      </c>
      <c r="I495" s="10">
        <f t="shared" ca="1" si="68"/>
        <v>531.19583618666684</v>
      </c>
      <c r="J495" s="10">
        <f t="shared" ca="1" si="69"/>
        <v>2183.3968954310708</v>
      </c>
      <c r="K495" s="12">
        <f t="array" aca="1" ref="K495:L495" ca="1">Opt3Spd(H495:J495,$E$3:$G$3,$K$3:$M$3,$N$3:$P$3,$H$3,$I$3,$Q$3,$J$3)</f>
        <v>185.48042371264569</v>
      </c>
      <c r="L495" s="12">
        <f ca="1"/>
        <v>6.2459644570935779E-2</v>
      </c>
      <c r="M495" s="12">
        <f t="array" aca="1" ref="M495:N495" ca="1">Opt3Spd(H495:J495,$E$3:$G$3,$K$3:$M$3,$N$3:$P$3,$H$4,$I$3,$Q$3,$J$3)</f>
        <v>3.8668737686204935E-2</v>
      </c>
      <c r="N495" s="12">
        <f ca="1"/>
        <v>214.62070466961146</v>
      </c>
      <c r="O495" s="12">
        <f t="shared" ca="1" si="70"/>
        <v>0.10112838225714071</v>
      </c>
    </row>
    <row r="496" spans="2:15" x14ac:dyDescent="0.15">
      <c r="B496" s="6">
        <f t="shared" ca="1" si="63"/>
        <v>-0.69210238922218525</v>
      </c>
      <c r="C496" s="6">
        <f t="shared" ca="1" si="63"/>
        <v>-0.14923403609576658</v>
      </c>
      <c r="D496" s="6">
        <f t="shared" ca="1" si="63"/>
        <v>0.87403333169152497</v>
      </c>
      <c r="E496" s="8">
        <f t="shared" ca="1" si="64"/>
        <v>-1.5758063452702635E-2</v>
      </c>
      <c r="F496" s="8">
        <f t="shared" ca="1" si="65"/>
        <v>-2.9103177917886396E-2</v>
      </c>
      <c r="G496" s="8">
        <f t="shared" ca="1" si="66"/>
        <v>-1.6548813723031658E-2</v>
      </c>
      <c r="H496" s="10">
        <f t="shared" ca="1" si="67"/>
        <v>3952.7156171739466</v>
      </c>
      <c r="I496" s="10">
        <f t="shared" ca="1" si="68"/>
        <v>528.16787121266975</v>
      </c>
      <c r="J496" s="10">
        <f t="shared" ca="1" si="69"/>
        <v>2198.9968525153013</v>
      </c>
      <c r="K496" s="12">
        <f t="array" aca="1" ref="K496:L496" ca="1">Opt3Spd(H496:J496,$E$3:$G$3,$K$3:$M$3,$N$3:$P$3,$H$3,$I$3,$Q$3,$J$3)</f>
        <v>183.21900311061177</v>
      </c>
      <c r="L496" s="12">
        <f ca="1"/>
        <v>7.0406134587301494E-2</v>
      </c>
      <c r="M496" s="12">
        <f t="array" aca="1" ref="M496:N496" ca="1">Opt3Spd(H496:J496,$E$3:$G$3,$K$3:$M$3,$N$3:$P$3,$H$4,$I$3,$Q$3,$J$3)</f>
        <v>3.5087091205855625E-2</v>
      </c>
      <c r="N496" s="12">
        <f ca="1"/>
        <v>216.8864901151814</v>
      </c>
      <c r="O496" s="12">
        <f t="shared" ca="1" si="70"/>
        <v>0.10549322579315712</v>
      </c>
    </row>
    <row r="497" spans="2:15" x14ac:dyDescent="0.15">
      <c r="B497" s="6">
        <f t="shared" ca="1" si="63"/>
        <v>8.2629526775542736E-2</v>
      </c>
      <c r="C497" s="6">
        <f t="shared" ca="1" si="63"/>
        <v>-0.12342636495463988</v>
      </c>
      <c r="D497" s="6">
        <f t="shared" ca="1" si="63"/>
        <v>0.45415842105333504</v>
      </c>
      <c r="E497" s="8">
        <f t="shared" ca="1" si="64"/>
        <v>1.881342047466603E-3</v>
      </c>
      <c r="F497" s="8">
        <f t="shared" ca="1" si="65"/>
        <v>2.2763311659960357E-4</v>
      </c>
      <c r="G497" s="8">
        <f t="shared" ca="1" si="66"/>
        <v>7.5155456507236314E-3</v>
      </c>
      <c r="H497" s="10">
        <f t="shared" ca="1" si="67"/>
        <v>4023.5554696626259</v>
      </c>
      <c r="I497" s="10">
        <f t="shared" ca="1" si="68"/>
        <v>544.12383241543012</v>
      </c>
      <c r="J497" s="10">
        <f t="shared" ca="1" si="69"/>
        <v>2252.8047600750183</v>
      </c>
      <c r="K497" s="12">
        <f t="array" aca="1" ref="K497:L497" ca="1">Opt3Spd(H497:J497,$E$3:$G$3,$K$3:$M$3,$N$3:$P$3,$H$3,$I$3,$Q$3,$J$3)</f>
        <v>201.58594556541811</v>
      </c>
      <c r="L497" s="12">
        <f ca="1"/>
        <v>3.0987804989536016E-2</v>
      </c>
      <c r="M497" s="12">
        <f t="array" aca="1" ref="M497:N497" ca="1">Opt3Spd(H497:J497,$E$3:$G$3,$K$3:$M$3,$N$3:$P$3,$H$4,$I$3,$Q$3,$J$3)</f>
        <v>8.8306102340824921E-2</v>
      </c>
      <c r="N497" s="12">
        <f ca="1"/>
        <v>198.53334834191224</v>
      </c>
      <c r="O497" s="12">
        <f t="shared" ca="1" si="70"/>
        <v>0.11929390733036094</v>
      </c>
    </row>
    <row r="498" spans="2:15" x14ac:dyDescent="0.15">
      <c r="B498" s="6">
        <f t="shared" ca="1" si="63"/>
        <v>-0.22729658259356378</v>
      </c>
      <c r="C498" s="6">
        <f t="shared" ca="1" si="63"/>
        <v>0.28506419812061262</v>
      </c>
      <c r="D498" s="6">
        <f t="shared" ca="1" si="63"/>
        <v>0.37775987874578293</v>
      </c>
      <c r="E498" s="8">
        <f t="shared" ca="1" si="64"/>
        <v>-5.1751793186513538E-3</v>
      </c>
      <c r="F498" s="8">
        <f t="shared" ca="1" si="65"/>
        <v>-1.8780321414433995E-3</v>
      </c>
      <c r="G498" s="8">
        <f t="shared" ca="1" si="66"/>
        <v>-3.4986772111972146E-3</v>
      </c>
      <c r="H498" s="10">
        <f t="shared" ca="1" si="67"/>
        <v>3995.2164798562962</v>
      </c>
      <c r="I498" s="10">
        <f t="shared" ca="1" si="68"/>
        <v>542.97835051505479</v>
      </c>
      <c r="J498" s="10">
        <f t="shared" ca="1" si="69"/>
        <v>2228.1769577557629</v>
      </c>
      <c r="K498" s="12">
        <f t="array" aca="1" ref="K498:L498" ca="1">Opt3Spd(H498:J498,$E$3:$G$3,$K$3:$M$3,$N$3:$P$3,$H$3,$I$3,$Q$3,$J$3)</f>
        <v>187.42257186100483</v>
      </c>
      <c r="L498" s="12">
        <f ca="1"/>
        <v>5.9931706677616603E-2</v>
      </c>
      <c r="M498" s="12">
        <f t="array" aca="1" ref="M498:N498" ca="1">Opt3Spd(H498:J498,$E$3:$G$3,$K$3:$M$3,$N$3:$P$3,$H$4,$I$3,$Q$3,$J$3)</f>
        <v>4.4521203621105343E-2</v>
      </c>
      <c r="N498" s="12">
        <f ca="1"/>
        <v>212.68188104929391</v>
      </c>
      <c r="O498" s="12">
        <f t="shared" ca="1" si="70"/>
        <v>0.10445291029872195</v>
      </c>
    </row>
    <row r="499" spans="2:15" x14ac:dyDescent="0.15">
      <c r="B499" s="6">
        <f t="shared" ca="1" si="63"/>
        <v>0.53391007854311734</v>
      </c>
      <c r="C499" s="6">
        <f t="shared" ca="1" si="63"/>
        <v>0.45302224272094255</v>
      </c>
      <c r="D499" s="6">
        <f t="shared" ca="1" si="63"/>
        <v>-1.3509653683782343</v>
      </c>
      <c r="E499" s="8">
        <f t="shared" ca="1" si="64"/>
        <v>1.2156277780192643E-2</v>
      </c>
      <c r="F499" s="8">
        <f t="shared" ca="1" si="65"/>
        <v>3.0218903073930332E-2</v>
      </c>
      <c r="G499" s="8">
        <f t="shared" ca="1" si="66"/>
        <v>6.538190883981998E-3</v>
      </c>
      <c r="H499" s="10">
        <f t="shared" ca="1" si="67"/>
        <v>4064.8196115652536</v>
      </c>
      <c r="I499" s="10">
        <f t="shared" ca="1" si="68"/>
        <v>560.43908327221811</v>
      </c>
      <c r="J499" s="10">
        <f t="shared" ca="1" si="69"/>
        <v>2250.6193948165833</v>
      </c>
      <c r="K499" s="12">
        <f t="array" aca="1" ref="K499:L499" ca="1">Opt3Spd(H499:J499,$E$3:$G$3,$K$3:$M$3,$N$3:$P$3,$H$3,$I$3,$Q$3,$J$3)</f>
        <v>217.82115947846887</v>
      </c>
      <c r="L499" s="12">
        <f ca="1"/>
        <v>1.3778557055729834E-2</v>
      </c>
      <c r="M499" s="12">
        <f t="array" aca="1" ref="M499:N499" ca="1">Opt3Spd(H499:J499,$E$3:$G$3,$K$3:$M$3,$N$3:$P$3,$H$4,$I$3,$Q$3,$J$3)</f>
        <v>0.18054982963024457</v>
      </c>
      <c r="N499" s="12">
        <f ca="1"/>
        <v>182.37316890821711</v>
      </c>
      <c r="O499" s="12">
        <f t="shared" ca="1" si="70"/>
        <v>0.19432838668597441</v>
      </c>
    </row>
    <row r="500" spans="2:15" x14ac:dyDescent="0.15">
      <c r="B500" s="6">
        <f t="shared" ca="1" si="63"/>
        <v>-0.82633200279967434</v>
      </c>
      <c r="C500" s="6">
        <f t="shared" ca="1" si="63"/>
        <v>1.8849550852481844</v>
      </c>
      <c r="D500" s="6">
        <f t="shared" ca="1" si="63"/>
        <v>0.54622719149188403</v>
      </c>
      <c r="E500" s="8">
        <f t="shared" ca="1" si="64"/>
        <v>-1.8814256872816355E-2</v>
      </c>
      <c r="F500" s="8">
        <f t="shared" ca="1" si="65"/>
        <v>1.2680724399974065E-2</v>
      </c>
      <c r="G500" s="8">
        <f t="shared" ca="1" si="66"/>
        <v>-1.906713626781905E-2</v>
      </c>
      <c r="H500" s="10">
        <f t="shared" ca="1" si="67"/>
        <v>3940.4419443987695</v>
      </c>
      <c r="I500" s="10">
        <f t="shared" ca="1" si="68"/>
        <v>550.89831407358588</v>
      </c>
      <c r="J500" s="10">
        <f t="shared" ca="1" si="69"/>
        <v>2193.3658833051563</v>
      </c>
      <c r="K500" s="12">
        <f t="array" aca="1" ref="K500:L500" ca="1">Opt3Spd(H500:J500,$E$3:$G$3,$K$3:$M$3,$N$3:$P$3,$H$3,$I$3,$Q$3,$J$3)</f>
        <v>137.83258829075203</v>
      </c>
      <c r="L500" s="12">
        <f ca="1"/>
        <v>0.51088806229813599</v>
      </c>
      <c r="M500" s="12">
        <f t="array" aca="1" ref="M500:N500" ca="1">Opt3Spd(H500:J500,$E$3:$G$3,$K$3:$M$3,$N$3:$P$3,$H$4,$I$3,$Q$3,$J$3)</f>
        <v>2.9957254784505616E-3</v>
      </c>
      <c r="N500" s="12">
        <f ca="1"/>
        <v>262.68129549702456</v>
      </c>
      <c r="O500" s="12">
        <f t="shared" ca="1" si="70"/>
        <v>0.5138837877765865</v>
      </c>
    </row>
    <row r="501" spans="2:15" x14ac:dyDescent="0.15">
      <c r="B501" s="6">
        <f t="shared" ca="1" si="63"/>
        <v>1.7799546464039968</v>
      </c>
      <c r="C501" s="6">
        <f t="shared" ca="1" si="63"/>
        <v>0.45413032379895352</v>
      </c>
      <c r="D501" s="6">
        <f t="shared" ca="1" si="63"/>
        <v>-0.58083113537228959</v>
      </c>
      <c r="E501" s="8">
        <f t="shared" ca="1" si="64"/>
        <v>4.0526717863941117E-2</v>
      </c>
      <c r="F501" s="8">
        <f t="shared" ca="1" si="65"/>
        <v>7.6464551495711755E-2</v>
      </c>
      <c r="G501" s="8">
        <f t="shared" ca="1" si="66"/>
        <v>6.0523340555659159E-2</v>
      </c>
      <c r="H501" s="10">
        <f t="shared" ca="1" si="67"/>
        <v>4178.7552989415872</v>
      </c>
      <c r="I501" s="10">
        <f t="shared" ca="1" si="68"/>
        <v>585.59671601366722</v>
      </c>
      <c r="J501" s="10">
        <f t="shared" ca="1" si="69"/>
        <v>2371.330189482454</v>
      </c>
      <c r="K501" s="12">
        <f t="array" aca="1" ref="K501:L501" ca="1">Opt3Spd(H501:J501,$E$3:$G$3,$K$3:$M$3,$N$3:$P$3,$H$3,$I$3,$Q$3,$J$3)</f>
        <v>231.14368509363135</v>
      </c>
      <c r="L501" s="12">
        <f ca="1"/>
        <v>8.2265151384035562E-3</v>
      </c>
      <c r="M501" s="12">
        <f t="array" aca="1" ref="M501:N501" ca="1">Opt3Spd(H501:J501,$E$3:$G$3,$K$3:$M$3,$N$3:$P$3,$H$4,$I$3,$Q$3,$J$3)</f>
        <v>0.34046904306027059</v>
      </c>
      <c r="N501" s="12">
        <f ca="1"/>
        <v>169.20501046456732</v>
      </c>
      <c r="O501" s="12">
        <f t="shared" ca="1" si="70"/>
        <v>0.34869555819867415</v>
      </c>
    </row>
    <row r="502" spans="2:15" x14ac:dyDescent="0.15">
      <c r="B502" s="6">
        <f t="shared" ca="1" si="63"/>
        <v>0.31280071029111234</v>
      </c>
      <c r="C502" s="6">
        <f t="shared" ca="1" si="63"/>
        <v>-1.3199847015158794</v>
      </c>
      <c r="D502" s="6">
        <f t="shared" ca="1" si="63"/>
        <v>8.481528221550938E-2</v>
      </c>
      <c r="E502" s="8">
        <f t="shared" ca="1" si="64"/>
        <v>7.121971427316378E-3</v>
      </c>
      <c r="F502" s="8">
        <f t="shared" ca="1" si="65"/>
        <v>-1.8741586063606853E-2</v>
      </c>
      <c r="G502" s="8">
        <f t="shared" ca="1" si="66"/>
        <v>8.5634540608326183E-3</v>
      </c>
      <c r="H502" s="10">
        <f t="shared" ca="1" si="67"/>
        <v>4044.6018372521021</v>
      </c>
      <c r="I502" s="10">
        <f t="shared" ca="1" si="68"/>
        <v>533.80457718139792</v>
      </c>
      <c r="J502" s="10">
        <f t="shared" ca="1" si="69"/>
        <v>2255.1478832800217</v>
      </c>
      <c r="K502" s="12">
        <f t="array" aca="1" ref="K502:L502" ca="1">Opt3Spd(H502:J502,$E$3:$G$3,$K$3:$M$3,$N$3:$P$3,$H$3,$I$3,$Q$3,$J$3)</f>
        <v>237.94516551608081</v>
      </c>
      <c r="L502" s="12">
        <f ca="1"/>
        <v>4.5933942262763594E-3</v>
      </c>
      <c r="M502" s="12">
        <f t="array" aca="1" ref="M502:N502" ca="1">Opt3Spd(H502:J502,$E$3:$G$3,$K$3:$M$3,$N$3:$P$3,$H$4,$I$3,$Q$3,$J$3)</f>
        <v>0.40682807216312256</v>
      </c>
      <c r="N502" s="12">
        <f ca="1"/>
        <v>162.46625595030861</v>
      </c>
      <c r="O502" s="12">
        <f t="shared" ca="1" si="70"/>
        <v>0.41142146638939892</v>
      </c>
    </row>
    <row r="503" spans="2:15" x14ac:dyDescent="0.15">
      <c r="B503" s="6">
        <f t="shared" ca="1" si="63"/>
        <v>0.21290107057313518</v>
      </c>
      <c r="C503" s="6">
        <f t="shared" ca="1" si="63"/>
        <v>1.8012317991393929</v>
      </c>
      <c r="D503" s="6">
        <f t="shared" ca="1" si="63"/>
        <v>-0.64616659695664247</v>
      </c>
      <c r="E503" s="8">
        <f t="shared" ca="1" si="64"/>
        <v>4.8474165549553701E-3</v>
      </c>
      <c r="F503" s="8">
        <f t="shared" ca="1" si="65"/>
        <v>4.9304861504165076E-2</v>
      </c>
      <c r="G503" s="8">
        <f t="shared" ca="1" si="66"/>
        <v>6.1669146976725663E-3</v>
      </c>
      <c r="H503" s="10">
        <f t="shared" ca="1" si="67"/>
        <v>4035.467224884701</v>
      </c>
      <c r="I503" s="10">
        <f t="shared" ca="1" si="68"/>
        <v>570.82184465826583</v>
      </c>
      <c r="J503" s="10">
        <f t="shared" ca="1" si="69"/>
        <v>2249.7892212639958</v>
      </c>
      <c r="K503" s="12">
        <f t="array" aca="1" ref="K503:L503" ca="1">Opt3Spd(H503:J503,$E$3:$G$3,$K$3:$M$3,$N$3:$P$3,$H$3,$I$3,$Q$3,$J$3)</f>
        <v>172.38267085131065</v>
      </c>
      <c r="L503" s="12">
        <f ca="1"/>
        <v>0.12500805183276498</v>
      </c>
      <c r="M503" s="12">
        <f t="array" aca="1" ref="M503:N503" ca="1">Opt3Spd(H503:J503,$E$3:$G$3,$K$3:$M$3,$N$3:$P$3,$H$4,$I$3,$Q$3,$J$3)</f>
        <v>2.1908331933124803E-2</v>
      </c>
      <c r="N503" s="12">
        <f ca="1"/>
        <v>227.76424553245525</v>
      </c>
      <c r="O503" s="12">
        <f t="shared" ca="1" si="70"/>
        <v>0.14691638376588978</v>
      </c>
    </row>
    <row r="504" spans="2:15" x14ac:dyDescent="0.15">
      <c r="B504" s="6">
        <f t="shared" ca="1" si="63"/>
        <v>-0.29340103614712915</v>
      </c>
      <c r="C504" s="6">
        <f t="shared" ca="1" si="63"/>
        <v>0.6143258598218263</v>
      </c>
      <c r="D504" s="6">
        <f t="shared" ca="1" si="63"/>
        <v>-0.16181368215872571</v>
      </c>
      <c r="E504" s="8">
        <f t="shared" ca="1" si="64"/>
        <v>-6.680271902963917E-3</v>
      </c>
      <c r="F504" s="8">
        <f t="shared" ca="1" si="65"/>
        <v>3.2391519528648513E-3</v>
      </c>
      <c r="G504" s="8">
        <f t="shared" ca="1" si="66"/>
        <v>-1.071951679960351E-2</v>
      </c>
      <c r="H504" s="10">
        <f t="shared" ca="1" si="67"/>
        <v>3989.1720280376967</v>
      </c>
      <c r="I504" s="10">
        <f t="shared" ca="1" si="68"/>
        <v>545.76209866235854</v>
      </c>
      <c r="J504" s="10">
        <f t="shared" ca="1" si="69"/>
        <v>2212.0311604360868</v>
      </c>
      <c r="K504" s="12">
        <f t="array" aca="1" ref="K504:L504" ca="1">Opt3Spd(H504:J504,$E$3:$G$3,$K$3:$M$3,$N$3:$P$3,$H$3,$I$3,$Q$3,$J$3)</f>
        <v>185.00338074738966</v>
      </c>
      <c r="L504" s="12">
        <f ca="1"/>
        <v>6.629078750984263E-2</v>
      </c>
      <c r="M504" s="12">
        <f t="array" aca="1" ref="M504:N504" ca="1">Opt3Spd(H504:J504,$E$3:$G$3,$K$3:$M$3,$N$3:$P$3,$H$4,$I$3,$Q$3,$J$3)</f>
        <v>3.9030860104335652E-2</v>
      </c>
      <c r="N504" s="12">
        <f ca="1"/>
        <v>215.10194090022452</v>
      </c>
      <c r="O504" s="12">
        <f t="shared" ca="1" si="70"/>
        <v>0.10532164761417828</v>
      </c>
    </row>
    <row r="505" spans="2:15" x14ac:dyDescent="0.15">
      <c r="B505" s="6">
        <f t="shared" ca="1" si="63"/>
        <v>-0.50150228605046043</v>
      </c>
      <c r="C505" s="6">
        <f t="shared" ca="1" si="63"/>
        <v>1.6832961331204963E-2</v>
      </c>
      <c r="D505" s="6">
        <f t="shared" ca="1" si="63"/>
        <v>0.49879774489016054</v>
      </c>
      <c r="E505" s="8">
        <f t="shared" ca="1" si="64"/>
        <v>-1.141840422504535E-2</v>
      </c>
      <c r="F505" s="8">
        <f t="shared" ca="1" si="65"/>
        <v>-1.821551906682629E-2</v>
      </c>
      <c r="G505" s="8">
        <f t="shared" ca="1" si="66"/>
        <v>-1.3061793340786849E-2</v>
      </c>
      <c r="H505" s="10">
        <f t="shared" ca="1" si="67"/>
        <v>3970.1436886322176</v>
      </c>
      <c r="I505" s="10">
        <f t="shared" ca="1" si="68"/>
        <v>534.09075762764655</v>
      </c>
      <c r="J505" s="10">
        <f t="shared" ca="1" si="69"/>
        <v>2206.7938300900005</v>
      </c>
      <c r="K505" s="12">
        <f t="array" aca="1" ref="K505:L505" ca="1">Opt3Spd(H505:J505,$E$3:$G$3,$K$3:$M$3,$N$3:$P$3,$H$3,$I$3,$Q$3,$J$3)</f>
        <v>187.26036676944</v>
      </c>
      <c r="L505" s="12">
        <f ca="1"/>
        <v>5.8805386457379427E-2</v>
      </c>
      <c r="M505" s="12">
        <f t="array" aca="1" ref="M505:N505" ca="1">Opt3Spd(H505:J505,$E$3:$G$3,$K$3:$M$3,$N$3:$P$3,$H$4,$I$3,$Q$3,$J$3)</f>
        <v>4.3159828450190396E-2</v>
      </c>
      <c r="N505" s="12">
        <f ca="1"/>
        <v>212.84159844546758</v>
      </c>
      <c r="O505" s="12">
        <f t="shared" ca="1" si="70"/>
        <v>0.10196521490756982</v>
      </c>
    </row>
    <row r="506" spans="2:15" x14ac:dyDescent="0.15">
      <c r="B506" s="6">
        <f t="shared" ca="1" si="63"/>
        <v>1.4002592726273533</v>
      </c>
      <c r="C506" s="6">
        <f t="shared" ca="1" si="63"/>
        <v>-0.17323887430877269</v>
      </c>
      <c r="D506" s="6">
        <f t="shared" ca="1" si="63"/>
        <v>-0.53765157446082346</v>
      </c>
      <c r="E506" s="8">
        <f t="shared" ca="1" si="64"/>
        <v>3.1881662037166345E-2</v>
      </c>
      <c r="F506" s="8">
        <f t="shared" ca="1" si="65"/>
        <v>4.7958039705147233E-2</v>
      </c>
      <c r="G506" s="8">
        <f t="shared" ca="1" si="66"/>
        <v>4.5212709680467901E-2</v>
      </c>
      <c r="H506" s="10">
        <f t="shared" ca="1" si="67"/>
        <v>4144.0367547412598</v>
      </c>
      <c r="I506" s="10">
        <f t="shared" ca="1" si="68"/>
        <v>570.08917359960014</v>
      </c>
      <c r="J506" s="10">
        <f t="shared" ca="1" si="69"/>
        <v>2337.0956188455266</v>
      </c>
      <c r="K506" s="12">
        <f t="array" aca="1" ref="K506:L506" ca="1">Opt3Spd(H506:J506,$E$3:$G$3,$K$3:$M$3,$N$3:$P$3,$H$3,$I$3,$Q$3,$J$3)</f>
        <v>238.35149177972949</v>
      </c>
      <c r="L506" s="12">
        <f ca="1"/>
        <v>5.2242205931634089E-3</v>
      </c>
      <c r="M506" s="12">
        <f t="array" aca="1" ref="M506:N506" ca="1">Opt3Spd(H506:J506,$E$3:$G$3,$K$3:$M$3,$N$3:$P$3,$H$4,$I$3,$Q$3,$J$3)</f>
        <v>0.43779131764941326</v>
      </c>
      <c r="N506" s="12">
        <f ca="1"/>
        <v>162.09152375851309</v>
      </c>
      <c r="O506" s="12">
        <f t="shared" ca="1" si="70"/>
        <v>0.44301553824257667</v>
      </c>
    </row>
    <row r="507" spans="2:15" x14ac:dyDescent="0.15">
      <c r="B507" s="6">
        <f t="shared" ca="1" si="63"/>
        <v>0.53130689542237608</v>
      </c>
      <c r="C507" s="6">
        <f t="shared" ca="1" si="63"/>
        <v>-1.5368362750366733</v>
      </c>
      <c r="D507" s="6">
        <f t="shared" ca="1" si="63"/>
        <v>-1.3955089047816442</v>
      </c>
      <c r="E507" s="8">
        <f t="shared" ca="1" si="64"/>
        <v>1.2097007467830699E-2</v>
      </c>
      <c r="F507" s="8">
        <f t="shared" ca="1" si="65"/>
        <v>-1.5621514955058183E-2</v>
      </c>
      <c r="G507" s="8">
        <f t="shared" ca="1" si="66"/>
        <v>1.9152809768648173E-4</v>
      </c>
      <c r="H507" s="10">
        <f t="shared" ca="1" si="67"/>
        <v>4064.5815819908075</v>
      </c>
      <c r="I507" s="10">
        <f t="shared" ca="1" si="68"/>
        <v>535.50189586444833</v>
      </c>
      <c r="J507" s="10">
        <f t="shared" ca="1" si="69"/>
        <v>2236.4282568264271</v>
      </c>
      <c r="K507" s="12">
        <f t="array" aca="1" ref="K507:L507" ca="1">Opt3Spd(H507:J507,$E$3:$G$3,$K$3:$M$3,$N$3:$P$3,$H$3,$I$3,$Q$3,$J$3)</f>
        <v>264.56538783785004</v>
      </c>
      <c r="L507" s="12">
        <f ca="1"/>
        <v>9.6764337354215968E-4</v>
      </c>
      <c r="M507" s="12">
        <f t="array" aca="1" ref="M507:N507" ca="1">Opt3Spd(H507:J507,$E$3:$G$3,$K$3:$M$3,$N$3:$P$3,$H$4,$I$3,$Q$3,$J$3)</f>
        <v>1.068143460231795</v>
      </c>
      <c r="N507" s="12">
        <f ca="1"/>
        <v>136.5037232657553</v>
      </c>
      <c r="O507" s="12">
        <f t="shared" ca="1" si="70"/>
        <v>1.0691111036053371</v>
      </c>
    </row>
    <row r="508" spans="2:15" x14ac:dyDescent="0.15">
      <c r="B508" s="6">
        <f t="shared" ca="1" si="63"/>
        <v>-0.47694065050838103</v>
      </c>
      <c r="C508" s="6">
        <f t="shared" ca="1" si="63"/>
        <v>-0.43298295368472145</v>
      </c>
      <c r="D508" s="6">
        <f t="shared" ca="1" si="63"/>
        <v>0.77078145896224681</v>
      </c>
      <c r="E508" s="8">
        <f t="shared" ca="1" si="64"/>
        <v>-1.0859175103167562E-2</v>
      </c>
      <c r="F508" s="8">
        <f t="shared" ca="1" si="65"/>
        <v>-2.764503349090958E-2</v>
      </c>
      <c r="G508" s="8">
        <f t="shared" ca="1" si="66"/>
        <v>-1.0567784005848808E-2</v>
      </c>
      <c r="H508" s="10">
        <f t="shared" ca="1" si="67"/>
        <v>3972.3895527856789</v>
      </c>
      <c r="I508" s="10">
        <f t="shared" ca="1" si="68"/>
        <v>528.96110178094511</v>
      </c>
      <c r="J508" s="10">
        <f t="shared" ca="1" si="69"/>
        <v>2212.370434962922</v>
      </c>
      <c r="K508" s="12">
        <f t="array" aca="1" ref="K508:L508" ca="1">Opt3Spd(H508:J508,$E$3:$G$3,$K$3:$M$3,$N$3:$P$3,$H$3,$I$3,$Q$3,$J$3)</f>
        <v>194.90736555935155</v>
      </c>
      <c r="L508" s="12">
        <f ca="1"/>
        <v>4.0793104645899803E-2</v>
      </c>
      <c r="M508" s="12">
        <f t="array" aca="1" ref="M508:N508" ca="1">Opt3Spd(H508:J508,$E$3:$G$3,$K$3:$M$3,$N$3:$P$3,$H$4,$I$3,$Q$3,$J$3)</f>
        <v>6.2401831165778354E-2</v>
      </c>
      <c r="N508" s="12">
        <f ca="1"/>
        <v>205.19582937646013</v>
      </c>
      <c r="O508" s="12">
        <f t="shared" ca="1" si="70"/>
        <v>0.10319493581167816</v>
      </c>
    </row>
    <row r="509" spans="2:15" x14ac:dyDescent="0.15">
      <c r="B509" s="6">
        <f t="shared" ca="1" si="63"/>
        <v>-0.31275249761458201</v>
      </c>
      <c r="C509" s="6">
        <f t="shared" ca="1" si="63"/>
        <v>-0.78060099139523476</v>
      </c>
      <c r="D509" s="6">
        <f t="shared" ca="1" si="63"/>
        <v>1.9385274303386411</v>
      </c>
      <c r="E509" s="8">
        <f t="shared" ca="1" si="64"/>
        <v>-7.1208737018528898E-3</v>
      </c>
      <c r="F509" s="8">
        <f t="shared" ca="1" si="65"/>
        <v>-2.9545933717940689E-2</v>
      </c>
      <c r="G509" s="8">
        <f t="shared" ca="1" si="66"/>
        <v>6.8951580126829183E-3</v>
      </c>
      <c r="H509" s="10">
        <f t="shared" ca="1" si="67"/>
        <v>3987.4025712133589</v>
      </c>
      <c r="I509" s="10">
        <f t="shared" ca="1" si="68"/>
        <v>527.92701205744027</v>
      </c>
      <c r="J509" s="10">
        <f t="shared" ca="1" si="69"/>
        <v>2251.4175733163588</v>
      </c>
      <c r="K509" s="12">
        <f t="array" aca="1" ref="K509:L509" ca="1">Opt3Spd(H509:J509,$E$3:$G$3,$K$3:$M$3,$N$3:$P$3,$H$3,$I$3,$Q$3,$J$3)</f>
        <v>192.05923211278036</v>
      </c>
      <c r="L509" s="12">
        <f ca="1"/>
        <v>4.8666849505480059E-2</v>
      </c>
      <c r="M509" s="12">
        <f t="array" aca="1" ref="M509:N509" ca="1">Opt3Spd(H509:J509,$E$3:$G$3,$K$3:$M$3,$N$3:$P$3,$H$4,$I$3,$Q$3,$J$3)</f>
        <v>5.6478939503464609E-2</v>
      </c>
      <c r="N509" s="12">
        <f ca="1"/>
        <v>208.04591367622859</v>
      </c>
      <c r="O509" s="12">
        <f t="shared" ca="1" si="70"/>
        <v>0.10514578900894467</v>
      </c>
    </row>
    <row r="510" spans="2:15" x14ac:dyDescent="0.15">
      <c r="B510" s="6">
        <f t="shared" ca="1" si="63"/>
        <v>-1.297186141290138</v>
      </c>
      <c r="C510" s="6">
        <f t="shared" ca="1" si="63"/>
        <v>1.8254339551615599</v>
      </c>
      <c r="D510" s="6">
        <f t="shared" ca="1" si="63"/>
        <v>-0.34704113593130032</v>
      </c>
      <c r="E510" s="8">
        <f t="shared" ca="1" si="64"/>
        <v>-2.9534851840909149E-2</v>
      </c>
      <c r="F510" s="8">
        <f t="shared" ca="1" si="65"/>
        <v>-6.153212896664614E-3</v>
      </c>
      <c r="G510" s="8">
        <f t="shared" ca="1" si="66"/>
        <v>-4.6054375777980161E-2</v>
      </c>
      <c r="H510" s="10">
        <f t="shared" ca="1" si="67"/>
        <v>3897.3880350069089</v>
      </c>
      <c r="I510" s="10">
        <f t="shared" ca="1" si="68"/>
        <v>540.6526521842145</v>
      </c>
      <c r="J510" s="10">
        <f t="shared" ca="1" si="69"/>
        <v>2133.0224157604366</v>
      </c>
      <c r="K510" s="12">
        <f t="array" aca="1" ref="K510:L510" ca="1">Opt3Spd(H510:J510,$E$3:$G$3,$K$3:$M$3,$N$3:$P$3,$H$3,$I$3,$Q$3,$J$3)</f>
        <v>141.25759697828516</v>
      </c>
      <c r="L510" s="12">
        <f ca="1"/>
        <v>0.42501334633766419</v>
      </c>
      <c r="M510" s="12">
        <f t="array" aca="1" ref="M510:N510" ca="1">Opt3Spd(H510:J510,$E$3:$G$3,$K$3:$M$3,$N$3:$P$3,$H$4,$I$3,$Q$3,$J$3)</f>
        <v>3.3584011321013407E-3</v>
      </c>
      <c r="N510" s="12">
        <f ca="1"/>
        <v>259.17077476918462</v>
      </c>
      <c r="O510" s="12">
        <f t="shared" ca="1" si="70"/>
        <v>0.42837174746976553</v>
      </c>
    </row>
    <row r="511" spans="2:15" x14ac:dyDescent="0.15">
      <c r="B511" s="6">
        <f t="shared" ca="1" si="63"/>
        <v>-0.97494564431415254</v>
      </c>
      <c r="C511" s="6">
        <f t="shared" ca="1" si="63"/>
        <v>-1.6040839874033554</v>
      </c>
      <c r="D511" s="6">
        <f t="shared" ca="1" si="63"/>
        <v>-4.0765629152565729E-2</v>
      </c>
      <c r="E511" s="8">
        <f t="shared" ca="1" si="64"/>
        <v>-2.2197951582430403E-2</v>
      </c>
      <c r="F511" s="8">
        <f t="shared" ca="1" si="65"/>
        <v>-7.303964291674947E-2</v>
      </c>
      <c r="G511" s="8">
        <f t="shared" ca="1" si="66"/>
        <v>-4.090880508534548E-2</v>
      </c>
      <c r="H511" s="10">
        <f t="shared" ca="1" si="67"/>
        <v>3926.8530264449596</v>
      </c>
      <c r="I511" s="10">
        <f t="shared" ca="1" si="68"/>
        <v>504.26643425328831</v>
      </c>
      <c r="J511" s="10">
        <f t="shared" ca="1" si="69"/>
        <v>2144.5279118291678</v>
      </c>
      <c r="K511" s="12">
        <f t="array" aca="1" ref="K511:L511" ca="1">Opt3Spd(H511:J511,$E$3:$G$3,$K$3:$M$3,$N$3:$P$3,$H$3,$I$3,$Q$3,$J$3)</f>
        <v>222.77171918514136</v>
      </c>
      <c r="L511" s="12">
        <f ca="1"/>
        <v>8.9434600267850328E-3</v>
      </c>
      <c r="M511" s="12">
        <f t="array" aca="1" ref="M511:N511" ca="1">Opt3Spd(H511:J511,$E$3:$G$3,$K$3:$M$3,$N$3:$P$3,$H$4,$I$3,$Q$3,$J$3)</f>
        <v>0.20443542540662563</v>
      </c>
      <c r="N511" s="12">
        <f ca="1"/>
        <v>177.44165970029204</v>
      </c>
      <c r="O511" s="12">
        <f t="shared" ca="1" si="70"/>
        <v>0.21337888543341066</v>
      </c>
    </row>
    <row r="512" spans="2:15" x14ac:dyDescent="0.15">
      <c r="B512" s="6">
        <f t="shared" ref="B512:D575" ca="1" si="71">NORMINV(RAND(),0,1)</f>
        <v>-0.59906558935540866</v>
      </c>
      <c r="C512" s="6">
        <f t="shared" ca="1" si="71"/>
        <v>0.94340521125110832</v>
      </c>
      <c r="D512" s="6">
        <f t="shared" ca="1" si="71"/>
        <v>-0.68362197220486021</v>
      </c>
      <c r="E512" s="8">
        <f t="shared" ca="1" si="64"/>
        <v>-1.3639764457398333E-2</v>
      </c>
      <c r="F512" s="8">
        <f t="shared" ca="1" si="65"/>
        <v>-5.3398160997898366E-4</v>
      </c>
      <c r="G512" s="8">
        <f t="shared" ca="1" si="66"/>
        <v>-2.6552679717183964E-2</v>
      </c>
      <c r="H512" s="10">
        <f t="shared" ca="1" si="67"/>
        <v>3961.2227059390884</v>
      </c>
      <c r="I512" s="10">
        <f t="shared" ca="1" si="68"/>
        <v>543.70951400417141</v>
      </c>
      <c r="J512" s="10">
        <f t="shared" ca="1" si="69"/>
        <v>2176.6282081523764</v>
      </c>
      <c r="K512" s="12">
        <f t="array" aca="1" ref="K512:L512" ca="1">Opt3Spd(H512:J512,$E$3:$G$3,$K$3:$M$3,$N$3:$P$3,$H$3,$I$3,$Q$3,$J$3)</f>
        <v>178.06195384083844</v>
      </c>
      <c r="L512" s="12">
        <f ca="1"/>
        <v>8.8574384612456925E-2</v>
      </c>
      <c r="M512" s="12">
        <f t="array" aca="1" ref="M512:N512" ca="1">Opt3Spd(H512:J512,$E$3:$G$3,$K$3:$M$3,$N$3:$P$3,$H$4,$I$3,$Q$3,$J$3)</f>
        <v>2.6669410751540834E-2</v>
      </c>
      <c r="N512" s="12">
        <f ca="1"/>
        <v>222.05328995452555</v>
      </c>
      <c r="O512" s="12">
        <f t="shared" ca="1" si="70"/>
        <v>0.11524379536399776</v>
      </c>
    </row>
    <row r="513" spans="2:15" x14ac:dyDescent="0.15">
      <c r="B513" s="6">
        <f t="shared" ca="1" si="71"/>
        <v>-0.55460308827609606</v>
      </c>
      <c r="C513" s="6">
        <f t="shared" ca="1" si="71"/>
        <v>0.77360354888253402</v>
      </c>
      <c r="D513" s="6">
        <f t="shared" ca="1" si="71"/>
        <v>-1.4923726082084903</v>
      </c>
      <c r="E513" s="8">
        <f t="shared" ca="1" si="64"/>
        <v>-1.2627424485474409E-2</v>
      </c>
      <c r="F513" s="8">
        <f t="shared" ca="1" si="65"/>
        <v>-2.7881960993222077E-3</v>
      </c>
      <c r="G513" s="8">
        <f t="shared" ca="1" si="66"/>
        <v>-3.4027793519640664E-2</v>
      </c>
      <c r="H513" s="10">
        <f t="shared" ca="1" si="67"/>
        <v>3965.288263266335</v>
      </c>
      <c r="I513" s="10">
        <f t="shared" ca="1" si="68"/>
        <v>542.4832213219687</v>
      </c>
      <c r="J513" s="10">
        <f t="shared" ca="1" si="69"/>
        <v>2159.9138536900832</v>
      </c>
      <c r="K513" s="12">
        <f t="array" aca="1" ref="K513:L513" ca="1">Opt3Spd(H513:J513,$E$3:$G$3,$K$3:$M$3,$N$3:$P$3,$H$3,$I$3,$Q$3,$J$3)</f>
        <v>192.40227095866294</v>
      </c>
      <c r="L513" s="12">
        <f ca="1"/>
        <v>4.4088652519576499E-2</v>
      </c>
      <c r="M513" s="12">
        <f t="array" aca="1" ref="M513:N513" ca="1">Opt3Spd(H513:J513,$E$3:$G$3,$K$3:$M$3,$N$3:$P$3,$H$4,$I$3,$Q$3,$J$3)</f>
        <v>5.3092998152586723E-2</v>
      </c>
      <c r="N513" s="12">
        <f ca="1"/>
        <v>207.69491069200922</v>
      </c>
      <c r="O513" s="12">
        <f t="shared" ca="1" si="70"/>
        <v>9.7181650672163222E-2</v>
      </c>
    </row>
    <row r="514" spans="2:15" x14ac:dyDescent="0.15">
      <c r="B514" s="6">
        <f t="shared" ca="1" si="71"/>
        <v>1.6936179447356965</v>
      </c>
      <c r="C514" s="6">
        <f t="shared" ca="1" si="71"/>
        <v>-6.1086767501442082E-2</v>
      </c>
      <c r="D514" s="6">
        <f t="shared" ca="1" si="71"/>
        <v>2.6972158638404533</v>
      </c>
      <c r="E514" s="8">
        <f t="shared" ca="1" si="64"/>
        <v>3.8560969378785441E-2</v>
      </c>
      <c r="F514" s="8">
        <f t="shared" ca="1" si="65"/>
        <v>6.1417952967276715E-2</v>
      </c>
      <c r="G514" s="8">
        <f t="shared" ca="1" si="66"/>
        <v>9.077702325382897E-2</v>
      </c>
      <c r="H514" s="10">
        <f t="shared" ca="1" si="67"/>
        <v>4170.8608530252022</v>
      </c>
      <c r="I514" s="10">
        <f t="shared" ca="1" si="68"/>
        <v>577.41136641419848</v>
      </c>
      <c r="J514" s="10">
        <f t="shared" ca="1" si="69"/>
        <v>2438.9774239955614</v>
      </c>
      <c r="K514" s="12">
        <f t="array" aca="1" ref="K514:L514" ca="1">Opt3Spd(H514:J514,$E$3:$G$3,$K$3:$M$3,$N$3:$P$3,$H$3,$I$3,$Q$3,$J$3)</f>
        <v>202.55118451836461</v>
      </c>
      <c r="L514" s="12">
        <f ca="1"/>
        <v>3.7229753660540155E-2</v>
      </c>
      <c r="M514" s="12">
        <f t="array" aca="1" ref="M514:N514" ca="1">Opt3Spd(H514:J514,$E$3:$G$3,$K$3:$M$3,$N$3:$P$3,$H$4,$I$3,$Q$3,$J$3)</f>
        <v>0.1089866104933801</v>
      </c>
      <c r="N514" s="12">
        <f ca="1"/>
        <v>197.59503184578932</v>
      </c>
      <c r="O514" s="12">
        <f t="shared" ca="1" si="70"/>
        <v>0.14621636415392025</v>
      </c>
    </row>
    <row r="515" spans="2:15" x14ac:dyDescent="0.15">
      <c r="B515" s="6">
        <f t="shared" ca="1" si="71"/>
        <v>1.6441104111723612</v>
      </c>
      <c r="C515" s="6">
        <f t="shared" ca="1" si="71"/>
        <v>0.21807260407549364</v>
      </c>
      <c r="D515" s="6">
        <f t="shared" ca="1" si="71"/>
        <v>5.7590455534552616E-2</v>
      </c>
      <c r="E515" s="8">
        <f t="shared" ca="1" si="64"/>
        <v>3.7433762093524371E-2</v>
      </c>
      <c r="F515" s="8">
        <f t="shared" ca="1" si="65"/>
        <v>6.5998998842217188E-2</v>
      </c>
      <c r="G515" s="8">
        <f t="shared" ca="1" si="66"/>
        <v>6.1648515500090692E-2</v>
      </c>
      <c r="H515" s="10">
        <f t="shared" ca="1" si="67"/>
        <v>4166.3339885675941</v>
      </c>
      <c r="I515" s="10">
        <f t="shared" ca="1" si="68"/>
        <v>579.90345537016617</v>
      </c>
      <c r="J515" s="10">
        <f t="shared" ca="1" si="69"/>
        <v>2373.8460806582029</v>
      </c>
      <c r="K515" s="12">
        <f t="array" aca="1" ref="K515:L515" ca="1">Opt3Spd(H515:J515,$E$3:$G$3,$K$3:$M$3,$N$3:$P$3,$H$3,$I$3,$Q$3,$J$3)</f>
        <v>226.57582663421317</v>
      </c>
      <c r="L515" s="12">
        <f ca="1"/>
        <v>1.0406987986698368E-2</v>
      </c>
      <c r="M515" s="12">
        <f t="array" aca="1" ref="M515:N515" ca="1">Opt3Spd(H515:J515,$E$3:$G$3,$K$3:$M$3,$N$3:$P$3,$H$4,$I$3,$Q$3,$J$3)</f>
        <v>0.28398634868054629</v>
      </c>
      <c r="N515" s="12">
        <f ca="1"/>
        <v>173.71856670245407</v>
      </c>
      <c r="O515" s="12">
        <f t="shared" ca="1" si="70"/>
        <v>0.29439333666724465</v>
      </c>
    </row>
    <row r="516" spans="2:15" x14ac:dyDescent="0.15">
      <c r="B516" s="6">
        <f t="shared" ca="1" si="71"/>
        <v>1.6291474644248125</v>
      </c>
      <c r="C516" s="6">
        <f t="shared" ca="1" si="71"/>
        <v>-0.81677884420135394</v>
      </c>
      <c r="D516" s="6">
        <f t="shared" ca="1" si="71"/>
        <v>-0.63735467506438448</v>
      </c>
      <c r="E516" s="8">
        <f t="shared" ca="1" si="64"/>
        <v>3.7093079749467919E-2</v>
      </c>
      <c r="F516" s="8">
        <f t="shared" ca="1" si="65"/>
        <v>4.1654290981332692E-2</v>
      </c>
      <c r="G516" s="8">
        <f t="shared" ca="1" si="66"/>
        <v>5.0691369272108398E-2</v>
      </c>
      <c r="H516" s="10">
        <f t="shared" ca="1" si="67"/>
        <v>4164.9658082738633</v>
      </c>
      <c r="I516" s="10">
        <f t="shared" ca="1" si="68"/>
        <v>566.65993429384503</v>
      </c>
      <c r="J516" s="10">
        <f t="shared" ca="1" si="69"/>
        <v>2349.3459016924344</v>
      </c>
      <c r="K516" s="12">
        <f t="array" aca="1" ref="K516:L516" ca="1">Opt3Spd(H516:J516,$E$3:$G$3,$K$3:$M$3,$N$3:$P$3,$H$3,$I$3,$Q$3,$J$3)</f>
        <v>258.63866228458073</v>
      </c>
      <c r="L516" s="12">
        <f ca="1"/>
        <v>1.6997270868159831E-3</v>
      </c>
      <c r="M516" s="12">
        <f t="array" aca="1" ref="M516:N516" ca="1">Opt3Spd(H516:J516,$E$3:$G$3,$K$3:$M$3,$N$3:$P$3,$H$4,$I$3,$Q$3,$J$3)</f>
        <v>0.92278042996009901</v>
      </c>
      <c r="N516" s="12">
        <f ca="1"/>
        <v>142.28581787246617</v>
      </c>
      <c r="O516" s="12">
        <f t="shared" ca="1" si="70"/>
        <v>0.924480157046915</v>
      </c>
    </row>
    <row r="517" spans="2:15" x14ac:dyDescent="0.15">
      <c r="B517" s="6">
        <f t="shared" ca="1" si="71"/>
        <v>1.4542732481653237E-2</v>
      </c>
      <c r="C517" s="6">
        <f t="shared" ca="1" si="71"/>
        <v>-0.22267866826685043</v>
      </c>
      <c r="D517" s="6">
        <f t="shared" ca="1" si="71"/>
        <v>-0.31876601185622216</v>
      </c>
      <c r="E517" s="8">
        <f t="shared" ref="E517:E580" ca="1" si="72">B517*$U$3*$C$6</f>
        <v>3.3111473792066704E-4</v>
      </c>
      <c r="F517" s="8">
        <f t="shared" ref="F517:F580" ca="1" si="73">($N$3*B517+C517*SQRT(1-$N$3^2))*$V$3*$C$6</f>
        <v>-4.5796068310685993E-3</v>
      </c>
      <c r="G517" s="8">
        <f t="shared" ref="G517:G580" ca="1" si="74">(D517/$T$3+($P$3-$N$3*$O$3)*C517+$O$3*B517*SQRT(1/(1-$N$3^2)))*$W$3*$C$6</f>
        <v>-3.5079850085077439E-3</v>
      </c>
      <c r="H517" s="10">
        <f t="shared" ref="H517:H580" ca="1" si="75">B$3*(1+E517)</f>
        <v>4017.3297567874893</v>
      </c>
      <c r="I517" s="10">
        <f t="shared" ref="I517:I580" ca="1" si="76">C$3*(1+F517)</f>
        <v>541.50869388389867</v>
      </c>
      <c r="J517" s="10">
        <f t="shared" ref="J517:J580" ca="1" si="77">D$3*(1+G517)</f>
        <v>2228.1561455209767</v>
      </c>
      <c r="K517" s="12">
        <f t="array" aca="1" ref="K517:L517" ca="1">Opt3Spd(H517:J517,$E$3:$G$3,$K$3:$M$3,$N$3:$P$3,$H$3,$I$3,$Q$3,$J$3)</f>
        <v>211.85571209237719</v>
      </c>
      <c r="L517" s="12">
        <f ca="1"/>
        <v>1.7938279614327257E-2</v>
      </c>
      <c r="M517" s="12">
        <f t="array" aca="1" ref="M517:N517" ca="1">Opt3Spd(H517:J517,$E$3:$G$3,$K$3:$M$3,$N$3:$P$3,$H$4,$I$3,$Q$3,$J$3)</f>
        <v>0.13660341782403407</v>
      </c>
      <c r="N517" s="12">
        <f ca="1"/>
        <v>188.29882960506117</v>
      </c>
      <c r="O517" s="12">
        <f t="shared" ca="1" si="70"/>
        <v>0.15454169743836133</v>
      </c>
    </row>
    <row r="518" spans="2:15" x14ac:dyDescent="0.15">
      <c r="B518" s="6">
        <f t="shared" ca="1" si="71"/>
        <v>-0.70540812533661768</v>
      </c>
      <c r="C518" s="6">
        <f t="shared" ca="1" si="71"/>
        <v>1.8123253961094017</v>
      </c>
      <c r="D518" s="6">
        <f t="shared" ca="1" si="71"/>
        <v>0.16470884159467108</v>
      </c>
      <c r="E518" s="8">
        <f t="shared" ca="1" si="72"/>
        <v>-1.6061013763583345E-2</v>
      </c>
      <c r="F518" s="8">
        <f t="shared" ca="1" si="73"/>
        <v>1.5496568898914102E-2</v>
      </c>
      <c r="G518" s="8">
        <f t="shared" ca="1" si="74"/>
        <v>-1.8899767259368209E-2</v>
      </c>
      <c r="H518" s="10">
        <f t="shared" ca="1" si="75"/>
        <v>3951.4989687254492</v>
      </c>
      <c r="I518" s="10">
        <f t="shared" ca="1" si="76"/>
        <v>552.43013348100931</v>
      </c>
      <c r="J518" s="10">
        <f t="shared" ca="1" si="77"/>
        <v>2193.7401204080525</v>
      </c>
      <c r="K518" s="12">
        <f t="array" aca="1" ref="K518:L518" ca="1">Opt3Spd(H518:J518,$E$3:$G$3,$K$3:$M$3,$N$3:$P$3,$H$3,$I$3,$Q$3,$J$3)</f>
        <v>146.10599908019526</v>
      </c>
      <c r="L518" s="12">
        <f ca="1"/>
        <v>0.36530412838715165</v>
      </c>
      <c r="M518" s="12">
        <f t="array" aca="1" ref="M518:N518" ca="1">Opt3Spd(H518:J518,$E$3:$G$3,$K$3:$M$3,$N$3:$P$3,$H$4,$I$3,$Q$3,$J$3)</f>
        <v>4.8744815433998667E-3</v>
      </c>
      <c r="N518" s="12">
        <f ca="1"/>
        <v>254.26417952973529</v>
      </c>
      <c r="O518" s="12">
        <f t="shared" ca="1" si="70"/>
        <v>0.37017860993055152</v>
      </c>
    </row>
    <row r="519" spans="2:15" x14ac:dyDescent="0.15">
      <c r="B519" s="6">
        <f t="shared" ca="1" si="71"/>
        <v>-1.4161057696042432</v>
      </c>
      <c r="C519" s="6">
        <f t="shared" ca="1" si="71"/>
        <v>0.28595684758559059</v>
      </c>
      <c r="D519" s="6">
        <f t="shared" ca="1" si="71"/>
        <v>-0.89709858789473196</v>
      </c>
      <c r="E519" s="8">
        <f t="shared" ca="1" si="72"/>
        <v>-3.224246140551635E-2</v>
      </c>
      <c r="F519" s="8">
        <f t="shared" ca="1" si="73"/>
        <v>-4.595462520496963E-2</v>
      </c>
      <c r="G519" s="8">
        <f t="shared" ca="1" si="74"/>
        <v>-6.0752138711639106E-2</v>
      </c>
      <c r="H519" s="10">
        <f t="shared" ca="1" si="75"/>
        <v>3886.5142749954462</v>
      </c>
      <c r="I519" s="10">
        <f t="shared" ca="1" si="76"/>
        <v>519.0006838884965</v>
      </c>
      <c r="J519" s="10">
        <f t="shared" ca="1" si="77"/>
        <v>2100.1582178407748</v>
      </c>
      <c r="K519" s="12">
        <f t="array" aca="1" ref="K519:L519" ca="1">Opt3Spd(H519:J519,$E$3:$G$3,$K$3:$M$3,$N$3:$P$3,$H$3,$I$3,$Q$3,$J$3)</f>
        <v>181.10468367808699</v>
      </c>
      <c r="L519" s="12">
        <f ca="1"/>
        <v>7.0611824622801578E-2</v>
      </c>
      <c r="M519" s="12">
        <f t="array" aca="1" ref="M519:N519" ca="1">Opt3Spd(H519:J519,$E$3:$G$3,$K$3:$M$3,$N$3:$P$3,$H$4,$I$3,$Q$3,$J$3)</f>
        <v>2.8574226598409247E-2</v>
      </c>
      <c r="N519" s="12">
        <f ca="1"/>
        <v>218.99450237313422</v>
      </c>
      <c r="O519" s="12">
        <f t="shared" ca="1" si="70"/>
        <v>9.9186051221210825E-2</v>
      </c>
    </row>
    <row r="520" spans="2:15" x14ac:dyDescent="0.15">
      <c r="B520" s="6">
        <f t="shared" ca="1" si="71"/>
        <v>-0.27461927823451898</v>
      </c>
      <c r="C520" s="6">
        <f t="shared" ca="1" si="71"/>
        <v>1.4050557447688199</v>
      </c>
      <c r="D520" s="6">
        <f t="shared" ca="1" si="71"/>
        <v>-1.1463957390029147</v>
      </c>
      <c r="E520" s="8">
        <f t="shared" ca="1" si="72"/>
        <v>-6.2526413420106036E-3</v>
      </c>
      <c r="F520" s="8">
        <f t="shared" ca="1" si="73"/>
        <v>2.2113525094036121E-2</v>
      </c>
      <c r="G520" s="8">
        <f t="shared" ca="1" si="74"/>
        <v>-1.8222845908234545E-2</v>
      </c>
      <c r="H520" s="10">
        <f t="shared" ca="1" si="75"/>
        <v>3990.8893923704854</v>
      </c>
      <c r="I520" s="10">
        <f t="shared" ca="1" si="76"/>
        <v>556.02975765115559</v>
      </c>
      <c r="J520" s="10">
        <f t="shared" ca="1" si="77"/>
        <v>2195.2537165491876</v>
      </c>
      <c r="K520" s="12">
        <f t="array" aca="1" ref="K520:L520" ca="1">Opt3Spd(H520:J520,$E$3:$G$3,$K$3:$M$3,$N$3:$P$3,$H$3,$I$3,$Q$3,$J$3)</f>
        <v>178.70317913288022</v>
      </c>
      <c r="L520" s="12">
        <f ca="1"/>
        <v>8.8257278837545527E-2</v>
      </c>
      <c r="M520" s="12">
        <f t="array" aca="1" ref="M520:N520" ca="1">Opt3Spd(H520:J520,$E$3:$G$3,$K$3:$M$3,$N$3:$P$3,$H$4,$I$3,$Q$3,$J$3)</f>
        <v>2.8243670242568797E-2</v>
      </c>
      <c r="N520" s="12">
        <f ca="1"/>
        <v>221.4133218161999</v>
      </c>
      <c r="O520" s="12">
        <f t="shared" ca="1" si="70"/>
        <v>0.11650094908011432</v>
      </c>
    </row>
    <row r="521" spans="2:15" x14ac:dyDescent="0.15">
      <c r="B521" s="6">
        <f t="shared" ca="1" si="71"/>
        <v>-0.13155722817096444</v>
      </c>
      <c r="C521" s="6">
        <f t="shared" ca="1" si="71"/>
        <v>0.90327377324492653</v>
      </c>
      <c r="D521" s="6">
        <f t="shared" ca="1" si="71"/>
        <v>-0.26129370724561535</v>
      </c>
      <c r="E521" s="8">
        <f t="shared" ca="1" si="72"/>
        <v>-2.9953474824867482E-3</v>
      </c>
      <c r="F521" s="8">
        <f t="shared" ca="1" si="73"/>
        <v>1.5884986264478304E-2</v>
      </c>
      <c r="G521" s="8">
        <f t="shared" ca="1" si="74"/>
        <v>-4.9945972226893677E-3</v>
      </c>
      <c r="H521" s="10">
        <f t="shared" ca="1" si="75"/>
        <v>4003.9706845103333</v>
      </c>
      <c r="I521" s="10">
        <f t="shared" ca="1" si="76"/>
        <v>552.64143252787619</v>
      </c>
      <c r="J521" s="10">
        <f t="shared" ca="1" si="77"/>
        <v>2224.8320806100664</v>
      </c>
      <c r="K521" s="12">
        <f t="array" aca="1" ref="K521:L521" ca="1">Opt3Spd(H521:J521,$E$3:$G$3,$K$3:$M$3,$N$3:$P$3,$H$3,$I$3,$Q$3,$J$3)</f>
        <v>182.40453029093737</v>
      </c>
      <c r="L521" s="12">
        <f ca="1"/>
        <v>7.6178130239213715E-2</v>
      </c>
      <c r="M521" s="12">
        <f t="array" aca="1" ref="M521:N521" ca="1">Opt3Spd(H521:J521,$E$3:$G$3,$K$3:$M$3,$N$3:$P$3,$H$4,$I$3,$Q$3,$J$3)</f>
        <v>3.4898927388945733E-2</v>
      </c>
      <c r="N521" s="12">
        <f ca="1"/>
        <v>217.70654676669079</v>
      </c>
      <c r="O521" s="12">
        <f t="shared" ca="1" si="70"/>
        <v>0.11107705762815945</v>
      </c>
    </row>
    <row r="522" spans="2:15" x14ac:dyDescent="0.15">
      <c r="B522" s="6">
        <f t="shared" ca="1" si="71"/>
        <v>-2.6481643101212597</v>
      </c>
      <c r="C522" s="6">
        <f t="shared" ca="1" si="71"/>
        <v>0.7777944182697889</v>
      </c>
      <c r="D522" s="6">
        <f t="shared" ca="1" si="71"/>
        <v>-1.387459216173117</v>
      </c>
      <c r="E522" s="8">
        <f t="shared" ca="1" si="72"/>
        <v>-6.0294462036132007E-2</v>
      </c>
      <c r="F522" s="8">
        <f t="shared" ca="1" si="73"/>
        <v>-8.0349402986747753E-2</v>
      </c>
      <c r="G522" s="8">
        <f t="shared" ca="1" si="74"/>
        <v>-0.10981201418009834</v>
      </c>
      <c r="H522" s="10">
        <f t="shared" ca="1" si="75"/>
        <v>3773.8574404628939</v>
      </c>
      <c r="I522" s="10">
        <f t="shared" ca="1" si="76"/>
        <v>500.28992477520922</v>
      </c>
      <c r="J522" s="10">
        <f t="shared" ca="1" si="77"/>
        <v>1990.4603362933001</v>
      </c>
      <c r="K522" s="12">
        <f t="array" aca="1" ref="K522:L522" ca="1">Opt3Spd(H522:J522,$E$3:$G$3,$K$3:$M$3,$N$3:$P$3,$H$3,$I$3,$Q$3,$J$3)</f>
        <v>153.38976199182298</v>
      </c>
      <c r="L522" s="12">
        <f ca="1"/>
        <v>0.22636931591387111</v>
      </c>
      <c r="M522" s="12">
        <f t="array" aca="1" ref="M522:N522" ca="1">Opt3Spd(H522:J522,$E$3:$G$3,$K$3:$M$3,$N$3:$P$3,$H$4,$I$3,$Q$3,$J$3)</f>
        <v>5.600733401528224E-3</v>
      </c>
      <c r="N522" s="12">
        <f ca="1"/>
        <v>246.84220805749243</v>
      </c>
      <c r="O522" s="12">
        <f t="shared" ca="1" si="70"/>
        <v>0.23197004931539933</v>
      </c>
    </row>
    <row r="523" spans="2:15" x14ac:dyDescent="0.15">
      <c r="B523" s="6">
        <f t="shared" ca="1" si="71"/>
        <v>-0.4029996911966085</v>
      </c>
      <c r="C523" s="6">
        <f t="shared" ca="1" si="71"/>
        <v>0.79406021178322261</v>
      </c>
      <c r="D523" s="6">
        <f t="shared" ca="1" si="71"/>
        <v>-0.15799667536416315</v>
      </c>
      <c r="E523" s="8">
        <f t="shared" ca="1" si="72"/>
        <v>-9.1756578277856927E-3</v>
      </c>
      <c r="F523" s="8">
        <f t="shared" ca="1" si="73"/>
        <v>3.3055750167458094E-3</v>
      </c>
      <c r="G523" s="8">
        <f t="shared" ca="1" si="74"/>
        <v>-1.4183566781775365E-2</v>
      </c>
      <c r="H523" s="10">
        <f t="shared" ca="1" si="75"/>
        <v>3979.1505581636125</v>
      </c>
      <c r="I523" s="10">
        <f t="shared" ca="1" si="76"/>
        <v>545.79823280910978</v>
      </c>
      <c r="J523" s="10">
        <f t="shared" ca="1" si="77"/>
        <v>2204.2855446759504</v>
      </c>
      <c r="K523" s="12">
        <f t="array" aca="1" ref="K523:L523" ca="1">Opt3Spd(H523:J523,$E$3:$G$3,$K$3:$M$3,$N$3:$P$3,$H$3,$I$3,$Q$3,$J$3)</f>
        <v>178.81843984613806</v>
      </c>
      <c r="L523" s="12">
        <f ca="1"/>
        <v>8.7826515076358191E-2</v>
      </c>
      <c r="M523" s="12">
        <f t="array" aca="1" ref="M523:N523" ca="1">Opt3Spd(H523:J523,$E$3:$G$3,$K$3:$M$3,$N$3:$P$3,$H$4,$I$3,$Q$3,$J$3)</f>
        <v>2.8518035395472374E-2</v>
      </c>
      <c r="N523" s="12">
        <f ca="1"/>
        <v>221.29790470433377</v>
      </c>
      <c r="O523" s="12">
        <f t="shared" ref="O523:O586" ca="1" si="78">L523+M523</f>
        <v>0.11634455047183057</v>
      </c>
    </row>
    <row r="524" spans="2:15" x14ac:dyDescent="0.15">
      <c r="B524" s="6">
        <f t="shared" ca="1" si="71"/>
        <v>0.80814917696513777</v>
      </c>
      <c r="C524" s="6">
        <f t="shared" ca="1" si="71"/>
        <v>-0.81180681572375735</v>
      </c>
      <c r="D524" s="6">
        <f t="shared" ca="1" si="71"/>
        <v>0.71704285525704947</v>
      </c>
      <c r="E524" s="8">
        <f t="shared" ca="1" si="72"/>
        <v>1.8400263036482286E-2</v>
      </c>
      <c r="F524" s="8">
        <f t="shared" ca="1" si="73"/>
        <v>1.1314876548782424E-2</v>
      </c>
      <c r="G524" s="8">
        <f t="shared" ca="1" si="74"/>
        <v>3.4972131506513696E-2</v>
      </c>
      <c r="H524" s="10">
        <f t="shared" ca="1" si="75"/>
        <v>4089.895456354513</v>
      </c>
      <c r="I524" s="10">
        <f t="shared" ca="1" si="76"/>
        <v>550.15529284253762</v>
      </c>
      <c r="J524" s="10">
        <f t="shared" ca="1" si="77"/>
        <v>2314.1976860485647</v>
      </c>
      <c r="K524" s="12">
        <f t="array" aca="1" ref="K524:L524" ca="1">Opt3Spd(H524:J524,$E$3:$G$3,$K$3:$M$3,$N$3:$P$3,$H$3,$I$3,$Q$3,$J$3)</f>
        <v>227.55699238307079</v>
      </c>
      <c r="L524" s="12">
        <f ca="1"/>
        <v>8.8476009004807565E-3</v>
      </c>
      <c r="M524" s="12">
        <f t="array" aca="1" ref="M524:N524" ca="1">Opt3Spd(H524:J524,$E$3:$G$3,$K$3:$M$3,$N$3:$P$3,$H$4,$I$3,$Q$3,$J$3)</f>
        <v>0.28097734689229625</v>
      </c>
      <c r="N524" s="12">
        <f ca="1"/>
        <v>172.73283256472197</v>
      </c>
      <c r="O524" s="12">
        <f t="shared" ca="1" si="78"/>
        <v>0.28982494779277701</v>
      </c>
    </row>
    <row r="525" spans="2:15" x14ac:dyDescent="0.15">
      <c r="B525" s="6">
        <f t="shared" ca="1" si="71"/>
        <v>0.70548965042445455</v>
      </c>
      <c r="C525" s="6">
        <f t="shared" ca="1" si="71"/>
        <v>-0.29485939357669011</v>
      </c>
      <c r="D525" s="6">
        <f t="shared" ca="1" si="71"/>
        <v>0.55065209372283064</v>
      </c>
      <c r="E525" s="8">
        <f t="shared" ca="1" si="72"/>
        <v>1.6062869959324214E-2</v>
      </c>
      <c r="F525" s="8">
        <f t="shared" ca="1" si="73"/>
        <v>1.9390717987639507E-2</v>
      </c>
      <c r="G525" s="8">
        <f t="shared" ca="1" si="74"/>
        <v>3.0928700936918137E-2</v>
      </c>
      <c r="H525" s="10">
        <f t="shared" ca="1" si="75"/>
        <v>4080.5084857566458</v>
      </c>
      <c r="I525" s="10">
        <f t="shared" ca="1" si="76"/>
        <v>554.54855058527596</v>
      </c>
      <c r="J525" s="10">
        <f t="shared" ca="1" si="77"/>
        <v>2305.1565752949491</v>
      </c>
      <c r="K525" s="12">
        <f t="array" aca="1" ref="K525:L525" ca="1">Opt3Spd(H525:J525,$E$3:$G$3,$K$3:$M$3,$N$3:$P$3,$H$3,$I$3,$Q$3,$J$3)</f>
        <v>215.66884759676054</v>
      </c>
      <c r="L525" s="12">
        <f ca="1"/>
        <v>1.6330424031139046E-2</v>
      </c>
      <c r="M525" s="12">
        <f t="array" aca="1" ref="M525:N525" ca="1">Opt3Spd(H525:J525,$E$3:$G$3,$K$3:$M$3,$N$3:$P$3,$H$4,$I$3,$Q$3,$J$3)</f>
        <v>0.17114792910592591</v>
      </c>
      <c r="N525" s="12">
        <f ca="1"/>
        <v>184.51863075637652</v>
      </c>
      <c r="O525" s="12">
        <f t="shared" ca="1" si="78"/>
        <v>0.18747835313706496</v>
      </c>
    </row>
    <row r="526" spans="2:15" x14ac:dyDescent="0.15">
      <c r="B526" s="6">
        <f t="shared" ca="1" si="71"/>
        <v>1.2012654832417207</v>
      </c>
      <c r="C526" s="6">
        <f t="shared" ca="1" si="71"/>
        <v>0.67665054440363659</v>
      </c>
      <c r="D526" s="6">
        <f t="shared" ca="1" si="71"/>
        <v>-1.3641446407066755</v>
      </c>
      <c r="E526" s="8">
        <f t="shared" ca="1" si="72"/>
        <v>2.7350892011423995E-2</v>
      </c>
      <c r="F526" s="8">
        <f t="shared" ca="1" si="73"/>
        <v>6.0114340662290988E-2</v>
      </c>
      <c r="G526" s="8">
        <f t="shared" ca="1" si="74"/>
        <v>3.1564530132544219E-2</v>
      </c>
      <c r="H526" s="10">
        <f t="shared" ca="1" si="75"/>
        <v>4125.8411823178785</v>
      </c>
      <c r="I526" s="10">
        <f t="shared" ca="1" si="76"/>
        <v>576.70220132028635</v>
      </c>
      <c r="J526" s="10">
        <f t="shared" ca="1" si="77"/>
        <v>2306.578289376369</v>
      </c>
      <c r="K526" s="12">
        <f t="array" aca="1" ref="K526:L526" ca="1">Opt3Spd(H526:J526,$E$3:$G$3,$K$3:$M$3,$N$3:$P$3,$H$3,$I$3,$Q$3,$J$3)</f>
        <v>224.83894469878146</v>
      </c>
      <c r="L526" s="12">
        <f ca="1"/>
        <v>1.0429181545760002E-2</v>
      </c>
      <c r="M526" s="12">
        <f t="array" aca="1" ref="M526:N526" ca="1">Opt3Spd(H526:J526,$E$3:$G$3,$K$3:$M$3,$N$3:$P$3,$H$4,$I$3,$Q$3,$J$3)</f>
        <v>0.25280282597505632</v>
      </c>
      <c r="N526" s="12">
        <f ca="1"/>
        <v>175.42428730873937</v>
      </c>
      <c r="O526" s="12">
        <f t="shared" ca="1" si="78"/>
        <v>0.26323200752081632</v>
      </c>
    </row>
    <row r="527" spans="2:15" x14ac:dyDescent="0.15">
      <c r="B527" s="6">
        <f t="shared" ca="1" si="71"/>
        <v>-0.69754691108950517</v>
      </c>
      <c r="C527" s="6">
        <f t="shared" ca="1" si="71"/>
        <v>-0.10586085232362363</v>
      </c>
      <c r="D527" s="6">
        <f t="shared" ca="1" si="71"/>
        <v>0.28136299492678069</v>
      </c>
      <c r="E527" s="8">
        <f t="shared" ca="1" si="72"/>
        <v>-1.5882026499776169E-2</v>
      </c>
      <c r="F527" s="8">
        <f t="shared" ca="1" si="73"/>
        <v>-2.8308050071691408E-2</v>
      </c>
      <c r="G527" s="8">
        <f t="shared" ca="1" si="74"/>
        <v>-2.2936674837888506E-2</v>
      </c>
      <c r="H527" s="10">
        <f t="shared" ca="1" si="75"/>
        <v>3952.2177815768987</v>
      </c>
      <c r="I527" s="10">
        <f t="shared" ca="1" si="76"/>
        <v>528.6004207609999</v>
      </c>
      <c r="J527" s="10">
        <f t="shared" ca="1" si="77"/>
        <v>2184.7135950624811</v>
      </c>
      <c r="K527" s="12">
        <f t="array" aca="1" ref="K527:L527" ca="1">Opt3Spd(H527:J527,$E$3:$G$3,$K$3:$M$3,$N$3:$P$3,$H$3,$I$3,$Q$3,$J$3)</f>
        <v>189.1527154085104</v>
      </c>
      <c r="L527" s="12">
        <f ca="1"/>
        <v>5.2404580452275695E-2</v>
      </c>
      <c r="M527" s="12">
        <f t="array" aca="1" ref="M527:N527" ca="1">Opt3Spd(H527:J527,$E$3:$G$3,$K$3:$M$3,$N$3:$P$3,$H$4,$I$3,$Q$3,$J$3)</f>
        <v>4.6262769433568884E-2</v>
      </c>
      <c r="N527" s="12">
        <f ca="1"/>
        <v>210.94595194137545</v>
      </c>
      <c r="O527" s="12">
        <f t="shared" ca="1" si="78"/>
        <v>9.866734988584458E-2</v>
      </c>
    </row>
    <row r="528" spans="2:15" x14ac:dyDescent="0.15">
      <c r="B528" s="6">
        <f t="shared" ca="1" si="71"/>
        <v>-0.16152458893738644</v>
      </c>
      <c r="C528" s="6">
        <f t="shared" ca="1" si="71"/>
        <v>0.57284823488143266</v>
      </c>
      <c r="D528" s="6">
        <f t="shared" ca="1" si="71"/>
        <v>-0.76843564587237534</v>
      </c>
      <c r="E528" s="8">
        <f t="shared" ca="1" si="72"/>
        <v>-3.6776563139849596E-3</v>
      </c>
      <c r="F528" s="8">
        <f t="shared" ca="1" si="73"/>
        <v>7.177404921608661E-3</v>
      </c>
      <c r="G528" s="8">
        <f t="shared" ca="1" si="74"/>
        <v>-1.2457375692869281E-2</v>
      </c>
      <c r="H528" s="10">
        <f t="shared" ca="1" si="75"/>
        <v>4001.2305322430361</v>
      </c>
      <c r="I528" s="10">
        <f t="shared" ca="1" si="76"/>
        <v>547.90450827735515</v>
      </c>
      <c r="J528" s="10">
        <f t="shared" ca="1" si="77"/>
        <v>2208.1453079507442</v>
      </c>
      <c r="K528" s="12">
        <f t="array" aca="1" ref="K528:L528" ca="1">Opt3Spd(H528:J528,$E$3:$G$3,$K$3:$M$3,$N$3:$P$3,$H$3,$I$3,$Q$3,$J$3)</f>
        <v>195.55055568337184</v>
      </c>
      <c r="L528" s="12">
        <f ca="1"/>
        <v>3.9890659476213841E-2</v>
      </c>
      <c r="M528" s="12">
        <f t="array" aca="1" ref="M528:N528" ca="1">Opt3Spd(H528:J528,$E$3:$G$3,$K$3:$M$3,$N$3:$P$3,$H$4,$I$3,$Q$3,$J$3)</f>
        <v>6.4457471544490552E-2</v>
      </c>
      <c r="N528" s="12">
        <f ca="1"/>
        <v>204.55379244764887</v>
      </c>
      <c r="O528" s="12">
        <f t="shared" ca="1" si="78"/>
        <v>0.10434813102070439</v>
      </c>
    </row>
    <row r="529" spans="2:15" x14ac:dyDescent="0.15">
      <c r="B529" s="6">
        <f t="shared" ca="1" si="71"/>
        <v>-0.18032832463014858</v>
      </c>
      <c r="C529" s="6">
        <f t="shared" ca="1" si="71"/>
        <v>1.2438616894117058</v>
      </c>
      <c r="D529" s="6">
        <f t="shared" ca="1" si="71"/>
        <v>1.0675287744721194</v>
      </c>
      <c r="E529" s="8">
        <f t="shared" ca="1" si="72"/>
        <v>-4.1057872738092735E-3</v>
      </c>
      <c r="F529" s="8">
        <f t="shared" ca="1" si="73"/>
        <v>2.1905499102235205E-2</v>
      </c>
      <c r="G529" s="8">
        <f t="shared" ca="1" si="74"/>
        <v>8.3583669683047149E-3</v>
      </c>
      <c r="H529" s="10">
        <f t="shared" ca="1" si="75"/>
        <v>3999.5111583083817</v>
      </c>
      <c r="I529" s="10">
        <f t="shared" ca="1" si="76"/>
        <v>555.91659151161593</v>
      </c>
      <c r="J529" s="10">
        <f t="shared" ca="1" si="77"/>
        <v>2254.6893085411293</v>
      </c>
      <c r="K529" s="12">
        <f t="array" aca="1" ref="K529:L529" ca="1">Opt3Spd(H529:J529,$E$3:$G$3,$K$3:$M$3,$N$3:$P$3,$H$3,$I$3,$Q$3,$J$3)</f>
        <v>157.93302518752739</v>
      </c>
      <c r="L529" s="12">
        <f ca="1"/>
        <v>0.23306756829583719</v>
      </c>
      <c r="M529" s="12">
        <f t="array" aca="1" ref="M529:N529" ca="1">Opt3Spd(H529:J529,$E$3:$G$3,$K$3:$M$3,$N$3:$P$3,$H$4,$I$3,$Q$3,$J$3)</f>
        <v>1.0197622067110501E-2</v>
      </c>
      <c r="N529" s="12">
        <f ca="1"/>
        <v>242.31024000283554</v>
      </c>
      <c r="O529" s="12">
        <f t="shared" ca="1" si="78"/>
        <v>0.24326519036294769</v>
      </c>
    </row>
    <row r="530" spans="2:15" x14ac:dyDescent="0.15">
      <c r="B530" s="6">
        <f t="shared" ca="1" si="71"/>
        <v>-0.16147686296099417</v>
      </c>
      <c r="C530" s="6">
        <f t="shared" ca="1" si="71"/>
        <v>-3.896978154612063E-2</v>
      </c>
      <c r="D530" s="6">
        <f t="shared" ca="1" si="71"/>
        <v>1.0487841874425174</v>
      </c>
      <c r="E530" s="8">
        <f t="shared" ca="1" si="72"/>
        <v>-3.6765696699044836E-3</v>
      </c>
      <c r="F530" s="8">
        <f t="shared" ca="1" si="73"/>
        <v>-6.8856014648648739E-3</v>
      </c>
      <c r="G530" s="8">
        <f t="shared" ca="1" si="74"/>
        <v>5.1272294889489669E-3</v>
      </c>
      <c r="H530" s="10">
        <f t="shared" ca="1" si="75"/>
        <v>4001.2348962056635</v>
      </c>
      <c r="I530" s="10">
        <f t="shared" ca="1" si="76"/>
        <v>540.2542328031135</v>
      </c>
      <c r="J530" s="10">
        <f t="shared" ca="1" si="77"/>
        <v>2247.46448513729</v>
      </c>
      <c r="K530" s="12">
        <f t="array" aca="1" ref="K530:L530" ca="1">Opt3Spd(H530:J530,$E$3:$G$3,$K$3:$M$3,$N$3:$P$3,$H$3,$I$3,$Q$3,$J$3)</f>
        <v>188.15474559688641</v>
      </c>
      <c r="L530" s="12">
        <f ca="1"/>
        <v>5.8864444849405118E-2</v>
      </c>
      <c r="M530" s="12">
        <f t="array" aca="1" ref="M530:N530" ca="1">Opt3Spd(H530:J530,$E$3:$G$3,$K$3:$M$3,$N$3:$P$3,$H$4,$I$3,$Q$3,$J$3)</f>
        <v>4.6905797292923879E-2</v>
      </c>
      <c r="N530" s="12">
        <f ca="1"/>
        <v>211.95102464525593</v>
      </c>
      <c r="O530" s="12">
        <f t="shared" ca="1" si="78"/>
        <v>0.105770242142329</v>
      </c>
    </row>
    <row r="531" spans="2:15" x14ac:dyDescent="0.15">
      <c r="B531" s="6">
        <f t="shared" ca="1" si="71"/>
        <v>-1.1387627772729554</v>
      </c>
      <c r="C531" s="6">
        <f t="shared" ca="1" si="71"/>
        <v>0.81424246595966998</v>
      </c>
      <c r="D531" s="6">
        <f t="shared" ca="1" si="71"/>
        <v>0.66370917242288696</v>
      </c>
      <c r="E531" s="8">
        <f t="shared" ca="1" si="72"/>
        <v>-2.5927805453771279E-2</v>
      </c>
      <c r="F531" s="8">
        <f t="shared" ca="1" si="73"/>
        <v>-2.3522505798506795E-2</v>
      </c>
      <c r="G531" s="8">
        <f t="shared" ca="1" si="74"/>
        <v>-3.2402040477564821E-2</v>
      </c>
      <c r="H531" s="10">
        <f t="shared" ca="1" si="75"/>
        <v>3911.8739332976547</v>
      </c>
      <c r="I531" s="10">
        <f t="shared" ca="1" si="76"/>
        <v>531.20375684561236</v>
      </c>
      <c r="J531" s="10">
        <f t="shared" ca="1" si="77"/>
        <v>2163.5490374921651</v>
      </c>
      <c r="K531" s="12">
        <f t="array" aca="1" ref="K531:L531" ca="1">Opt3Spd(H531:J531,$E$3:$G$3,$K$3:$M$3,$N$3:$P$3,$H$3,$I$3,$Q$3,$J$3)</f>
        <v>155.41212574380143</v>
      </c>
      <c r="L531" s="12">
        <f ca="1"/>
        <v>0.23872214520883972</v>
      </c>
      <c r="M531" s="12">
        <f t="array" aca="1" ref="M531:N531" ca="1">Opt3Spd(H531:J531,$E$3:$G$3,$K$3:$M$3,$N$3:$P$3,$H$4,$I$3,$Q$3,$J$3)</f>
        <v>7.848610997146066E-3</v>
      </c>
      <c r="N531" s="12">
        <f ca="1"/>
        <v>244.83444501240456</v>
      </c>
      <c r="O531" s="12">
        <f t="shared" ca="1" si="78"/>
        <v>0.24657075620598579</v>
      </c>
    </row>
    <row r="532" spans="2:15" x14ac:dyDescent="0.15">
      <c r="B532" s="6">
        <f t="shared" ca="1" si="71"/>
        <v>-0.70800928504187577</v>
      </c>
      <c r="C532" s="6">
        <f t="shared" ca="1" si="71"/>
        <v>-1.3635304875220515</v>
      </c>
      <c r="D532" s="6">
        <f t="shared" ca="1" si="71"/>
        <v>0.43721937100947378</v>
      </c>
      <c r="E532" s="8">
        <f t="shared" ca="1" si="72"/>
        <v>-1.6120238006013914E-2</v>
      </c>
      <c r="F532" s="8">
        <f t="shared" ca="1" si="73"/>
        <v>-5.7608071108420242E-2</v>
      </c>
      <c r="G532" s="8">
        <f t="shared" ca="1" si="74"/>
        <v>-2.5311677336097717E-2</v>
      </c>
      <c r="H532" s="10">
        <f t="shared" ca="1" si="75"/>
        <v>3951.2611241678483</v>
      </c>
      <c r="I532" s="10">
        <f t="shared" ca="1" si="76"/>
        <v>512.66120931701937</v>
      </c>
      <c r="J532" s="10">
        <f t="shared" ca="1" si="77"/>
        <v>2179.4030894764855</v>
      </c>
      <c r="K532" s="12">
        <f t="array" aca="1" ref="K532:L532" ca="1">Opt3Spd(H532:J532,$E$3:$G$3,$K$3:$M$3,$N$3:$P$3,$H$3,$I$3,$Q$3,$J$3)</f>
        <v>216.31484270730948</v>
      </c>
      <c r="L532" s="12">
        <f ca="1"/>
        <v>1.3198184935163226E-2</v>
      </c>
      <c r="M532" s="12">
        <f t="array" aca="1" ref="M532:N532" ca="1">Opt3Spd(H532:J532,$E$3:$G$3,$K$3:$M$3,$N$3:$P$3,$H$4,$I$3,$Q$3,$J$3)</f>
        <v>0.15909592704973718</v>
      </c>
      <c r="N532" s="12">
        <f ca="1"/>
        <v>183.85745140467543</v>
      </c>
      <c r="O532" s="12">
        <f t="shared" ca="1" si="78"/>
        <v>0.17229411198490041</v>
      </c>
    </row>
    <row r="533" spans="2:15" x14ac:dyDescent="0.15">
      <c r="B533" s="6">
        <f t="shared" ca="1" si="71"/>
        <v>-0.28871584290101637</v>
      </c>
      <c r="C533" s="6">
        <f t="shared" ca="1" si="71"/>
        <v>-0.73767866730096443</v>
      </c>
      <c r="D533" s="6">
        <f t="shared" ca="1" si="71"/>
        <v>-1.8240825126026143</v>
      </c>
      <c r="E533" s="8">
        <f t="shared" ca="1" si="72"/>
        <v>-6.5735975530264853E-3</v>
      </c>
      <c r="F533" s="8">
        <f t="shared" ca="1" si="73"/>
        <v>-2.7667609934833297E-2</v>
      </c>
      <c r="G533" s="8">
        <f t="shared" ca="1" si="74"/>
        <v>-3.2180460447580259E-2</v>
      </c>
      <c r="H533" s="10">
        <f t="shared" ca="1" si="75"/>
        <v>3989.600432227046</v>
      </c>
      <c r="I533" s="10">
        <f t="shared" ca="1" si="76"/>
        <v>528.94882019545071</v>
      </c>
      <c r="J533" s="10">
        <f t="shared" ca="1" si="77"/>
        <v>2164.0444904392107</v>
      </c>
      <c r="K533" s="12">
        <f t="array" aca="1" ref="K533:L533" ca="1">Opt3Spd(H533:J533,$E$3:$G$3,$K$3:$M$3,$N$3:$P$3,$H$3,$I$3,$Q$3,$J$3)</f>
        <v>236.2645085246229</v>
      </c>
      <c r="L533" s="12">
        <f ca="1"/>
        <v>4.4338299032915529E-3</v>
      </c>
      <c r="M533" s="12">
        <f t="array" aca="1" ref="M533:N533" ca="1">Opt3Spd(H533:J533,$E$3:$G$3,$K$3:$M$3,$N$3:$P$3,$H$4,$I$3,$Q$3,$J$3)</f>
        <v>0.36011901325797169</v>
      </c>
      <c r="N533" s="12">
        <f ca="1"/>
        <v>164.10004431853838</v>
      </c>
      <c r="O533" s="12">
        <f t="shared" ca="1" si="78"/>
        <v>0.36455284316126324</v>
      </c>
    </row>
    <row r="534" spans="2:15" x14ac:dyDescent="0.15">
      <c r="B534" s="6">
        <f t="shared" ca="1" si="71"/>
        <v>1.9582218984071369</v>
      </c>
      <c r="C534" s="6">
        <f t="shared" ca="1" si="71"/>
        <v>1.9100297232433419</v>
      </c>
      <c r="D534" s="6">
        <f t="shared" ca="1" si="71"/>
        <v>0.6583837288141895</v>
      </c>
      <c r="E534" s="8">
        <f t="shared" ca="1" si="72"/>
        <v>4.4585577813494898E-2</v>
      </c>
      <c r="F534" s="8">
        <f t="shared" ca="1" si="73"/>
        <v>0.11654604998651552</v>
      </c>
      <c r="G534" s="8">
        <f t="shared" ca="1" si="74"/>
        <v>8.4500446404511403E-2</v>
      </c>
      <c r="H534" s="10">
        <f t="shared" ca="1" si="75"/>
        <v>4195.0556804989956</v>
      </c>
      <c r="I534" s="10">
        <f t="shared" ca="1" si="76"/>
        <v>607.40105119266434</v>
      </c>
      <c r="J534" s="10">
        <f t="shared" ca="1" si="77"/>
        <v>2424.9429981604876</v>
      </c>
      <c r="K534" s="12">
        <f t="array" aca="1" ref="K534:L534" ca="1">Opt3Spd(H534:J534,$E$3:$G$3,$K$3:$M$3,$N$3:$P$3,$H$3,$I$3,$Q$3,$J$3)</f>
        <v>185.82560965896596</v>
      </c>
      <c r="L534" s="12">
        <f ca="1"/>
        <v>8.3110148477317125E-2</v>
      </c>
      <c r="M534" s="12">
        <f t="array" aca="1" ref="M534:N534" ca="1">Opt3Spd(H534:J534,$E$3:$G$3,$K$3:$M$3,$N$3:$P$3,$H$4,$I$3,$Q$3,$J$3)</f>
        <v>5.1700004457780224E-2</v>
      </c>
      <c r="N534" s="12">
        <f ca="1"/>
        <v>214.30920049396914</v>
      </c>
      <c r="O534" s="12">
        <f t="shared" ca="1" si="78"/>
        <v>0.13481015293509735</v>
      </c>
    </row>
    <row r="535" spans="2:15" x14ac:dyDescent="0.15">
      <c r="B535" s="6">
        <f t="shared" ca="1" si="71"/>
        <v>1.3542065772164991</v>
      </c>
      <c r="C535" s="6">
        <f t="shared" ca="1" si="71"/>
        <v>-9.7422985345294491E-2</v>
      </c>
      <c r="D535" s="6">
        <f t="shared" ca="1" si="71"/>
        <v>0.49305653436422647</v>
      </c>
      <c r="E535" s="8">
        <f t="shared" ca="1" si="72"/>
        <v>3.0833115885970708E-2</v>
      </c>
      <c r="F535" s="8">
        <f t="shared" ca="1" si="73"/>
        <v>4.799267661251487E-2</v>
      </c>
      <c r="G535" s="8">
        <f t="shared" ca="1" si="74"/>
        <v>5.4721089392160902E-2</v>
      </c>
      <c r="H535" s="10">
        <f t="shared" ca="1" si="75"/>
        <v>4139.8257933980585</v>
      </c>
      <c r="I535" s="10">
        <f t="shared" ca="1" si="76"/>
        <v>570.10801607720816</v>
      </c>
      <c r="J535" s="10">
        <f t="shared" ca="1" si="77"/>
        <v>2358.3563558808714</v>
      </c>
      <c r="K535" s="12">
        <f t="array" aca="1" ref="K535:L535" ca="1">Opt3Spd(H535:J535,$E$3:$G$3,$K$3:$M$3,$N$3:$P$3,$H$3,$I$3,$Q$3,$J$3)</f>
        <v>223.48662738881217</v>
      </c>
      <c r="L535" s="12">
        <f ca="1"/>
        <v>1.1837654722739899E-2</v>
      </c>
      <c r="M535" s="12">
        <f t="array" aca="1" ref="M535:N535" ca="1">Opt3Spd(H535:J535,$E$3:$G$3,$K$3:$M$3,$N$3:$P$3,$H$4,$I$3,$Q$3,$J$3)</f>
        <v>0.24716848927223722</v>
      </c>
      <c r="N535" s="12">
        <f ca="1"/>
        <v>176.77237875518281</v>
      </c>
      <c r="O535" s="12">
        <f t="shared" ca="1" si="78"/>
        <v>0.25900614399497712</v>
      </c>
    </row>
    <row r="536" spans="2:15" x14ac:dyDescent="0.15">
      <c r="B536" s="6">
        <f t="shared" ca="1" si="71"/>
        <v>-0.57496167053668445</v>
      </c>
      <c r="C536" s="6">
        <f t="shared" ca="1" si="71"/>
        <v>-0.76765668306686563</v>
      </c>
      <c r="D536" s="6">
        <f t="shared" ca="1" si="71"/>
        <v>-0.64830944044680794</v>
      </c>
      <c r="E536" s="8">
        <f t="shared" ca="1" si="72"/>
        <v>-1.3090956812576996E-2</v>
      </c>
      <c r="F536" s="8">
        <f t="shared" ca="1" si="73"/>
        <v>-3.8974623924388836E-2</v>
      </c>
      <c r="G536" s="8">
        <f t="shared" ca="1" si="74"/>
        <v>-3.0258117490675984E-2</v>
      </c>
      <c r="H536" s="10">
        <f t="shared" ca="1" si="75"/>
        <v>3963.4267174406909</v>
      </c>
      <c r="I536" s="10">
        <f t="shared" ca="1" si="76"/>
        <v>522.79780458513244</v>
      </c>
      <c r="J536" s="10">
        <f t="shared" ca="1" si="77"/>
        <v>2168.3428492908483</v>
      </c>
      <c r="K536" s="12">
        <f t="array" aca="1" ref="K536:L536" ca="1">Opt3Spd(H536:J536,$E$3:$G$3,$K$3:$M$3,$N$3:$P$3,$H$3,$I$3,$Q$3,$J$3)</f>
        <v>217.79091893992654</v>
      </c>
      <c r="L536" s="12">
        <f ca="1"/>
        <v>1.2113480871676074E-2</v>
      </c>
      <c r="M536" s="12">
        <f t="array" aca="1" ref="M536:N536" ca="1">Opt3Spd(H536:J536,$E$3:$G$3,$K$3:$M$3,$N$3:$P$3,$H$4,$I$3,$Q$3,$J$3)</f>
        <v>0.1683179041042191</v>
      </c>
      <c r="N536" s="12">
        <f ca="1"/>
        <v>182.38951244504935</v>
      </c>
      <c r="O536" s="12">
        <f t="shared" ca="1" si="78"/>
        <v>0.18043138497589517</v>
      </c>
    </row>
    <row r="537" spans="2:15" x14ac:dyDescent="0.15">
      <c r="B537" s="6">
        <f t="shared" ca="1" si="71"/>
        <v>-0.40421102070176779</v>
      </c>
      <c r="C537" s="6">
        <f t="shared" ca="1" si="71"/>
        <v>-0.40814518881406087</v>
      </c>
      <c r="D537" s="6">
        <f t="shared" ca="1" si="71"/>
        <v>0.67847060056037456</v>
      </c>
      <c r="E537" s="8">
        <f t="shared" ca="1" si="72"/>
        <v>-9.2032378614652216E-3</v>
      </c>
      <c r="F537" s="8">
        <f t="shared" ca="1" si="73"/>
        <v>-2.4376252848351307E-2</v>
      </c>
      <c r="G537" s="8">
        <f t="shared" ca="1" si="74"/>
        <v>-8.807104966760116E-3</v>
      </c>
      <c r="H537" s="10">
        <f t="shared" ca="1" si="75"/>
        <v>3979.0397967483555</v>
      </c>
      <c r="I537" s="10">
        <f t="shared" ca="1" si="76"/>
        <v>530.73931845049685</v>
      </c>
      <c r="J537" s="10">
        <f t="shared" ca="1" si="77"/>
        <v>2216.3073132943246</v>
      </c>
      <c r="K537" s="12">
        <f t="array" aca="1" ref="K537:L537" ca="1">Opt3Spd(H537:J537,$E$3:$G$3,$K$3:$M$3,$N$3:$P$3,$H$3,$I$3,$Q$3,$J$3)</f>
        <v>196.74072076814764</v>
      </c>
      <c r="L537" s="12">
        <f ca="1"/>
        <v>3.7490187749426696E-2</v>
      </c>
      <c r="M537" s="12">
        <f t="array" aca="1" ref="M537:N537" ca="1">Opt3Spd(H537:J537,$E$3:$G$3,$K$3:$M$3,$N$3:$P$3,$H$4,$I$3,$Q$3,$J$3)</f>
        <v>6.8253961461619106E-2</v>
      </c>
      <c r="N537" s="12">
        <f ca="1"/>
        <v>203.36502338106339</v>
      </c>
      <c r="O537" s="12">
        <f t="shared" ca="1" si="78"/>
        <v>0.1057441492110458</v>
      </c>
    </row>
    <row r="538" spans="2:15" x14ac:dyDescent="0.15">
      <c r="B538" s="6">
        <f t="shared" ca="1" si="71"/>
        <v>0.54212278324043384</v>
      </c>
      <c r="C538" s="6">
        <f t="shared" ca="1" si="71"/>
        <v>-0.73716544184082511</v>
      </c>
      <c r="D538" s="6">
        <f t="shared" ca="1" si="71"/>
        <v>-0.70184333648844432</v>
      </c>
      <c r="E538" s="8">
        <f t="shared" ca="1" si="72"/>
        <v>1.2343267918868608E-2</v>
      </c>
      <c r="F538" s="8">
        <f t="shared" ca="1" si="73"/>
        <v>3.1629150118099429E-3</v>
      </c>
      <c r="G538" s="8">
        <f t="shared" ca="1" si="74"/>
        <v>1.0299964397850104E-2</v>
      </c>
      <c r="H538" s="10">
        <f t="shared" ca="1" si="75"/>
        <v>4065.5705639621765</v>
      </c>
      <c r="I538" s="10">
        <f t="shared" ca="1" si="76"/>
        <v>545.72062576642463</v>
      </c>
      <c r="J538" s="10">
        <f t="shared" ca="1" si="77"/>
        <v>2259.0307203935927</v>
      </c>
      <c r="K538" s="12">
        <f t="array" aca="1" ref="K538:L538" ca="1">Opt3Spd(H538:J538,$E$3:$G$3,$K$3:$M$3,$N$3:$P$3,$H$3,$I$3,$Q$3,$J$3)</f>
        <v>237.90687956400984</v>
      </c>
      <c r="L538" s="12">
        <f ca="1"/>
        <v>4.6770249089149729E-3</v>
      </c>
      <c r="M538" s="12">
        <f t="array" aca="1" ref="M538:N538" ca="1">Opt3Spd(H538:J538,$E$3:$G$3,$K$3:$M$3,$N$3:$P$3,$H$4,$I$3,$Q$3,$J$3)</f>
        <v>0.40800767616016742</v>
      </c>
      <c r="N538" s="12">
        <f ca="1"/>
        <v>162.50580513705924</v>
      </c>
      <c r="O538" s="12">
        <f t="shared" ca="1" si="78"/>
        <v>0.41268470106908239</v>
      </c>
    </row>
    <row r="539" spans="2:15" x14ac:dyDescent="0.15">
      <c r="B539" s="6">
        <f t="shared" ca="1" si="71"/>
        <v>-1.8855213299152638</v>
      </c>
      <c r="C539" s="6">
        <f t="shared" ca="1" si="71"/>
        <v>0.73047208247124251</v>
      </c>
      <c r="D539" s="6">
        <f t="shared" ca="1" si="71"/>
        <v>-2.0426594805220772</v>
      </c>
      <c r="E539" s="8">
        <f t="shared" ca="1" si="72"/>
        <v>-4.2930302251406482E-2</v>
      </c>
      <c r="F539" s="8">
        <f t="shared" ca="1" si="73"/>
        <v>-5.3148162051184181E-2</v>
      </c>
      <c r="G539" s="8">
        <f t="shared" ca="1" si="74"/>
        <v>-8.891101071901894E-2</v>
      </c>
      <c r="H539" s="10">
        <f t="shared" ca="1" si="75"/>
        <v>3843.5919061583518</v>
      </c>
      <c r="I539" s="10">
        <f t="shared" ca="1" si="76"/>
        <v>515.08739984415581</v>
      </c>
      <c r="J539" s="10">
        <f t="shared" ca="1" si="77"/>
        <v>2037.1949800322736</v>
      </c>
      <c r="K539" s="12">
        <f t="array" aca="1" ref="K539:L539" ca="1">Opt3Spd(H539:J539,$E$3:$G$3,$K$3:$M$3,$N$3:$P$3,$H$3,$I$3,$Q$3,$J$3)</f>
        <v>175.93950373021448</v>
      </c>
      <c r="L539" s="12">
        <f ca="1"/>
        <v>8.4927338648640216E-2</v>
      </c>
      <c r="M539" s="12">
        <f t="array" aca="1" ref="M539:N539" ca="1">Opt3Spd(H539:J539,$E$3:$G$3,$K$3:$M$3,$N$3:$P$3,$H$4,$I$3,$Q$3,$J$3)</f>
        <v>2.0520055936708026E-2</v>
      </c>
      <c r="N539" s="12">
        <f ca="1"/>
        <v>224.16594366437087</v>
      </c>
      <c r="O539" s="12">
        <f t="shared" ca="1" si="78"/>
        <v>0.10544739458534824</v>
      </c>
    </row>
    <row r="540" spans="2:15" x14ac:dyDescent="0.15">
      <c r="B540" s="6">
        <f t="shared" ca="1" si="71"/>
        <v>-0.47234765771857568</v>
      </c>
      <c r="C540" s="6">
        <f t="shared" ca="1" si="71"/>
        <v>-0.46702184799404473</v>
      </c>
      <c r="D540" s="6">
        <f t="shared" ca="1" si="71"/>
        <v>4.3175282353555711E-3</v>
      </c>
      <c r="E540" s="8">
        <f t="shared" ca="1" si="72"/>
        <v>-1.0754600010021447E-2</v>
      </c>
      <c r="F540" s="8">
        <f t="shared" ca="1" si="73"/>
        <v>-2.8257166258911462E-2</v>
      </c>
      <c r="G540" s="8">
        <f t="shared" ca="1" si="74"/>
        <v>-1.8663040771677752E-2</v>
      </c>
      <c r="H540" s="10">
        <f t="shared" ca="1" si="75"/>
        <v>3972.8095263597538</v>
      </c>
      <c r="I540" s="10">
        <f t="shared" ca="1" si="76"/>
        <v>528.62810155515217</v>
      </c>
      <c r="J540" s="10">
        <f t="shared" ca="1" si="77"/>
        <v>2194.2694408345283</v>
      </c>
      <c r="K540" s="12">
        <f t="array" aca="1" ref="K540:L540" ca="1">Opt3Spd(H540:J540,$E$3:$G$3,$K$3:$M$3,$N$3:$P$3,$H$3,$I$3,$Q$3,$J$3)</f>
        <v>204.89422235690313</v>
      </c>
      <c r="L540" s="12">
        <f ca="1"/>
        <v>2.4378902657190338E-2</v>
      </c>
      <c r="M540" s="12">
        <f t="array" aca="1" ref="M540:N540" ca="1">Opt3Spd(H540:J540,$E$3:$G$3,$K$3:$M$3,$N$3:$P$3,$H$4,$I$3,$Q$3,$J$3)</f>
        <v>9.7354626385484977E-2</v>
      </c>
      <c r="N540" s="12">
        <f ca="1"/>
        <v>195.22751117213954</v>
      </c>
      <c r="O540" s="12">
        <f t="shared" ca="1" si="78"/>
        <v>0.12173352904267531</v>
      </c>
    </row>
    <row r="541" spans="2:15" x14ac:dyDescent="0.15">
      <c r="B541" s="6">
        <f t="shared" ca="1" si="71"/>
        <v>-0.16485639202720637</v>
      </c>
      <c r="C541" s="6">
        <f t="shared" ca="1" si="71"/>
        <v>0.14297915926577312</v>
      </c>
      <c r="D541" s="6">
        <f t="shared" ca="1" si="71"/>
        <v>-0.77251132808450651</v>
      </c>
      <c r="E541" s="8">
        <f t="shared" ca="1" si="72"/>
        <v>-3.7535161366338853E-3</v>
      </c>
      <c r="F541" s="8">
        <f t="shared" ca="1" si="73"/>
        <v>-2.8282273810888905E-3</v>
      </c>
      <c r="G541" s="8">
        <f t="shared" ca="1" si="74"/>
        <v>-1.3871096598278242E-2</v>
      </c>
      <c r="H541" s="10">
        <f t="shared" ca="1" si="75"/>
        <v>4000.9258791952784</v>
      </c>
      <c r="I541" s="10">
        <f t="shared" ca="1" si="76"/>
        <v>542.46144430468769</v>
      </c>
      <c r="J541" s="10">
        <f t="shared" ca="1" si="77"/>
        <v>2204.9842280062499</v>
      </c>
      <c r="K541" s="12">
        <f t="array" aca="1" ref="K541:L541" ca="1">Opt3Spd(H541:J541,$E$3:$G$3,$K$3:$M$3,$N$3:$P$3,$H$3,$I$3,$Q$3,$J$3)</f>
        <v>205.51959149639129</v>
      </c>
      <c r="L541" s="12">
        <f ca="1"/>
        <v>2.4137191738191177E-2</v>
      </c>
      <c r="M541" s="12">
        <f t="array" aca="1" ref="M541:N541" ca="1">Opt3Spd(H541:J541,$E$3:$G$3,$K$3:$M$3,$N$3:$P$3,$H$4,$I$3,$Q$3,$J$3)</f>
        <v>0.10135882966017817</v>
      </c>
      <c r="N541" s="12">
        <f ca="1"/>
        <v>194.60590452500708</v>
      </c>
      <c r="O541" s="12">
        <f t="shared" ca="1" si="78"/>
        <v>0.12549602139836935</v>
      </c>
    </row>
    <row r="542" spans="2:15" x14ac:dyDescent="0.15">
      <c r="B542" s="6">
        <f t="shared" ca="1" si="71"/>
        <v>0.73005123079763268</v>
      </c>
      <c r="C542" s="6">
        <f t="shared" ca="1" si="71"/>
        <v>-0.84486399427095082</v>
      </c>
      <c r="D542" s="6">
        <f t="shared" ca="1" si="71"/>
        <v>1.1043990040104716</v>
      </c>
      <c r="E542" s="8">
        <f t="shared" ca="1" si="72"/>
        <v>1.662209782509444E-2</v>
      </c>
      <c r="F542" s="8">
        <f t="shared" ca="1" si="73"/>
        <v>7.6580142046178386E-3</v>
      </c>
      <c r="G542" s="8">
        <f t="shared" ca="1" si="74"/>
        <v>3.6133502057635776E-2</v>
      </c>
      <c r="H542" s="10">
        <f t="shared" ca="1" si="75"/>
        <v>4082.7543448655792</v>
      </c>
      <c r="I542" s="10">
        <f t="shared" ca="1" si="76"/>
        <v>548.16595972731216</v>
      </c>
      <c r="J542" s="10">
        <f t="shared" ca="1" si="77"/>
        <v>2316.7945106008738</v>
      </c>
      <c r="K542" s="12">
        <f t="array" aca="1" ref="K542:L542" ca="1">Opt3Spd(H542:J542,$E$3:$G$3,$K$3:$M$3,$N$3:$P$3,$H$3,$I$3,$Q$3,$J$3)</f>
        <v>222.30323415012003</v>
      </c>
      <c r="L542" s="12">
        <f ca="1"/>
        <v>1.1680148677214675E-2</v>
      </c>
      <c r="M542" s="12">
        <f t="array" aca="1" ref="M542:N542" ca="1">Opt3Spd(H542:J542,$E$3:$G$3,$K$3:$M$3,$N$3:$P$3,$H$4,$I$3,$Q$3,$J$3)</f>
        <v>0.22718526896191804</v>
      </c>
      <c r="N542" s="12">
        <f ca="1"/>
        <v>177.93563126751911</v>
      </c>
      <c r="O542" s="12">
        <f t="shared" ca="1" si="78"/>
        <v>0.23886541763913272</v>
      </c>
    </row>
    <row r="543" spans="2:15" x14ac:dyDescent="0.15">
      <c r="B543" s="6">
        <f t="shared" ca="1" si="71"/>
        <v>0.44657296296367349</v>
      </c>
      <c r="C543" s="6">
        <f t="shared" ca="1" si="71"/>
        <v>-0.68685268943383537</v>
      </c>
      <c r="D543" s="6">
        <f t="shared" ca="1" si="71"/>
        <v>0.16748243026526355</v>
      </c>
      <c r="E543" s="8">
        <f t="shared" ca="1" si="72"/>
        <v>1.0167751471789626E-2</v>
      </c>
      <c r="F543" s="8">
        <f t="shared" ca="1" si="73"/>
        <v>7.7525069743032118E-4</v>
      </c>
      <c r="G543" s="8">
        <f t="shared" ca="1" si="74"/>
        <v>1.6196650506395432E-2</v>
      </c>
      <c r="H543" s="10">
        <f t="shared" ca="1" si="75"/>
        <v>4056.8336899107076</v>
      </c>
      <c r="I543" s="10">
        <f t="shared" ca="1" si="76"/>
        <v>544.42173637940209</v>
      </c>
      <c r="J543" s="10">
        <f t="shared" ca="1" si="77"/>
        <v>2272.2157105323004</v>
      </c>
      <c r="K543" s="12">
        <f t="array" aca="1" ref="K543:L543" ca="1">Opt3Spd(H543:J543,$E$3:$G$3,$K$3:$M$3,$N$3:$P$3,$H$3,$I$3,$Q$3,$J$3)</f>
        <v>224.66078524430463</v>
      </c>
      <c r="L543" s="12">
        <f ca="1"/>
        <v>9.7288067906902143E-3</v>
      </c>
      <c r="M543" s="12">
        <f t="array" aca="1" ref="M543:N543" ca="1">Opt3Spd(H543:J543,$E$3:$G$3,$K$3:$M$3,$N$3:$P$3,$H$4,$I$3,$Q$3,$J$3)</f>
        <v>0.24253083095972627</v>
      </c>
      <c r="N543" s="12">
        <f ca="1"/>
        <v>175.59147439344579</v>
      </c>
      <c r="O543" s="12">
        <f t="shared" ca="1" si="78"/>
        <v>0.25225963775041649</v>
      </c>
    </row>
    <row r="544" spans="2:15" x14ac:dyDescent="0.15">
      <c r="B544" s="6">
        <f t="shared" ca="1" si="71"/>
        <v>-1.3163358383038668</v>
      </c>
      <c r="C544" s="6">
        <f t="shared" ca="1" si="71"/>
        <v>-1.4035381046562296</v>
      </c>
      <c r="D544" s="6">
        <f t="shared" ca="1" si="71"/>
        <v>-0.6419869506000444</v>
      </c>
      <c r="E544" s="8">
        <f t="shared" ca="1" si="72"/>
        <v>-2.9970859786180803E-2</v>
      </c>
      <c r="F544" s="8">
        <f t="shared" ca="1" si="73"/>
        <v>-8.1092757416685077E-2</v>
      </c>
      <c r="G544" s="8">
        <f t="shared" ca="1" si="74"/>
        <v>-5.927359020756557E-2</v>
      </c>
      <c r="H544" s="10">
        <f t="shared" ca="1" si="75"/>
        <v>3895.6370270986981</v>
      </c>
      <c r="I544" s="10">
        <f t="shared" ca="1" si="76"/>
        <v>499.88553996532329</v>
      </c>
      <c r="J544" s="10">
        <f t="shared" ca="1" si="77"/>
        <v>2103.4642522958834</v>
      </c>
      <c r="K544" s="12">
        <f t="array" aca="1" ref="K544:L544" ca="1">Opt3Spd(H544:J544,$E$3:$G$3,$K$3:$M$3,$N$3:$P$3,$H$3,$I$3,$Q$3,$J$3)</f>
        <v>219.0983782900546</v>
      </c>
      <c r="L544" s="12">
        <f ca="1"/>
        <v>1.0341283815705538E-2</v>
      </c>
      <c r="M544" s="12">
        <f t="array" aca="1" ref="M544:N544" ca="1">Opt3Spd(H544:J544,$E$3:$G$3,$K$3:$M$3,$N$3:$P$3,$H$4,$I$3,$Q$3,$J$3)</f>
        <v>0.16977887086773258</v>
      </c>
      <c r="N544" s="12">
        <f ca="1"/>
        <v>181.08174186462884</v>
      </c>
      <c r="O544" s="12">
        <f t="shared" ca="1" si="78"/>
        <v>0.18012015468343812</v>
      </c>
    </row>
    <row r="545" spans="2:15" x14ac:dyDescent="0.15">
      <c r="B545" s="6">
        <f t="shared" ca="1" si="71"/>
        <v>-1.3515721097951521</v>
      </c>
      <c r="C545" s="6">
        <f t="shared" ca="1" si="71"/>
        <v>-0.43176473064521531</v>
      </c>
      <c r="D545" s="6">
        <f t="shared" ca="1" si="71"/>
        <v>-1.4897649361140068</v>
      </c>
      <c r="E545" s="8">
        <f t="shared" ca="1" si="72"/>
        <v>-3.0773133280165347E-2</v>
      </c>
      <c r="F545" s="8">
        <f t="shared" ca="1" si="73"/>
        <v>-6.006018523742894E-2</v>
      </c>
      <c r="G545" s="8">
        <f t="shared" ca="1" si="74"/>
        <v>-6.6778508681502091E-2</v>
      </c>
      <c r="H545" s="10">
        <f t="shared" ca="1" si="75"/>
        <v>3892.4150967468559</v>
      </c>
      <c r="I545" s="10">
        <f t="shared" ca="1" si="76"/>
        <v>511.32725923083865</v>
      </c>
      <c r="J545" s="10">
        <f t="shared" ca="1" si="77"/>
        <v>2086.6832545881616</v>
      </c>
      <c r="K545" s="12">
        <f t="array" aca="1" ref="K545:L545" ca="1">Opt3Spd(H545:J545,$E$3:$G$3,$K$3:$M$3,$N$3:$P$3,$H$3,$I$3,$Q$3,$J$3)</f>
        <v>205.97015028390001</v>
      </c>
      <c r="L545" s="12">
        <f ca="1"/>
        <v>2.0295600466624819E-2</v>
      </c>
      <c r="M545" s="12">
        <f t="array" aca="1" ref="M545:N545" ca="1">Opt3Spd(H545:J545,$E$3:$G$3,$K$3:$M$3,$N$3:$P$3,$H$4,$I$3,$Q$3,$J$3)</f>
        <v>9.3481485822069388E-2</v>
      </c>
      <c r="N545" s="12">
        <f ca="1"/>
        <v>194.1436268023887</v>
      </c>
      <c r="O545" s="12">
        <f t="shared" ca="1" si="78"/>
        <v>0.11377708628869421</v>
      </c>
    </row>
    <row r="546" spans="2:15" x14ac:dyDescent="0.15">
      <c r="B546" s="6">
        <f t="shared" ca="1" si="71"/>
        <v>-1.2293053894003729</v>
      </c>
      <c r="C546" s="6">
        <f t="shared" ca="1" si="71"/>
        <v>-1.0417239056777898</v>
      </c>
      <c r="D546" s="6">
        <f t="shared" ca="1" si="71"/>
        <v>1.1586589381217067</v>
      </c>
      <c r="E546" s="8">
        <f t="shared" ca="1" si="72"/>
        <v>-2.7989315787062805E-2</v>
      </c>
      <c r="F546" s="8">
        <f t="shared" ca="1" si="73"/>
        <v>-6.9546927312309076E-2</v>
      </c>
      <c r="G546" s="8">
        <f t="shared" ca="1" si="74"/>
        <v>-3.5843518390447922E-2</v>
      </c>
      <c r="H546" s="10">
        <f t="shared" ca="1" si="75"/>
        <v>3903.5949077991559</v>
      </c>
      <c r="I546" s="10">
        <f t="shared" ca="1" si="76"/>
        <v>506.16647154210386</v>
      </c>
      <c r="J546" s="10">
        <f t="shared" ca="1" si="77"/>
        <v>2155.8538928789585</v>
      </c>
      <c r="K546" s="12">
        <f t="array" aca="1" ref="K546:L546" ca="1">Opt3Spd(H546:J546,$E$3:$G$3,$K$3:$M$3,$N$3:$P$3,$H$3,$I$3,$Q$3,$J$3)</f>
        <v>190.84805216712266</v>
      </c>
      <c r="L546" s="12">
        <f ca="1"/>
        <v>4.6445274812413118E-2</v>
      </c>
      <c r="M546" s="12">
        <f t="array" aca="1" ref="M546:N546" ca="1">Opt3Spd(H546:J546,$E$3:$G$3,$K$3:$M$3,$N$3:$P$3,$H$4,$I$3,$Q$3,$J$3)</f>
        <v>4.8719018758376365E-2</v>
      </c>
      <c r="N546" s="12">
        <f ca="1"/>
        <v>209.24711212644814</v>
      </c>
      <c r="O546" s="12">
        <f t="shared" ca="1" si="78"/>
        <v>9.5164293570789482E-2</v>
      </c>
    </row>
    <row r="547" spans="2:15" x14ac:dyDescent="0.15">
      <c r="B547" s="6">
        <f t="shared" ca="1" si="71"/>
        <v>-0.8075124441392878</v>
      </c>
      <c r="C547" s="6">
        <f t="shared" ca="1" si="71"/>
        <v>0.51155844778563486</v>
      </c>
      <c r="D547" s="6">
        <f t="shared" ca="1" si="71"/>
        <v>-1.4127479301997641</v>
      </c>
      <c r="E547" s="8">
        <f t="shared" ca="1" si="72"/>
        <v>-1.8385765649349382E-2</v>
      </c>
      <c r="F547" s="8">
        <f t="shared" ca="1" si="73"/>
        <v>-1.8193516631611326E-2</v>
      </c>
      <c r="G547" s="8">
        <f t="shared" ca="1" si="74"/>
        <v>-4.3231735244452868E-2</v>
      </c>
      <c r="H547" s="10">
        <f t="shared" ca="1" si="75"/>
        <v>3942.1627651522131</v>
      </c>
      <c r="I547" s="10">
        <f t="shared" ca="1" si="76"/>
        <v>534.10272695240349</v>
      </c>
      <c r="J547" s="10">
        <f t="shared" ca="1" si="77"/>
        <v>2139.3338399934032</v>
      </c>
      <c r="K547" s="12">
        <f t="array" aca="1" ref="K547:L547" ca="1">Opt3Spd(H547:J547,$E$3:$G$3,$K$3:$M$3,$N$3:$P$3,$H$3,$I$3,$Q$3,$J$3)</f>
        <v>192.97323311051923</v>
      </c>
      <c r="L547" s="12">
        <f ca="1"/>
        <v>4.1751078853167201E-2</v>
      </c>
      <c r="M547" s="12">
        <f t="array" aca="1" ref="M547:N547" ca="1">Opt3Spd(H547:J547,$E$3:$G$3,$K$3:$M$3,$N$3:$P$3,$H$4,$I$3,$Q$3,$J$3)</f>
        <v>5.3412241119516146E-2</v>
      </c>
      <c r="N547" s="12">
        <f ca="1"/>
        <v>207.12193020945344</v>
      </c>
      <c r="O547" s="12">
        <f t="shared" ca="1" si="78"/>
        <v>9.5163319972683347E-2</v>
      </c>
    </row>
    <row r="548" spans="2:15" x14ac:dyDescent="0.15">
      <c r="B548" s="6">
        <f t="shared" ca="1" si="71"/>
        <v>0.31394207857501272</v>
      </c>
      <c r="C548" s="6">
        <f t="shared" ca="1" si="71"/>
        <v>-1.7744815071497935</v>
      </c>
      <c r="D548" s="6">
        <f t="shared" ca="1" si="71"/>
        <v>-8.7232707744447524E-2</v>
      </c>
      <c r="E548" s="8">
        <f t="shared" ca="1" si="72"/>
        <v>7.1479585559850387E-3</v>
      </c>
      <c r="F548" s="8">
        <f t="shared" ca="1" si="73"/>
        <v>-2.9147447208800671E-2</v>
      </c>
      <c r="G548" s="8">
        <f t="shared" ca="1" si="74"/>
        <v>5.4531584856273531E-3</v>
      </c>
      <c r="H548" s="10">
        <f t="shared" ca="1" si="75"/>
        <v>4044.7062015608358</v>
      </c>
      <c r="I548" s="10">
        <f t="shared" ca="1" si="76"/>
        <v>528.14378871841245</v>
      </c>
      <c r="J548" s="10">
        <f t="shared" ca="1" si="77"/>
        <v>2248.193262373863</v>
      </c>
      <c r="K548" s="12">
        <f t="array" aca="1" ref="K548:L548" ca="1">Opt3Spd(H548:J548,$E$3:$G$3,$K$3:$M$3,$N$3:$P$3,$H$3,$I$3,$Q$3,$J$3)</f>
        <v>250.58173016050887</v>
      </c>
      <c r="L548" s="12">
        <f ca="1"/>
        <v>2.2217360647118767E-3</v>
      </c>
      <c r="M548" s="12">
        <f t="array" aca="1" ref="M548:N548" ca="1">Opt3Spd(H548:J548,$E$3:$G$3,$K$3:$M$3,$N$3:$P$3,$H$4,$I$3,$Q$3,$J$3)</f>
        <v>0.65271418104373424</v>
      </c>
      <c r="N548" s="12">
        <f ca="1"/>
        <v>150.07320575659958</v>
      </c>
      <c r="O548" s="12">
        <f t="shared" ca="1" si="78"/>
        <v>0.65493591710844612</v>
      </c>
    </row>
    <row r="549" spans="2:15" x14ac:dyDescent="0.15">
      <c r="B549" s="6">
        <f t="shared" ca="1" si="71"/>
        <v>2.1498956709595332</v>
      </c>
      <c r="C549" s="6">
        <f t="shared" ca="1" si="71"/>
        <v>1.3623454965108104</v>
      </c>
      <c r="D549" s="6">
        <f t="shared" ca="1" si="71"/>
        <v>1.1922352621323138</v>
      </c>
      <c r="E549" s="8">
        <f t="shared" ca="1" si="72"/>
        <v>4.8949682774169896E-2</v>
      </c>
      <c r="F549" s="8">
        <f t="shared" ca="1" si="73"/>
        <v>0.11106546704742101</v>
      </c>
      <c r="G549" s="8">
        <f t="shared" ca="1" si="74"/>
        <v>9.5639467150307148E-2</v>
      </c>
      <c r="H549" s="10">
        <f t="shared" ca="1" si="75"/>
        <v>4212.5819260210665</v>
      </c>
      <c r="I549" s="10">
        <f t="shared" ca="1" si="76"/>
        <v>604.41961407379699</v>
      </c>
      <c r="J549" s="10">
        <f t="shared" ca="1" si="77"/>
        <v>2449.8498485480868</v>
      </c>
      <c r="K549" s="12">
        <f t="array" aca="1" ref="K549:L549" ca="1">Opt3Spd(H549:J549,$E$3:$G$3,$K$3:$M$3,$N$3:$P$3,$H$3,$I$3,$Q$3,$J$3)</f>
        <v>195.63963633949561</v>
      </c>
      <c r="L549" s="12">
        <f ca="1"/>
        <v>5.4017110547647462E-2</v>
      </c>
      <c r="M549" s="12">
        <f t="array" aca="1" ref="M549:N549" ca="1">Opt3Spd(H549:J549,$E$3:$G$3,$K$3:$M$3,$N$3:$P$3,$H$4,$I$3,$Q$3,$J$3)</f>
        <v>8.2527316895999903E-2</v>
      </c>
      <c r="N549" s="12">
        <f ca="1"/>
        <v>204.49690808794804</v>
      </c>
      <c r="O549" s="12">
        <f t="shared" ca="1" si="78"/>
        <v>0.13654442744364736</v>
      </c>
    </row>
    <row r="550" spans="2:15" x14ac:dyDescent="0.15">
      <c r="B550" s="6">
        <f t="shared" ca="1" si="71"/>
        <v>3.4846601525711098E-2</v>
      </c>
      <c r="C550" s="6">
        <f t="shared" ca="1" si="71"/>
        <v>-1.0464436892720355</v>
      </c>
      <c r="D550" s="6">
        <f t="shared" ca="1" si="71"/>
        <v>0.57473431240533579</v>
      </c>
      <c r="E550" s="8">
        <f t="shared" ca="1" si="72"/>
        <v>7.9340133267032814E-4</v>
      </c>
      <c r="F550" s="8">
        <f t="shared" ca="1" si="73"/>
        <v>-2.276358473632397E-2</v>
      </c>
      <c r="G550" s="8">
        <f t="shared" ca="1" si="74"/>
        <v>4.3650877843603112E-3</v>
      </c>
      <c r="H550" s="10">
        <f t="shared" ca="1" si="75"/>
        <v>4019.1862997520038</v>
      </c>
      <c r="I550" s="10">
        <f t="shared" ca="1" si="76"/>
        <v>531.61660990343978</v>
      </c>
      <c r="J550" s="10">
        <f t="shared" ca="1" si="77"/>
        <v>2245.7603362858299</v>
      </c>
      <c r="K550" s="12">
        <f t="array" aca="1" ref="K550:L550" ca="1">Opt3Spd(H550:J550,$E$3:$G$3,$K$3:$M$3,$N$3:$P$3,$H$3,$I$3,$Q$3,$J$3)</f>
        <v>220.73102122829619</v>
      </c>
      <c r="L550" s="12">
        <f ca="1"/>
        <v>1.1465464711136519E-2</v>
      </c>
      <c r="M550" s="12">
        <f t="array" aca="1" ref="M550:N550" ca="1">Opt3Spd(H550:J550,$E$3:$G$3,$K$3:$M$3,$N$3:$P$3,$H$4,$I$3,$Q$3,$J$3)</f>
        <v>0.201797999469985</v>
      </c>
      <c r="N550" s="12">
        <f ca="1"/>
        <v>179.48224223588494</v>
      </c>
      <c r="O550" s="12">
        <f t="shared" ca="1" si="78"/>
        <v>0.21326346418112152</v>
      </c>
    </row>
    <row r="551" spans="2:15" x14ac:dyDescent="0.15">
      <c r="B551" s="6">
        <f t="shared" ca="1" si="71"/>
        <v>-0.9964575697952861</v>
      </c>
      <c r="C551" s="6">
        <f t="shared" ca="1" si="71"/>
        <v>-2.1632953079687058</v>
      </c>
      <c r="D551" s="6">
        <f t="shared" ca="1" si="71"/>
        <v>-0.88381874156284734</v>
      </c>
      <c r="E551" s="8">
        <f t="shared" ca="1" si="72"/>
        <v>-2.2687743688339011E-2</v>
      </c>
      <c r="F551" s="8">
        <f t="shared" ca="1" si="73"/>
        <v>-8.6693023723571891E-2</v>
      </c>
      <c r="G551" s="8">
        <f t="shared" ca="1" si="74"/>
        <v>-5.2303583080060473E-2</v>
      </c>
      <c r="H551" s="10">
        <f t="shared" ca="1" si="75"/>
        <v>3924.8860213476305</v>
      </c>
      <c r="I551" s="10">
        <f t="shared" ca="1" si="76"/>
        <v>496.83899509437686</v>
      </c>
      <c r="J551" s="10">
        <f t="shared" ca="1" si="77"/>
        <v>2119.0491882329848</v>
      </c>
      <c r="K551" s="12">
        <f t="array" aca="1" ref="K551:L551" ca="1">Opt3Spd(H551:J551,$E$3:$G$3,$K$3:$M$3,$N$3:$P$3,$H$3,$I$3,$Q$3,$J$3)</f>
        <v>245.42147120264008</v>
      </c>
      <c r="L551" s="12">
        <f ca="1"/>
        <v>2.4361225046050095E-3</v>
      </c>
      <c r="M551" s="12">
        <f t="array" aca="1" ref="M551:N551" ca="1">Opt3Spd(H551:J551,$E$3:$G$3,$K$3:$M$3,$N$3:$P$3,$H$4,$I$3,$Q$3,$J$3)</f>
        <v>0.50109266204918157</v>
      </c>
      <c r="N551" s="12">
        <f ca="1"/>
        <v>155.08205758191372</v>
      </c>
      <c r="O551" s="12">
        <f t="shared" ca="1" si="78"/>
        <v>0.50352878455378658</v>
      </c>
    </row>
    <row r="552" spans="2:15" x14ac:dyDescent="0.15">
      <c r="B552" s="6">
        <f t="shared" ca="1" si="71"/>
        <v>-1.830721201010951</v>
      </c>
      <c r="C552" s="6">
        <f t="shared" ca="1" si="71"/>
        <v>0.79714576099955969</v>
      </c>
      <c r="D552" s="6">
        <f t="shared" ca="1" si="71"/>
        <v>-0.4225584803259162</v>
      </c>
      <c r="E552" s="8">
        <f t="shared" ca="1" si="72"/>
        <v>-4.1682591042865598E-2</v>
      </c>
      <c r="F552" s="8">
        <f t="shared" ca="1" si="73"/>
        <v>-4.9582704873537498E-2</v>
      </c>
      <c r="G552" s="8">
        <f t="shared" ca="1" si="74"/>
        <v>-6.9445167300077132E-2</v>
      </c>
      <c r="H552" s="10">
        <f t="shared" ca="1" si="75"/>
        <v>3848.6027143718516</v>
      </c>
      <c r="I552" s="10">
        <f t="shared" ca="1" si="76"/>
        <v>517.02700854879561</v>
      </c>
      <c r="J552" s="10">
        <f t="shared" ca="1" si="77"/>
        <v>2080.7206059170276</v>
      </c>
      <c r="K552" s="12">
        <f t="array" aca="1" ref="K552:L552" ca="1">Opt3Spd(H552:J552,$E$3:$G$3,$K$3:$M$3,$N$3:$P$3,$H$3,$I$3,$Q$3,$J$3)</f>
        <v>156.21444640574987</v>
      </c>
      <c r="L552" s="12">
        <f ca="1"/>
        <v>0.21524867048515262</v>
      </c>
      <c r="M552" s="12">
        <f t="array" aca="1" ref="M552:N552" ca="1">Opt3Spd(H552:J552,$E$3:$G$3,$K$3:$M$3,$N$3:$P$3,$H$4,$I$3,$Q$3,$J$3)</f>
        <v>7.3847492919631996E-3</v>
      </c>
      <c r="N552" s="12">
        <f ca="1"/>
        <v>244.00818701402724</v>
      </c>
      <c r="O552" s="12">
        <f t="shared" ca="1" si="78"/>
        <v>0.22263341977711582</v>
      </c>
    </row>
    <row r="553" spans="2:15" x14ac:dyDescent="0.15">
      <c r="B553" s="6">
        <f t="shared" ca="1" si="71"/>
        <v>-9.794902419694182E-2</v>
      </c>
      <c r="C553" s="6">
        <f t="shared" ca="1" si="71"/>
        <v>-1.0911798731059674</v>
      </c>
      <c r="D553" s="6">
        <f t="shared" ca="1" si="71"/>
        <v>-0.60073636393820118</v>
      </c>
      <c r="E553" s="8">
        <f t="shared" ca="1" si="72"/>
        <v>-2.2301424795836242E-3</v>
      </c>
      <c r="F553" s="8">
        <f t="shared" ca="1" si="73"/>
        <v>-2.8717859163839839E-2</v>
      </c>
      <c r="G553" s="8">
        <f t="shared" ca="1" si="74"/>
        <v>-1.3165828423587073E-2</v>
      </c>
      <c r="H553" s="10">
        <f t="shared" ca="1" si="75"/>
        <v>4007.0437478019921</v>
      </c>
      <c r="I553" s="10">
        <f t="shared" ca="1" si="76"/>
        <v>528.37748461487115</v>
      </c>
      <c r="J553" s="10">
        <f t="shared" ca="1" si="77"/>
        <v>2206.5612076448592</v>
      </c>
      <c r="K553" s="12">
        <f t="array" aca="1" ref="K553:L553" ca="1">Opt3Spd(H553:J553,$E$3:$G$3,$K$3:$M$3,$N$3:$P$3,$H$3,$I$3,$Q$3,$J$3)</f>
        <v>233.36468212799446</v>
      </c>
      <c r="L553" s="12">
        <f ca="1"/>
        <v>5.5135322254500352E-3</v>
      </c>
      <c r="M553" s="12">
        <f t="array" aca="1" ref="M553:N553" ca="1">Opt3Spd(H553:J553,$E$3:$G$3,$K$3:$M$3,$N$3:$P$3,$H$4,$I$3,$Q$3,$J$3)</f>
        <v>0.32947532791789058</v>
      </c>
      <c r="N553" s="12">
        <f ca="1"/>
        <v>166.97030673214888</v>
      </c>
      <c r="O553" s="12">
        <f t="shared" ca="1" si="78"/>
        <v>0.33498886014334062</v>
      </c>
    </row>
    <row r="554" spans="2:15" x14ac:dyDescent="0.15">
      <c r="B554" s="6">
        <f t="shared" ca="1" si="71"/>
        <v>-0.2393925589242282</v>
      </c>
      <c r="C554" s="6">
        <f t="shared" ca="1" si="71"/>
        <v>1.8002783194086434</v>
      </c>
      <c r="D554" s="6">
        <f t="shared" ca="1" si="71"/>
        <v>-1.964438482854852</v>
      </c>
      <c r="E554" s="8">
        <f t="shared" ca="1" si="72"/>
        <v>-5.4505853358957305E-3</v>
      </c>
      <c r="F554" s="8">
        <f t="shared" ca="1" si="73"/>
        <v>3.2505781024272463E-2</v>
      </c>
      <c r="G554" s="8">
        <f t="shared" ca="1" si="74"/>
        <v>-2.4496007730344931E-2</v>
      </c>
      <c r="H554" s="10">
        <f t="shared" ca="1" si="75"/>
        <v>3994.1104492910426</v>
      </c>
      <c r="I554" s="10">
        <f t="shared" ca="1" si="76"/>
        <v>561.6831448772042</v>
      </c>
      <c r="J554" s="10">
        <f t="shared" ca="1" si="77"/>
        <v>2181.2269267149491</v>
      </c>
      <c r="K554" s="12">
        <f t="array" aca="1" ref="K554:L554" ca="1">Opt3Spd(H554:J554,$E$3:$G$3,$K$3:$M$3,$N$3:$P$3,$H$3,$I$3,$Q$3,$J$3)</f>
        <v>179.8868304103562</v>
      </c>
      <c r="L554" s="12">
        <f ca="1"/>
        <v>8.2876280314621908E-2</v>
      </c>
      <c r="M554" s="12">
        <f t="array" aca="1" ref="M554:N554" ca="1">Opt3Spd(H554:J554,$E$3:$G$3,$K$3:$M$3,$N$3:$P$3,$H$4,$I$3,$Q$3,$J$3)</f>
        <v>2.9646540741182115E-2</v>
      </c>
      <c r="N554" s="12">
        <f ca="1"/>
        <v>220.22569241069959</v>
      </c>
      <c r="O554" s="12">
        <f t="shared" ca="1" si="78"/>
        <v>0.11252282105580402</v>
      </c>
    </row>
    <row r="555" spans="2:15" x14ac:dyDescent="0.15">
      <c r="B555" s="6">
        <f t="shared" ca="1" si="71"/>
        <v>0.18723444946083023</v>
      </c>
      <c r="C555" s="6">
        <f t="shared" ca="1" si="71"/>
        <v>-0.82715607014054449</v>
      </c>
      <c r="D555" s="6">
        <f t="shared" ca="1" si="71"/>
        <v>-2.6034431314656388</v>
      </c>
      <c r="E555" s="8">
        <f t="shared" ca="1" si="72"/>
        <v>4.2630286805561439E-3</v>
      </c>
      <c r="F555" s="8">
        <f t="shared" ca="1" si="73"/>
        <v>-1.2069890713756378E-2</v>
      </c>
      <c r="G555" s="8">
        <f t="shared" ca="1" si="74"/>
        <v>-2.325714205366371E-2</v>
      </c>
      <c r="H555" s="10">
        <f t="shared" ca="1" si="75"/>
        <v>4033.1203231811132</v>
      </c>
      <c r="I555" s="10">
        <f t="shared" ca="1" si="76"/>
        <v>537.43397945171648</v>
      </c>
      <c r="J555" s="10">
        <f t="shared" ca="1" si="77"/>
        <v>2183.9970303680079</v>
      </c>
      <c r="K555" s="12">
        <f t="array" aca="1" ref="K555:L555" ca="1">Opt3Spd(H555:J555,$E$3:$G$3,$K$3:$M$3,$N$3:$P$3,$H$3,$I$3,$Q$3,$J$3)</f>
        <v>256.22890309095033</v>
      </c>
      <c r="L555" s="12">
        <f ca="1"/>
        <v>1.4622165870150639E-3</v>
      </c>
      <c r="M555" s="12">
        <f t="array" aca="1" ref="M555:N555" ca="1">Opt3Spd(H555:J555,$E$3:$G$3,$K$3:$M$3,$N$3:$P$3,$H$4,$I$3,$Q$3,$J$3)</f>
        <v>0.77608033468586513</v>
      </c>
      <c r="N555" s="12">
        <f ca="1"/>
        <v>144.54863946032256</v>
      </c>
      <c r="O555" s="12">
        <f t="shared" ca="1" si="78"/>
        <v>0.77754255127288019</v>
      </c>
    </row>
    <row r="556" spans="2:15" x14ac:dyDescent="0.15">
      <c r="B556" s="6">
        <f t="shared" ca="1" si="71"/>
        <v>-0.41329912654774897</v>
      </c>
      <c r="C556" s="6">
        <f t="shared" ca="1" si="71"/>
        <v>-1.2269181286994424</v>
      </c>
      <c r="D556" s="6">
        <f t="shared" ca="1" si="71"/>
        <v>-0.48755979281279838</v>
      </c>
      <c r="E556" s="8">
        <f t="shared" ca="1" si="72"/>
        <v>-9.4101594829131639E-3</v>
      </c>
      <c r="F556" s="8">
        <f t="shared" ca="1" si="73"/>
        <v>-4.3535722030032087E-2</v>
      </c>
      <c r="G556" s="8">
        <f t="shared" ca="1" si="74"/>
        <v>-2.3939646394258864E-2</v>
      </c>
      <c r="H556" s="10">
        <f t="shared" ca="1" si="75"/>
        <v>3978.2087995166207</v>
      </c>
      <c r="I556" s="10">
        <f t="shared" ca="1" si="76"/>
        <v>520.31656721566253</v>
      </c>
      <c r="J556" s="10">
        <f t="shared" ca="1" si="77"/>
        <v>2182.4709506624372</v>
      </c>
      <c r="K556" s="12">
        <f t="array" aca="1" ref="K556:L556" ca="1">Opt3Spd(H556:J556,$E$3:$G$3,$K$3:$M$3,$N$3:$P$3,$H$3,$I$3,$Q$3,$J$3)</f>
        <v>229.4733924158686</v>
      </c>
      <c r="L556" s="12">
        <f ca="1"/>
        <v>6.5757755269260088E-3</v>
      </c>
      <c r="M556" s="12">
        <f t="array" aca="1" ref="M556:N556" ca="1">Opt3Spd(H556:J556,$E$3:$G$3,$K$3:$M$3,$N$3:$P$3,$H$4,$I$3,$Q$3,$J$3)</f>
        <v>0.27708839770131277</v>
      </c>
      <c r="N556" s="12">
        <f ca="1"/>
        <v>170.81027175735963</v>
      </c>
      <c r="O556" s="12">
        <f t="shared" ca="1" si="78"/>
        <v>0.28366417322823878</v>
      </c>
    </row>
    <row r="557" spans="2:15" x14ac:dyDescent="0.15">
      <c r="B557" s="6">
        <f t="shared" ca="1" si="71"/>
        <v>0.32060279204993569</v>
      </c>
      <c r="C557" s="6">
        <f t="shared" ca="1" si="71"/>
        <v>0.38984479513180181</v>
      </c>
      <c r="D557" s="6">
        <f t="shared" ca="1" si="71"/>
        <v>-1.2493950485383591</v>
      </c>
      <c r="E557" s="8">
        <f t="shared" ca="1" si="72"/>
        <v>7.2996123390272651E-3</v>
      </c>
      <c r="F557" s="8">
        <f t="shared" ca="1" si="73"/>
        <v>2.0854231053854807E-2</v>
      </c>
      <c r="G557" s="8">
        <f t="shared" ca="1" si="74"/>
        <v>-3.9974008852034594E-4</v>
      </c>
      <c r="H557" s="10">
        <f t="shared" ca="1" si="75"/>
        <v>4045.3152431535332</v>
      </c>
      <c r="I557" s="10">
        <f t="shared" ca="1" si="76"/>
        <v>555.344701693297</v>
      </c>
      <c r="J557" s="10">
        <f t="shared" ca="1" si="77"/>
        <v>2235.1061811620684</v>
      </c>
      <c r="K557" s="12">
        <f t="array" aca="1" ref="K557:L557" ca="1">Opt3Spd(H557:J557,$E$3:$G$3,$K$3:$M$3,$N$3:$P$3,$H$3,$I$3,$Q$3,$J$3)</f>
        <v>214.22683729465166</v>
      </c>
      <c r="L557" s="12">
        <f ca="1"/>
        <v>1.6207431427801566E-2</v>
      </c>
      <c r="M557" s="12">
        <f t="array" aca="1" ref="M557:N557" ca="1">Opt3Spd(H557:J557,$E$3:$G$3,$K$3:$M$3,$N$3:$P$3,$H$4,$I$3,$Q$3,$J$3)</f>
        <v>0.1528364915806506</v>
      </c>
      <c r="N557" s="12">
        <f ca="1"/>
        <v>185.94220662835679</v>
      </c>
      <c r="O557" s="12">
        <f t="shared" ca="1" si="78"/>
        <v>0.16904392300845217</v>
      </c>
    </row>
    <row r="558" spans="2:15" x14ac:dyDescent="0.15">
      <c r="B558" s="6">
        <f t="shared" ca="1" si="71"/>
        <v>-0.22378203950564807</v>
      </c>
      <c r="C558" s="6">
        <f t="shared" ca="1" si="71"/>
        <v>0.49822054299990065</v>
      </c>
      <c r="D558" s="6">
        <f t="shared" ca="1" si="71"/>
        <v>0.79414921811708916</v>
      </c>
      <c r="E558" s="8">
        <f t="shared" ca="1" si="72"/>
        <v>-5.0951587987845253E-3</v>
      </c>
      <c r="F558" s="8">
        <f t="shared" ca="1" si="73"/>
        <v>3.152478643299394E-3</v>
      </c>
      <c r="G558" s="8">
        <f t="shared" ca="1" si="74"/>
        <v>1.6850463255616648E-3</v>
      </c>
      <c r="H558" s="10">
        <f t="shared" ca="1" si="75"/>
        <v>3995.5378422640815</v>
      </c>
      <c r="I558" s="10">
        <f t="shared" ca="1" si="76"/>
        <v>545.71494838195497</v>
      </c>
      <c r="J558" s="10">
        <f t="shared" ca="1" si="77"/>
        <v>2239.7677635839559</v>
      </c>
      <c r="K558" s="12">
        <f t="array" aca="1" ref="K558:L558" ca="1">Opt3Spd(H558:J558,$E$3:$G$3,$K$3:$M$3,$N$3:$P$3,$H$3,$I$3,$Q$3,$J$3)</f>
        <v>177.60591065834501</v>
      </c>
      <c r="L558" s="12">
        <f ca="1"/>
        <v>9.5867597369306168E-2</v>
      </c>
      <c r="M558" s="12">
        <f t="array" aca="1" ref="M558:N558" ca="1">Opt3Spd(H558:J558,$E$3:$G$3,$K$3:$M$3,$N$3:$P$3,$H$4,$I$3,$Q$3,$J$3)</f>
        <v>2.7811819273871219E-2</v>
      </c>
      <c r="N558" s="12">
        <f ca="1"/>
        <v>222.51776875829816</v>
      </c>
      <c r="O558" s="12">
        <f t="shared" ca="1" si="78"/>
        <v>0.12367941664317739</v>
      </c>
    </row>
    <row r="559" spans="2:15" x14ac:dyDescent="0.15">
      <c r="B559" s="6">
        <f t="shared" ca="1" si="71"/>
        <v>1.0003429909070072</v>
      </c>
      <c r="C559" s="6">
        <f t="shared" ca="1" si="71"/>
        <v>-0.15780693792094427</v>
      </c>
      <c r="D559" s="6">
        <f t="shared" ca="1" si="71"/>
        <v>7.2293816605986758E-2</v>
      </c>
      <c r="E559" s="8">
        <f t="shared" ca="1" si="72"/>
        <v>2.2776208507088992E-2</v>
      </c>
      <c r="F559" s="8">
        <f t="shared" ca="1" si="73"/>
        <v>3.3478495354325462E-2</v>
      </c>
      <c r="G559" s="8">
        <f t="shared" ca="1" si="74"/>
        <v>3.7063015721737147E-2</v>
      </c>
      <c r="H559" s="10">
        <f t="shared" ca="1" si="75"/>
        <v>4107.4692533644693</v>
      </c>
      <c r="I559" s="10">
        <f t="shared" ca="1" si="76"/>
        <v>562.2123014727531</v>
      </c>
      <c r="J559" s="10">
        <f t="shared" ca="1" si="77"/>
        <v>2318.8729031538041</v>
      </c>
      <c r="K559" s="12">
        <f t="array" aca="1" ref="K559:L559" ca="1">Opt3Spd(H559:J559,$E$3:$G$3,$K$3:$M$3,$N$3:$P$3,$H$3,$I$3,$Q$3,$J$3)</f>
        <v>223.50427832751484</v>
      </c>
      <c r="L559" s="12">
        <f ca="1"/>
        <v>1.11588963527538E-2</v>
      </c>
      <c r="M559" s="12">
        <f t="array" aca="1" ref="M559:N559" ca="1">Opt3Spd(H559:J559,$E$3:$G$3,$K$3:$M$3,$N$3:$P$3,$H$4,$I$3,$Q$3,$J$3)</f>
        <v>0.24005736697085567</v>
      </c>
      <c r="N559" s="12">
        <f ca="1"/>
        <v>176.74693793580877</v>
      </c>
      <c r="O559" s="12">
        <f t="shared" ca="1" si="78"/>
        <v>0.25121626332360947</v>
      </c>
    </row>
    <row r="560" spans="2:15" x14ac:dyDescent="0.15">
      <c r="B560" s="6">
        <f t="shared" ca="1" si="71"/>
        <v>0.80410764375445043</v>
      </c>
      <c r="C560" s="6">
        <f t="shared" ca="1" si="71"/>
        <v>0.35118900953016197</v>
      </c>
      <c r="D560" s="6">
        <f t="shared" ca="1" si="71"/>
        <v>-2.0122941887885943</v>
      </c>
      <c r="E560" s="8">
        <f t="shared" ca="1" si="72"/>
        <v>1.8308243795150392E-2</v>
      </c>
      <c r="F560" s="8">
        <f t="shared" ca="1" si="73"/>
        <v>3.790048805167643E-2</v>
      </c>
      <c r="G560" s="8">
        <f t="shared" ca="1" si="74"/>
        <v>9.1240192326036591E-3</v>
      </c>
      <c r="H560" s="10">
        <f t="shared" ca="1" si="75"/>
        <v>4089.5259070813245</v>
      </c>
      <c r="I560" s="10">
        <f t="shared" ca="1" si="76"/>
        <v>564.61786550011198</v>
      </c>
      <c r="J560" s="10">
        <f t="shared" ca="1" si="77"/>
        <v>2256.4013070041019</v>
      </c>
      <c r="K560" s="12">
        <f t="array" aca="1" ref="K560:L560" ca="1">Opt3Spd(H560:J560,$E$3:$G$3,$K$3:$M$3,$N$3:$P$3,$H$3,$I$3,$Q$3,$J$3)</f>
        <v>232.94291241373435</v>
      </c>
      <c r="L560" s="12">
        <f ca="1"/>
        <v>6.2436346399863396E-3</v>
      </c>
      <c r="M560" s="12">
        <f t="array" aca="1" ref="M560:N560" ca="1">Opt3Spd(H560:J560,$E$3:$G$3,$K$3:$M$3,$N$3:$P$3,$H$4,$I$3,$Q$3,$J$3)</f>
        <v>0.33703267424589711</v>
      </c>
      <c r="N560" s="12">
        <f ca="1"/>
        <v>167.40036389515154</v>
      </c>
      <c r="O560" s="12">
        <f t="shared" ca="1" si="78"/>
        <v>0.34327630888588345</v>
      </c>
    </row>
    <row r="561" spans="2:15" x14ac:dyDescent="0.15">
      <c r="B561" s="6">
        <f t="shared" ca="1" si="71"/>
        <v>-0.1137877756348334</v>
      </c>
      <c r="C561" s="6">
        <f t="shared" ca="1" si="71"/>
        <v>0.47854981352707032</v>
      </c>
      <c r="D561" s="6">
        <f t="shared" ca="1" si="71"/>
        <v>-0.37274865980548583</v>
      </c>
      <c r="E561" s="8">
        <f t="shared" ca="1" si="72"/>
        <v>-2.5907654944100555E-3</v>
      </c>
      <c r="F561" s="8">
        <f t="shared" ca="1" si="73"/>
        <v>6.7803522271049511E-3</v>
      </c>
      <c r="G561" s="8">
        <f t="shared" ca="1" si="74"/>
        <v>-6.7620733959846361E-3</v>
      </c>
      <c r="H561" s="10">
        <f t="shared" ca="1" si="75"/>
        <v>4005.5954857744491</v>
      </c>
      <c r="I561" s="10">
        <f t="shared" ca="1" si="76"/>
        <v>547.6885116115451</v>
      </c>
      <c r="J561" s="10">
        <f t="shared" ca="1" si="77"/>
        <v>2220.8800038865784</v>
      </c>
      <c r="K561" s="12">
        <f t="array" aca="1" ref="K561:L561" ca="1">Opt3Spd(H561:J561,$E$3:$G$3,$K$3:$M$3,$N$3:$P$3,$H$3,$I$3,$Q$3,$J$3)</f>
        <v>193.89765317514662</v>
      </c>
      <c r="L561" s="12">
        <f ca="1"/>
        <v>4.3787922458932371E-2</v>
      </c>
      <c r="M561" s="12">
        <f t="array" aca="1" ref="M561:N561" ca="1">Opt3Spd(H561:J561,$E$3:$G$3,$K$3:$M$3,$N$3:$P$3,$H$4,$I$3,$Q$3,$J$3)</f>
        <v>6.0318836864181158E-2</v>
      </c>
      <c r="N561" s="12">
        <f ca="1"/>
        <v>206.2064535841765</v>
      </c>
      <c r="O561" s="12">
        <f t="shared" ca="1" si="78"/>
        <v>0.10410675932311353</v>
      </c>
    </row>
    <row r="562" spans="2:15" x14ac:dyDescent="0.15">
      <c r="B562" s="6">
        <f t="shared" ca="1" si="71"/>
        <v>1.4638639941848512</v>
      </c>
      <c r="C562" s="6">
        <f t="shared" ca="1" si="71"/>
        <v>1.1607490783213286</v>
      </c>
      <c r="D562" s="6">
        <f t="shared" ca="1" si="71"/>
        <v>0.47202910301631235</v>
      </c>
      <c r="E562" s="8">
        <f t="shared" ca="1" si="72"/>
        <v>3.3329839725616386E-2</v>
      </c>
      <c r="F562" s="8">
        <f t="shared" ca="1" si="73"/>
        <v>8.0983740734483362E-2</v>
      </c>
      <c r="G562" s="8">
        <f t="shared" ca="1" si="74"/>
        <v>6.2178155073085564E-2</v>
      </c>
      <c r="H562" s="10">
        <f t="shared" ca="1" si="75"/>
        <v>4149.8526363380752</v>
      </c>
      <c r="I562" s="10">
        <f t="shared" ca="1" si="76"/>
        <v>588.05515495955888</v>
      </c>
      <c r="J562" s="10">
        <f t="shared" ca="1" si="77"/>
        <v>2375.0303547434191</v>
      </c>
      <c r="K562" s="12">
        <f t="array" aca="1" ref="K562:L562" ca="1">Opt3Spd(H562:J562,$E$3:$G$3,$K$3:$M$3,$N$3:$P$3,$H$3,$I$3,$Q$3,$J$3)</f>
        <v>196.49631888247063</v>
      </c>
      <c r="L562" s="12">
        <f ca="1"/>
        <v>4.7107851399232459E-2</v>
      </c>
      <c r="M562" s="12">
        <f t="array" aca="1" ref="M562:N562" ca="1">Opt3Spd(H562:J562,$E$3:$G$3,$K$3:$M$3,$N$3:$P$3,$H$4,$I$3,$Q$3,$J$3)</f>
        <v>7.9500169066259119E-2</v>
      </c>
      <c r="N562" s="12">
        <f ca="1"/>
        <v>203.63028913799485</v>
      </c>
      <c r="O562" s="12">
        <f t="shared" ca="1" si="78"/>
        <v>0.12660802046549158</v>
      </c>
    </row>
    <row r="563" spans="2:15" x14ac:dyDescent="0.15">
      <c r="B563" s="6">
        <f t="shared" ca="1" si="71"/>
        <v>0.713121179051311</v>
      </c>
      <c r="C563" s="6">
        <f t="shared" ca="1" si="71"/>
        <v>0.27958862951032099</v>
      </c>
      <c r="D563" s="6">
        <f t="shared" ca="1" si="71"/>
        <v>1.0271770554340214</v>
      </c>
      <c r="E563" s="8">
        <f t="shared" ca="1" si="72"/>
        <v>1.6236627649249651E-2</v>
      </c>
      <c r="F563" s="8">
        <f t="shared" ca="1" si="73"/>
        <v>3.2879494950514433E-2</v>
      </c>
      <c r="G563" s="8">
        <f t="shared" ca="1" si="74"/>
        <v>3.7953123107435739E-2</v>
      </c>
      <c r="H563" s="10">
        <f t="shared" ca="1" si="75"/>
        <v>4081.2062966393864</v>
      </c>
      <c r="I563" s="10">
        <f t="shared" ca="1" si="76"/>
        <v>561.88644525307984</v>
      </c>
      <c r="J563" s="10">
        <f t="shared" ca="1" si="77"/>
        <v>2320.8631832682263</v>
      </c>
      <c r="K563" s="12">
        <f t="array" aca="1" ref="K563:L563" ca="1">Opt3Spd(H563:J563,$E$3:$G$3,$K$3:$M$3,$N$3:$P$3,$H$3,$I$3,$Q$3,$J$3)</f>
        <v>196.79908237751306</v>
      </c>
      <c r="L563" s="12">
        <f ca="1"/>
        <v>4.2689777167424836E-2</v>
      </c>
      <c r="M563" s="12">
        <f t="array" aca="1" ref="M563:N563" ca="1">Opt3Spd(H563:J563,$E$3:$G$3,$K$3:$M$3,$N$3:$P$3,$H$4,$I$3,$Q$3,$J$3)</f>
        <v>7.5773874003373543E-2</v>
      </c>
      <c r="N563" s="12">
        <f ca="1"/>
        <v>203.31938127365774</v>
      </c>
      <c r="O563" s="12">
        <f t="shared" ca="1" si="78"/>
        <v>0.11846365117079838</v>
      </c>
    </row>
    <row r="564" spans="2:15" x14ac:dyDescent="0.15">
      <c r="B564" s="6">
        <f t="shared" ca="1" si="71"/>
        <v>0.29724301793140206</v>
      </c>
      <c r="C564" s="6">
        <f t="shared" ca="1" si="71"/>
        <v>0.46053257723617796</v>
      </c>
      <c r="D564" s="6">
        <f t="shared" ca="1" si="71"/>
        <v>-1.0589879330355252</v>
      </c>
      <c r="E564" s="8">
        <f t="shared" ca="1" si="72"/>
        <v>6.7677476777676122E-3</v>
      </c>
      <c r="F564" s="8">
        <f t="shared" ca="1" si="73"/>
        <v>2.1612740752130027E-2</v>
      </c>
      <c r="G564" s="8">
        <f t="shared" ca="1" si="74"/>
        <v>9.7568172762651801E-4</v>
      </c>
      <c r="H564" s="10">
        <f t="shared" ca="1" si="75"/>
        <v>4043.1792746739147</v>
      </c>
      <c r="I564" s="10">
        <f t="shared" ca="1" si="76"/>
        <v>555.75733096915872</v>
      </c>
      <c r="J564" s="10">
        <f t="shared" ca="1" si="77"/>
        <v>2238.181624342973</v>
      </c>
      <c r="K564" s="12">
        <f t="array" aca="1" ref="K564:L564" ca="1">Opt3Spd(H564:J564,$E$3:$G$3,$K$3:$M$3,$N$3:$P$3,$H$3,$I$3,$Q$3,$J$3)</f>
        <v>209.89704157136407</v>
      </c>
      <c r="L564" s="12">
        <f ca="1"/>
        <v>2.0308619589968657E-2</v>
      </c>
      <c r="M564" s="12">
        <f t="array" aca="1" ref="M564:N564" ca="1">Opt3Spd(H564:J564,$E$3:$G$3,$K$3:$M$3,$N$3:$P$3,$H$4,$I$3,$Q$3,$J$3)</f>
        <v>0.1269428662283989</v>
      </c>
      <c r="N564" s="12">
        <f ca="1"/>
        <v>190.2502099144543</v>
      </c>
      <c r="O564" s="12">
        <f t="shared" ca="1" si="78"/>
        <v>0.14725148581836756</v>
      </c>
    </row>
    <row r="565" spans="2:15" x14ac:dyDescent="0.15">
      <c r="B565" s="6">
        <f t="shared" ca="1" si="71"/>
        <v>0.14378507600424514</v>
      </c>
      <c r="C565" s="6">
        <f t="shared" ca="1" si="71"/>
        <v>-0.81040162450185871</v>
      </c>
      <c r="D565" s="6">
        <f t="shared" ca="1" si="71"/>
        <v>8.4716995648622506E-2</v>
      </c>
      <c r="E565" s="8">
        <f t="shared" ca="1" si="72"/>
        <v>3.2737560027396254E-3</v>
      </c>
      <c r="F565" s="8">
        <f t="shared" ca="1" si="73"/>
        <v>-1.3296421259327326E-2</v>
      </c>
      <c r="G565" s="8">
        <f t="shared" ca="1" si="74"/>
        <v>3.832352300990413E-3</v>
      </c>
      <c r="H565" s="10">
        <f t="shared" ca="1" si="75"/>
        <v>4029.1474041070023</v>
      </c>
      <c r="I565" s="10">
        <f t="shared" ca="1" si="76"/>
        <v>536.76674683492593</v>
      </c>
      <c r="J565" s="10">
        <f t="shared" ca="1" si="77"/>
        <v>2244.5691397450146</v>
      </c>
      <c r="K565" s="12">
        <f t="array" aca="1" ref="K565:L565" ca="1">Opt3Spd(H565:J565,$E$3:$G$3,$K$3:$M$3,$N$3:$P$3,$H$3,$I$3,$Q$3,$J$3)</f>
        <v>223.04621038769596</v>
      </c>
      <c r="L565" s="12">
        <f ca="1"/>
        <v>1.017108908240516E-2</v>
      </c>
      <c r="M565" s="12">
        <f t="array" aca="1" ref="M565:N565" ca="1">Opt3Spd(H565:J565,$E$3:$G$3,$K$3:$M$3,$N$3:$P$3,$H$4,$I$3,$Q$3,$J$3)</f>
        <v>0.22227964578679149</v>
      </c>
      <c r="N565" s="12">
        <f ca="1"/>
        <v>177.18624034717323</v>
      </c>
      <c r="O565" s="12">
        <f t="shared" ca="1" si="78"/>
        <v>0.23245073486919665</v>
      </c>
    </row>
    <row r="566" spans="2:15" x14ac:dyDescent="0.15">
      <c r="B566" s="6">
        <f t="shared" ca="1" si="71"/>
        <v>-0.56512003984108516</v>
      </c>
      <c r="C566" s="6">
        <f t="shared" ca="1" si="71"/>
        <v>0.58331122808729341</v>
      </c>
      <c r="D566" s="6">
        <f t="shared" ca="1" si="71"/>
        <v>-0.15520551299187915</v>
      </c>
      <c r="E566" s="8">
        <f t="shared" ca="1" si="72"/>
        <v>-1.2866878636581081E-2</v>
      </c>
      <c r="F566" s="8">
        <f t="shared" ca="1" si="73"/>
        <v>-7.552841289737414E-3</v>
      </c>
      <c r="G566" s="8">
        <f t="shared" ca="1" si="74"/>
        <v>-2.0721668508527913E-2</v>
      </c>
      <c r="H566" s="10">
        <f t="shared" ca="1" si="75"/>
        <v>3964.3266153954905</v>
      </c>
      <c r="I566" s="10">
        <f t="shared" ca="1" si="76"/>
        <v>539.89125433838285</v>
      </c>
      <c r="J566" s="10">
        <f t="shared" ca="1" si="77"/>
        <v>2189.6663492149319</v>
      </c>
      <c r="K566" s="12">
        <f t="array" aca="1" ref="K566:L566" ca="1">Opt3Spd(H566:J566,$E$3:$G$3,$K$3:$M$3,$N$3:$P$3,$H$3,$I$3,$Q$3,$J$3)</f>
        <v>180.74635845684907</v>
      </c>
      <c r="L566" s="12">
        <f ca="1"/>
        <v>7.8924610237208981E-2</v>
      </c>
      <c r="M566" s="12">
        <f t="array" aca="1" ref="M566:N566" ca="1">Opt3Spd(H566:J566,$E$3:$G$3,$K$3:$M$3,$N$3:$P$3,$H$4,$I$3,$Q$3,$J$3)</f>
        <v>3.0872673265347927E-2</v>
      </c>
      <c r="N566" s="12">
        <f ca="1"/>
        <v>219.36343882665349</v>
      </c>
      <c r="O566" s="12">
        <f t="shared" ca="1" si="78"/>
        <v>0.10979728350255691</v>
      </c>
    </row>
    <row r="567" spans="2:15" x14ac:dyDescent="0.15">
      <c r="B567" s="6">
        <f t="shared" ca="1" si="71"/>
        <v>1.2130238484142584</v>
      </c>
      <c r="C567" s="6">
        <f t="shared" ca="1" si="71"/>
        <v>0.34303235633830642</v>
      </c>
      <c r="D567" s="6">
        <f t="shared" ca="1" si="71"/>
        <v>0.37977414101406959</v>
      </c>
      <c r="E567" s="8">
        <f t="shared" ca="1" si="72"/>
        <v>2.7618611163061562E-2</v>
      </c>
      <c r="F567" s="8">
        <f t="shared" ca="1" si="73"/>
        <v>5.2881119023459516E-2</v>
      </c>
      <c r="G567" s="8">
        <f t="shared" ca="1" si="74"/>
        <v>4.9606091069722996E-2</v>
      </c>
      <c r="H567" s="10">
        <f t="shared" ca="1" si="75"/>
        <v>4126.9163424308554</v>
      </c>
      <c r="I567" s="10">
        <f t="shared" ca="1" si="76"/>
        <v>572.767328748762</v>
      </c>
      <c r="J567" s="10">
        <f t="shared" ca="1" si="77"/>
        <v>2346.9192196319004</v>
      </c>
      <c r="K567" s="12">
        <f t="array" aca="1" ref="K567:L567" ca="1">Opt3Spd(H567:J567,$E$3:$G$3,$K$3:$M$3,$N$3:$P$3,$H$3,$I$3,$Q$3,$J$3)</f>
        <v>212.05000933788597</v>
      </c>
      <c r="L567" s="12">
        <f ca="1"/>
        <v>2.1002720999831581E-2</v>
      </c>
      <c r="M567" s="12">
        <f t="array" aca="1" ref="M567:N567" ca="1">Opt3Spd(H567:J567,$E$3:$G$3,$K$3:$M$3,$N$3:$P$3,$H$4,$I$3,$Q$3,$J$3)</f>
        <v>0.1525096295973718</v>
      </c>
      <c r="N567" s="12">
        <f ca="1"/>
        <v>188.12350301271124</v>
      </c>
      <c r="O567" s="12">
        <f t="shared" ca="1" si="78"/>
        <v>0.17351235059720338</v>
      </c>
    </row>
    <row r="568" spans="2:15" x14ac:dyDescent="0.15">
      <c r="B568" s="6">
        <f t="shared" ca="1" si="71"/>
        <v>-1.2232301539562132</v>
      </c>
      <c r="C568" s="6">
        <f t="shared" ca="1" si="71"/>
        <v>-0.7549777620096384</v>
      </c>
      <c r="D568" s="6">
        <f t="shared" ca="1" si="71"/>
        <v>-2.6832787673968923</v>
      </c>
      <c r="E568" s="8">
        <f t="shared" ca="1" si="72"/>
        <v>-2.7850992401520433E-2</v>
      </c>
      <c r="F568" s="8">
        <f t="shared" ca="1" si="73"/>
        <v>-6.2729712564455267E-2</v>
      </c>
      <c r="G568" s="8">
        <f t="shared" ca="1" si="74"/>
        <v>-7.5716279702841727E-2</v>
      </c>
      <c r="H568" s="10">
        <f t="shared" ca="1" si="75"/>
        <v>3904.150414515494</v>
      </c>
      <c r="I568" s="10">
        <f t="shared" ca="1" si="76"/>
        <v>509.87503636493636</v>
      </c>
      <c r="J568" s="10">
        <f t="shared" ca="1" si="77"/>
        <v>2066.6983985844458</v>
      </c>
      <c r="K568" s="12">
        <f t="array" aca="1" ref="K568:L568" ca="1">Opt3Spd(H568:J568,$E$3:$G$3,$K$3:$M$3,$N$3:$P$3,$H$3,$I$3,$Q$3,$J$3)</f>
        <v>230.00661185279841</v>
      </c>
      <c r="L568" s="12">
        <f ca="1"/>
        <v>5.4548134257856873E-3</v>
      </c>
      <c r="M568" s="12">
        <f t="array" aca="1" ref="M568:N568" ca="1">Opt3Spd(H568:J568,$E$3:$G$3,$K$3:$M$3,$N$3:$P$3,$H$4,$I$3,$Q$3,$J$3)</f>
        <v>0.26245400001167596</v>
      </c>
      <c r="N568" s="12">
        <f ca="1"/>
        <v>170.26129696063904</v>
      </c>
      <c r="O568" s="12">
        <f t="shared" ca="1" si="78"/>
        <v>0.26790881343746165</v>
      </c>
    </row>
    <row r="569" spans="2:15" x14ac:dyDescent="0.15">
      <c r="B569" s="6">
        <f t="shared" ca="1" si="71"/>
        <v>-2.2171515678339104</v>
      </c>
      <c r="C569" s="6">
        <f t="shared" ca="1" si="71"/>
        <v>-1.1649079082129961</v>
      </c>
      <c r="D569" s="6">
        <f t="shared" ca="1" si="71"/>
        <v>0.3295818640689438</v>
      </c>
      <c r="E569" s="8">
        <f t="shared" ca="1" si="72"/>
        <v>-5.0480991879612996E-2</v>
      </c>
      <c r="F569" s="8">
        <f t="shared" ca="1" si="73"/>
        <v>-0.10902143136770481</v>
      </c>
      <c r="G569" s="8">
        <f t="shared" ca="1" si="74"/>
        <v>-8.1325183259003925E-2</v>
      </c>
      <c r="H569" s="10">
        <f t="shared" ca="1" si="75"/>
        <v>3813.2683366114743</v>
      </c>
      <c r="I569" s="10">
        <f t="shared" ca="1" si="76"/>
        <v>484.69234133596859</v>
      </c>
      <c r="J569" s="10">
        <f t="shared" ca="1" si="77"/>
        <v>2054.1568902328672</v>
      </c>
      <c r="K569" s="12">
        <f t="array" aca="1" ref="K569:L569" ca="1">Opt3Spd(H569:J569,$E$3:$G$3,$K$3:$M$3,$N$3:$P$3,$H$3,$I$3,$Q$3,$J$3)</f>
        <v>185.73579375391523</v>
      </c>
      <c r="L569" s="12">
        <f ca="1"/>
        <v>5.3648396424478051E-2</v>
      </c>
      <c r="M569" s="12">
        <f t="array" aca="1" ref="M569:N569" ca="1">Opt3Spd(H569:J569,$E$3:$G$3,$K$3:$M$3,$N$3:$P$3,$H$4,$I$3,$Q$3,$J$3)</f>
        <v>3.4468848129477703E-2</v>
      </c>
      <c r="N569" s="12">
        <f ca="1"/>
        <v>214.35232349063872</v>
      </c>
      <c r="O569" s="12">
        <f t="shared" ca="1" si="78"/>
        <v>8.8117244553955754E-2</v>
      </c>
    </row>
    <row r="570" spans="2:15" x14ac:dyDescent="0.15">
      <c r="B570" s="6">
        <f t="shared" ca="1" si="71"/>
        <v>-0.95936209977288911</v>
      </c>
      <c r="C570" s="6">
        <f t="shared" ca="1" si="71"/>
        <v>-1.7938799940308581</v>
      </c>
      <c r="D570" s="6">
        <f t="shared" ca="1" si="71"/>
        <v>-0.10093928399628976</v>
      </c>
      <c r="E570" s="8">
        <f t="shared" ca="1" si="72"/>
        <v>-2.1843139220093052E-2</v>
      </c>
      <c r="F570" s="8">
        <f t="shared" ca="1" si="73"/>
        <v>-7.6824719395528041E-2</v>
      </c>
      <c r="G570" s="8">
        <f t="shared" ca="1" si="74"/>
        <v>-4.152829650094849E-2</v>
      </c>
      <c r="H570" s="10">
        <f t="shared" ca="1" si="75"/>
        <v>3928.2779528921064</v>
      </c>
      <c r="I570" s="10">
        <f t="shared" ca="1" si="76"/>
        <v>502.20735264883274</v>
      </c>
      <c r="J570" s="10">
        <f t="shared" ca="1" si="77"/>
        <v>2143.1427290238794</v>
      </c>
      <c r="K570" s="12">
        <f t="array" aca="1" ref="K570:L570" ca="1">Opt3Spd(H570:J570,$E$3:$G$3,$K$3:$M$3,$N$3:$P$3,$H$3,$I$3,$Q$3,$J$3)</f>
        <v>228.18147544098974</v>
      </c>
      <c r="L570" s="12">
        <f ca="1"/>
        <v>6.651298955148377E-3</v>
      </c>
      <c r="M570" s="12">
        <f t="array" aca="1" ref="M570:N570" ca="1">Opt3Spd(H570:J570,$E$3:$G$3,$K$3:$M$3,$N$3:$P$3,$H$4,$I$3,$Q$3,$J$3)</f>
        <v>0.25600801108003068</v>
      </c>
      <c r="N570" s="12">
        <f ca="1"/>
        <v>172.08118386904545</v>
      </c>
      <c r="O570" s="12">
        <f t="shared" ca="1" si="78"/>
        <v>0.26265931003517906</v>
      </c>
    </row>
    <row r="571" spans="2:15" x14ac:dyDescent="0.15">
      <c r="B571" s="6">
        <f t="shared" ca="1" si="71"/>
        <v>-0.56634132111584501</v>
      </c>
      <c r="C571" s="6">
        <f t="shared" ca="1" si="71"/>
        <v>1.8149219520243156</v>
      </c>
      <c r="D571" s="6">
        <f t="shared" ca="1" si="71"/>
        <v>0.41127665820064652</v>
      </c>
      <c r="E571" s="8">
        <f t="shared" ca="1" si="72"/>
        <v>-1.289468525612316E-2</v>
      </c>
      <c r="F571" s="8">
        <f t="shared" ca="1" si="73"/>
        <v>2.0714736677165817E-2</v>
      </c>
      <c r="G571" s="8">
        <f t="shared" ca="1" si="74"/>
        <v>-1.1156440941051246E-2</v>
      </c>
      <c r="H571" s="10">
        <f t="shared" ca="1" si="75"/>
        <v>3964.2149440114094</v>
      </c>
      <c r="I571" s="10">
        <f t="shared" ca="1" si="76"/>
        <v>555.26881675237826</v>
      </c>
      <c r="J571" s="10">
        <f t="shared" ca="1" si="77"/>
        <v>2211.0541980558091</v>
      </c>
      <c r="K571" s="12">
        <f t="array" aca="1" ref="K571:L571" ca="1">Opt3Spd(H571:J571,$E$3:$G$3,$K$3:$M$3,$N$3:$P$3,$H$3,$I$3,$Q$3,$J$3)</f>
        <v>145.63534780858686</v>
      </c>
      <c r="L571" s="12">
        <f ca="1"/>
        <v>0.377609628887285</v>
      </c>
      <c r="M571" s="12">
        <f t="array" aca="1" ref="M571:N571" ca="1">Opt3Spd(H571:J571,$E$3:$G$3,$K$3:$M$3,$N$3:$P$3,$H$4,$I$3,$Q$3,$J$3)</f>
        <v>4.8624953166680474E-3</v>
      </c>
      <c r="N571" s="12">
        <f ca="1"/>
        <v>254.7471243156171</v>
      </c>
      <c r="O571" s="12">
        <f t="shared" ca="1" si="78"/>
        <v>0.38247212420395305</v>
      </c>
    </row>
    <row r="572" spans="2:15" x14ac:dyDescent="0.15">
      <c r="B572" s="6">
        <f t="shared" ca="1" si="71"/>
        <v>-0.34772198839005541</v>
      </c>
      <c r="C572" s="6">
        <f t="shared" ca="1" si="71"/>
        <v>1.9689325205865122</v>
      </c>
      <c r="D572" s="6">
        <f t="shared" ca="1" si="71"/>
        <v>1.1409773722051006</v>
      </c>
      <c r="E572" s="8">
        <f t="shared" ca="1" si="72"/>
        <v>-7.917073026013445E-3</v>
      </c>
      <c r="F572" s="8">
        <f t="shared" ca="1" si="73"/>
        <v>3.2364568114443035E-2</v>
      </c>
      <c r="G572" s="8">
        <f t="shared" ca="1" si="74"/>
        <v>5.0959074035970952E-3</v>
      </c>
      <c r="H572" s="10">
        <f t="shared" ca="1" si="75"/>
        <v>3984.2050347275303</v>
      </c>
      <c r="I572" s="10">
        <f t="shared" ca="1" si="76"/>
        <v>561.60632505425701</v>
      </c>
      <c r="J572" s="10">
        <f t="shared" ca="1" si="77"/>
        <v>2247.3944489544429</v>
      </c>
      <c r="K572" s="12">
        <f t="array" aca="1" ref="K572:L572" ca="1">Opt3Spd(H572:J572,$E$3:$G$3,$K$3:$M$3,$N$3:$P$3,$H$3,$I$3,$Q$3,$J$3)</f>
        <v>137.4776617530797</v>
      </c>
      <c r="L572" s="12">
        <f ca="1"/>
        <v>0.53997158958190994</v>
      </c>
      <c r="M572" s="12">
        <f t="array" aca="1" ref="M572:N572" ca="1">Opt3Spd(H572:J572,$E$3:$G$3,$K$3:$M$3,$N$3:$P$3,$H$4,$I$3,$Q$3,$J$3)</f>
        <v>3.1884025024226381E-3</v>
      </c>
      <c r="N572" s="12">
        <f ca="1"/>
        <v>263.06549823900463</v>
      </c>
      <c r="O572" s="12">
        <f t="shared" ca="1" si="78"/>
        <v>0.54315999208433263</v>
      </c>
    </row>
    <row r="573" spans="2:15" x14ac:dyDescent="0.15">
      <c r="B573" s="6">
        <f t="shared" ca="1" si="71"/>
        <v>-2.1348985480685601</v>
      </c>
      <c r="C573" s="6">
        <f t="shared" ca="1" si="71"/>
        <v>0.4330719711543134</v>
      </c>
      <c r="D573" s="6">
        <f t="shared" ca="1" si="71"/>
        <v>-0.84142404855295683</v>
      </c>
      <c r="E573" s="8">
        <f t="shared" ca="1" si="72"/>
        <v>-4.8608222294038439E-2</v>
      </c>
      <c r="F573" s="8">
        <f t="shared" ca="1" si="73"/>
        <v>-6.9235221724194884E-2</v>
      </c>
      <c r="G573" s="8">
        <f t="shared" ca="1" si="74"/>
        <v>-8.6139241661751381E-2</v>
      </c>
      <c r="H573" s="10">
        <f t="shared" ca="1" si="75"/>
        <v>3820.7893792671416</v>
      </c>
      <c r="I573" s="10">
        <f t="shared" ca="1" si="76"/>
        <v>506.33603938203794</v>
      </c>
      <c r="J573" s="10">
        <f t="shared" ca="1" si="77"/>
        <v>2043.3926556443239</v>
      </c>
      <c r="K573" s="12">
        <f t="array" aca="1" ref="K573:L573" ca="1">Opt3Spd(H573:J573,$E$3:$G$3,$K$3:$M$3,$N$3:$P$3,$H$3,$I$3,$Q$3,$J$3)</f>
        <v>164.10219844275935</v>
      </c>
      <c r="L573" s="12">
        <f ca="1"/>
        <v>0.14681000904056418</v>
      </c>
      <c r="M573" s="12">
        <f t="array" aca="1" ref="M573:N573" ca="1">Opt3Spd(H573:J573,$E$3:$G$3,$K$3:$M$3,$N$3:$P$3,$H$4,$I$3,$Q$3,$J$3)</f>
        <v>1.0937549231049504E-2</v>
      </c>
      <c r="N573" s="12">
        <f ca="1"/>
        <v>236.05554911551226</v>
      </c>
      <c r="O573" s="12">
        <f t="shared" ca="1" si="78"/>
        <v>0.15774755827161369</v>
      </c>
    </row>
    <row r="574" spans="2:15" x14ac:dyDescent="0.15">
      <c r="B574" s="6">
        <f t="shared" ca="1" si="71"/>
        <v>-2.2202820544735054E-2</v>
      </c>
      <c r="C574" s="6">
        <f t="shared" ca="1" si="71"/>
        <v>0.77345026517852866</v>
      </c>
      <c r="D574" s="6">
        <f t="shared" ca="1" si="71"/>
        <v>1.3284482834694322</v>
      </c>
      <c r="E574" s="8">
        <f t="shared" ca="1" si="72"/>
        <v>-5.0552268048967091E-4</v>
      </c>
      <c r="F574" s="8">
        <f t="shared" ca="1" si="73"/>
        <v>1.6956878495976817E-2</v>
      </c>
      <c r="G574" s="8">
        <f t="shared" ca="1" si="74"/>
        <v>1.558163988742047E-2</v>
      </c>
      <c r="H574" s="10">
        <f t="shared" ca="1" si="75"/>
        <v>4013.9698209151534</v>
      </c>
      <c r="I574" s="10">
        <f t="shared" ca="1" si="76"/>
        <v>553.22454190181134</v>
      </c>
      <c r="J574" s="10">
        <f t="shared" ca="1" si="77"/>
        <v>2270.8405467882721</v>
      </c>
      <c r="K574" s="12">
        <f t="array" aca="1" ref="K574:L574" ca="1">Opt3Spd(H574:J574,$E$3:$G$3,$K$3:$M$3,$N$3:$P$3,$H$3,$I$3,$Q$3,$J$3)</f>
        <v>168.53905440352651</v>
      </c>
      <c r="L574" s="12">
        <f ca="1"/>
        <v>0.14877392540734036</v>
      </c>
      <c r="M574" s="12">
        <f t="array" aca="1" ref="M574:N574" ca="1">Opt3Spd(H574:J574,$E$3:$G$3,$K$3:$M$3,$N$3:$P$3,$H$4,$I$3,$Q$3,$J$3)</f>
        <v>1.8176614684588088E-2</v>
      </c>
      <c r="N574" s="12">
        <f ca="1"/>
        <v>231.62789613656543</v>
      </c>
      <c r="O574" s="12">
        <f t="shared" ca="1" si="78"/>
        <v>0.16695054009192845</v>
      </c>
    </row>
    <row r="575" spans="2:15" x14ac:dyDescent="0.15">
      <c r="B575" s="6">
        <f t="shared" ca="1" si="71"/>
        <v>1.3431221952845078</v>
      </c>
      <c r="C575" s="6">
        <f t="shared" ca="1" si="71"/>
        <v>0.47066090888119677</v>
      </c>
      <c r="D575" s="6">
        <f t="shared" ca="1" si="71"/>
        <v>0.6270612739222865</v>
      </c>
      <c r="E575" s="8">
        <f t="shared" ca="1" si="72"/>
        <v>3.0580742253776473E-2</v>
      </c>
      <c r="F575" s="8">
        <f t="shared" ca="1" si="73"/>
        <v>6.064091287176579E-2</v>
      </c>
      <c r="G575" s="8">
        <f t="shared" ca="1" si="74"/>
        <v>5.7390558012119432E-2</v>
      </c>
      <c r="H575" s="10">
        <f t="shared" ca="1" si="75"/>
        <v>4138.8122608911663</v>
      </c>
      <c r="I575" s="10">
        <f t="shared" ca="1" si="76"/>
        <v>576.98865660224055</v>
      </c>
      <c r="J575" s="10">
        <f t="shared" ca="1" si="77"/>
        <v>2364.325287715099</v>
      </c>
      <c r="K575" s="12">
        <f t="array" aca="1" ref="K575:L575" ca="1">Opt3Spd(H575:J575,$E$3:$G$3,$K$3:$M$3,$N$3:$P$3,$H$3,$I$3,$Q$3,$J$3)</f>
        <v>208.49346567099155</v>
      </c>
      <c r="L575" s="12">
        <f ca="1"/>
        <v>2.569920095947964E-2</v>
      </c>
      <c r="M575" s="12">
        <f t="array" aca="1" ref="M575:N575" ca="1">Opt3Spd(H575:J575,$E$3:$G$3,$K$3:$M$3,$N$3:$P$3,$H$4,$I$3,$Q$3,$J$3)</f>
        <v>0.13296583397126405</v>
      </c>
      <c r="N575" s="12">
        <f ca="1"/>
        <v>191.66519936393919</v>
      </c>
      <c r="O575" s="12">
        <f t="shared" ca="1" si="78"/>
        <v>0.15866503493074369</v>
      </c>
    </row>
    <row r="576" spans="2:15" x14ac:dyDescent="0.15">
      <c r="B576" s="6">
        <f t="shared" ref="B576:D639" ca="1" si="79">NORMINV(RAND(),0,1)</f>
        <v>-0.29880310027494028</v>
      </c>
      <c r="C576" s="6">
        <f t="shared" ca="1" si="79"/>
        <v>-1.0172651759112703</v>
      </c>
      <c r="D576" s="6">
        <f t="shared" ca="1" si="79"/>
        <v>0.62937566929469357</v>
      </c>
      <c r="E576" s="8">
        <f t="shared" ca="1" si="72"/>
        <v>-6.8032682552771695E-3</v>
      </c>
      <c r="F576" s="8">
        <f t="shared" ca="1" si="73"/>
        <v>-3.4469055436224687E-2</v>
      </c>
      <c r="G576" s="8">
        <f t="shared" ca="1" si="74"/>
        <v>-7.2258579513173535E-3</v>
      </c>
      <c r="H576" s="10">
        <f t="shared" ca="1" si="75"/>
        <v>3988.6780746868067</v>
      </c>
      <c r="I576" s="10">
        <f t="shared" ca="1" si="76"/>
        <v>525.24883384269378</v>
      </c>
      <c r="J576" s="10">
        <f t="shared" ca="1" si="77"/>
        <v>2219.8429816208545</v>
      </c>
      <c r="K576" s="12">
        <f t="array" aca="1" ref="K576:L576" ca="1">Opt3Spd(H576:J576,$E$3:$G$3,$K$3:$M$3,$N$3:$P$3,$H$3,$I$3,$Q$3,$J$3)</f>
        <v>213.37469139441851</v>
      </c>
      <c r="L576" s="12">
        <f ca="1"/>
        <v>1.6241666349060324E-2</v>
      </c>
      <c r="M576" s="12">
        <f t="array" aca="1" ref="M576:N576" ca="1">Opt3Spd(H576:J576,$E$3:$G$3,$K$3:$M$3,$N$3:$P$3,$H$4,$I$3,$Q$3,$J$3)</f>
        <v>0.14453009312493847</v>
      </c>
      <c r="N576" s="12">
        <f ca="1"/>
        <v>186.78608036505548</v>
      </c>
      <c r="O576" s="12">
        <f t="shared" ca="1" si="78"/>
        <v>0.1607717594739988</v>
      </c>
    </row>
    <row r="577" spans="2:15" x14ac:dyDescent="0.15">
      <c r="B577" s="6">
        <f t="shared" ca="1" si="79"/>
        <v>1.9711175361817193</v>
      </c>
      <c r="C577" s="6">
        <f t="shared" ca="1" si="79"/>
        <v>0.78057703235048792</v>
      </c>
      <c r="D577" s="6">
        <f t="shared" ca="1" si="79"/>
        <v>1.8111197648304649</v>
      </c>
      <c r="E577" s="8">
        <f t="shared" ca="1" si="72"/>
        <v>4.4879190841681835E-2</v>
      </c>
      <c r="F577" s="8">
        <f t="shared" ca="1" si="73"/>
        <v>9.1059974609147443E-2</v>
      </c>
      <c r="G577" s="8">
        <f t="shared" ca="1" si="74"/>
        <v>9.3975602554087656E-2</v>
      </c>
      <c r="H577" s="10">
        <f t="shared" ca="1" si="75"/>
        <v>4196.2348304201942</v>
      </c>
      <c r="I577" s="10">
        <f t="shared" ca="1" si="76"/>
        <v>593.53662618737621</v>
      </c>
      <c r="J577" s="10">
        <f t="shared" ca="1" si="77"/>
        <v>2446.1294473109401</v>
      </c>
      <c r="K577" s="12">
        <f t="array" aca="1" ref="K577:L577" ca="1">Opt3Spd(H577:J577,$E$3:$G$3,$K$3:$M$3,$N$3:$P$3,$H$3,$I$3,$Q$3,$J$3)</f>
        <v>198.5577636350115</v>
      </c>
      <c r="L577" s="12">
        <f ca="1"/>
        <v>4.6258770089252721E-2</v>
      </c>
      <c r="M577" s="12">
        <f t="array" aca="1" ref="M577:N577" ca="1">Opt3Spd(H577:J577,$E$3:$G$3,$K$3:$M$3,$N$3:$P$3,$H$4,$I$3,$Q$3,$J$3)</f>
        <v>9.2910785047092048E-2</v>
      </c>
      <c r="N577" s="12">
        <f ca="1"/>
        <v>201.58140592012484</v>
      </c>
      <c r="O577" s="12">
        <f t="shared" ca="1" si="78"/>
        <v>0.13916955513634477</v>
      </c>
    </row>
    <row r="578" spans="2:15" x14ac:dyDescent="0.15">
      <c r="B578" s="6">
        <f t="shared" ca="1" si="79"/>
        <v>0.88032917600278626</v>
      </c>
      <c r="C578" s="6">
        <f t="shared" ca="1" si="79"/>
        <v>-0.56205638864134255</v>
      </c>
      <c r="D578" s="6">
        <f t="shared" ca="1" si="79"/>
        <v>-1.6441324108995203</v>
      </c>
      <c r="E578" s="8">
        <f t="shared" ca="1" si="72"/>
        <v>2.0043686065449949E-2</v>
      </c>
      <c r="F578" s="8">
        <f t="shared" ca="1" si="73"/>
        <v>1.9733673541401285E-2</v>
      </c>
      <c r="G578" s="8">
        <f t="shared" ca="1" si="74"/>
        <v>1.3195197005891973E-2</v>
      </c>
      <c r="H578" s="10">
        <f t="shared" ca="1" si="75"/>
        <v>4096.4954432388477</v>
      </c>
      <c r="I578" s="10">
        <f t="shared" ca="1" si="76"/>
        <v>554.73511840652236</v>
      </c>
      <c r="J578" s="10">
        <f t="shared" ca="1" si="77"/>
        <v>2265.5044605051744</v>
      </c>
      <c r="K578" s="12">
        <f t="array" aca="1" ref="K578:L578" ca="1">Opt3Spd(H578:J578,$E$3:$G$3,$K$3:$M$3,$N$3:$P$3,$H$3,$I$3,$Q$3,$J$3)</f>
        <v>251.16928519254498</v>
      </c>
      <c r="L578" s="12">
        <f ca="1"/>
        <v>2.2616567202931037E-3</v>
      </c>
      <c r="M578" s="12">
        <f t="array" aca="1" ref="M578:N578" ca="1">Opt3Spd(H578:J578,$E$3:$G$3,$K$3:$M$3,$N$3:$P$3,$H$4,$I$3,$Q$3,$J$3)</f>
        <v>0.67568062502366644</v>
      </c>
      <c r="N578" s="12">
        <f ca="1"/>
        <v>149.50865708919898</v>
      </c>
      <c r="O578" s="12">
        <f t="shared" ca="1" si="78"/>
        <v>0.67794228174395954</v>
      </c>
    </row>
    <row r="579" spans="2:15" x14ac:dyDescent="0.15">
      <c r="B579" s="6">
        <f t="shared" ca="1" si="79"/>
        <v>0.52629932936840251</v>
      </c>
      <c r="C579" s="6">
        <f t="shared" ca="1" si="79"/>
        <v>1.9018561819473635E-2</v>
      </c>
      <c r="D579" s="6">
        <f t="shared" ca="1" si="79"/>
        <v>-0.68805947330038264</v>
      </c>
      <c r="E579" s="8">
        <f t="shared" ca="1" si="72"/>
        <v>1.1982993205127754E-2</v>
      </c>
      <c r="F579" s="8">
        <f t="shared" ca="1" si="73"/>
        <v>1.995950125036855E-2</v>
      </c>
      <c r="G579" s="8">
        <f t="shared" ca="1" si="74"/>
        <v>1.2060656830706229E-2</v>
      </c>
      <c r="H579" s="10">
        <f t="shared" ca="1" si="75"/>
        <v>4064.1237007117934</v>
      </c>
      <c r="I579" s="10">
        <f t="shared" ca="1" si="76"/>
        <v>554.85796868020054</v>
      </c>
      <c r="J579" s="10">
        <f t="shared" ca="1" si="77"/>
        <v>2262.9676286734593</v>
      </c>
      <c r="K579" s="12">
        <f t="array" aca="1" ref="K579:L579" ca="1">Opt3Spd(H579:J579,$E$3:$G$3,$K$3:$M$3,$N$3:$P$3,$H$3,$I$3,$Q$3,$J$3)</f>
        <v>219.87962813337344</v>
      </c>
      <c r="L579" s="12">
        <f ca="1"/>
        <v>1.2491646630678588E-2</v>
      </c>
      <c r="M579" s="12">
        <f t="array" aca="1" ref="M579:N579" ca="1">Opt3Spd(H579:J579,$E$3:$G$3,$K$3:$M$3,$N$3:$P$3,$H$4,$I$3,$Q$3,$J$3)</f>
        <v>0.19825356560902208</v>
      </c>
      <c r="N579" s="12">
        <f ca="1"/>
        <v>180.33111707886627</v>
      </c>
      <c r="O579" s="12">
        <f t="shared" ca="1" si="78"/>
        <v>0.21074521223970066</v>
      </c>
    </row>
    <row r="580" spans="2:15" x14ac:dyDescent="0.15">
      <c r="B580" s="6">
        <f t="shared" ca="1" si="79"/>
        <v>-0.62908554750772783</v>
      </c>
      <c r="C580" s="6">
        <f t="shared" ca="1" si="79"/>
        <v>-1.0203952107904626</v>
      </c>
      <c r="D580" s="6">
        <f t="shared" ca="1" si="79"/>
        <v>0.45782760743345935</v>
      </c>
      <c r="E580" s="8">
        <f t="shared" ca="1" si="72"/>
        <v>-1.4323270847173065E-2</v>
      </c>
      <c r="F580" s="8">
        <f t="shared" ca="1" si="73"/>
        <v>-4.6792347790005379E-2</v>
      </c>
      <c r="G580" s="8">
        <f t="shared" ca="1" si="74"/>
        <v>-2.1196495182707567E-2</v>
      </c>
      <c r="H580" s="10">
        <f t="shared" ca="1" si="75"/>
        <v>3958.4777442777527</v>
      </c>
      <c r="I580" s="10">
        <f t="shared" ca="1" si="76"/>
        <v>518.54496280223702</v>
      </c>
      <c r="J580" s="10">
        <f t="shared" ca="1" si="77"/>
        <v>2188.6046367714657</v>
      </c>
      <c r="K580" s="12">
        <f t="array" aca="1" ref="K580:L580" ca="1">Opt3Spd(H580:J580,$E$3:$G$3,$K$3:$M$3,$N$3:$P$3,$H$3,$I$3,$Q$3,$J$3)</f>
        <v>209.52251697620409</v>
      </c>
      <c r="L580" s="12">
        <f ca="1"/>
        <v>1.9031567763704516E-2</v>
      </c>
      <c r="M580" s="12">
        <f t="array" aca="1" ref="M580:N580" ca="1">Opt3Spd(H580:J580,$E$3:$G$3,$K$3:$M$3,$N$3:$P$3,$H$4,$I$3,$Q$3,$J$3)</f>
        <v>0.11905186251620314</v>
      </c>
      <c r="N580" s="12">
        <f ca="1"/>
        <v>190.61556645407583</v>
      </c>
      <c r="O580" s="12">
        <f t="shared" ca="1" si="78"/>
        <v>0.13808343027990766</v>
      </c>
    </row>
    <row r="581" spans="2:15" x14ac:dyDescent="0.15">
      <c r="B581" s="6">
        <f t="shared" ca="1" si="79"/>
        <v>0.82101291875004756</v>
      </c>
      <c r="C581" s="6">
        <f t="shared" ca="1" si="79"/>
        <v>9.9433561232529458E-2</v>
      </c>
      <c r="D581" s="6">
        <f t="shared" ca="1" si="79"/>
        <v>-0.31458713580653946</v>
      </c>
      <c r="E581" s="8">
        <f t="shared" ref="E581:E644" ca="1" si="80">B581*$U$3*$C$6</f>
        <v>1.8693149844044969E-2</v>
      </c>
      <c r="F581" s="8">
        <f t="shared" ref="F581:F644" ca="1" si="81">($N$3*B581+C581*SQRT(1-$N$3^2))*$V$3*$C$6</f>
        <v>3.2740084757302751E-2</v>
      </c>
      <c r="G581" s="8">
        <f t="shared" ref="G581:G644" ca="1" si="82">(D581/$T$3+($P$3-$N$3*$O$3)*C581+$O$3*B581*SQRT(1/(1-$N$3^2)))*$W$3*$C$6</f>
        <v>2.7100018358243085E-2</v>
      </c>
      <c r="H581" s="10">
        <f t="shared" ref="H581:H644" ca="1" si="83">B$3*(1+E581)</f>
        <v>4091.0716897736847</v>
      </c>
      <c r="I581" s="10">
        <f t="shared" ref="I581:I644" ca="1" si="84">C$3*(1+F581)</f>
        <v>561.81060610797272</v>
      </c>
      <c r="J581" s="10">
        <f t="shared" ref="J581:J644" ca="1" si="85">D$3*(1+G581)</f>
        <v>2296.5956410490317</v>
      </c>
      <c r="K581" s="12">
        <f t="array" aca="1" ref="K581:L581" ca="1">Opt3Spd(H581:J581,$E$3:$G$3,$K$3:$M$3,$N$3:$P$3,$H$3,$I$3,$Q$3,$J$3)</f>
        <v>218.89069756231129</v>
      </c>
      <c r="L581" s="12">
        <f ca="1"/>
        <v>1.3798085898542922E-2</v>
      </c>
      <c r="M581" s="12">
        <f t="array" aca="1" ref="M581:N581" ca="1">Opt3Spd(H581:J581,$E$3:$G$3,$K$3:$M$3,$N$3:$P$3,$H$4,$I$3,$Q$3,$J$3)</f>
        <v>0.19529696607113678</v>
      </c>
      <c r="N581" s="12">
        <f ca="1"/>
        <v>181.31839748965839</v>
      </c>
      <c r="O581" s="12">
        <f t="shared" ca="1" si="78"/>
        <v>0.2090950519696797</v>
      </c>
    </row>
    <row r="582" spans="2:15" x14ac:dyDescent="0.15">
      <c r="B582" s="6">
        <f t="shared" ca="1" si="79"/>
        <v>1.5899212686766857</v>
      </c>
      <c r="C582" s="6">
        <f t="shared" ca="1" si="79"/>
        <v>-0.88802316864252773</v>
      </c>
      <c r="D582" s="6">
        <f t="shared" ca="1" si="79"/>
        <v>-9.2281035739141176E-2</v>
      </c>
      <c r="E582" s="8">
        <f t="shared" ca="1" si="80"/>
        <v>3.6199962067412529E-2</v>
      </c>
      <c r="F582" s="8">
        <f t="shared" ca="1" si="81"/>
        <v>3.8561453476831431E-2</v>
      </c>
      <c r="G582" s="8">
        <f t="shared" ca="1" si="82"/>
        <v>5.4850141550024753E-2</v>
      </c>
      <c r="H582" s="10">
        <f t="shared" ca="1" si="83"/>
        <v>4161.3790476627282</v>
      </c>
      <c r="I582" s="10">
        <f t="shared" ca="1" si="84"/>
        <v>564.97743069139631</v>
      </c>
      <c r="J582" s="10">
        <f t="shared" ca="1" si="85"/>
        <v>2358.6449165058552</v>
      </c>
      <c r="K582" s="12">
        <f t="array" aca="1" ref="K582:L582" ca="1">Opt3Spd(H582:J582,$E$3:$G$3,$K$3:$M$3,$N$3:$P$3,$H$3,$I$3,$Q$3,$J$3)</f>
        <v>253.09506045017315</v>
      </c>
      <c r="L582" s="12">
        <f ca="1"/>
        <v>2.360146606406488E-3</v>
      </c>
      <c r="M582" s="12">
        <f t="array" aca="1" ref="M582:N582" ca="1">Opt3Spd(H582:J582,$E$3:$G$3,$K$3:$M$3,$N$3:$P$3,$H$4,$I$3,$Q$3,$J$3)</f>
        <v>0.76230739880238474</v>
      </c>
      <c r="N582" s="12">
        <f ca="1"/>
        <v>147.66960709523565</v>
      </c>
      <c r="O582" s="12">
        <f t="shared" ca="1" si="78"/>
        <v>0.76466754540879123</v>
      </c>
    </row>
    <row r="583" spans="2:15" x14ac:dyDescent="0.15">
      <c r="B583" s="6">
        <f t="shared" ca="1" si="79"/>
        <v>1.7073351809186386</v>
      </c>
      <c r="C583" s="6">
        <f t="shared" ca="1" si="79"/>
        <v>-0.86618725792019624</v>
      </c>
      <c r="D583" s="6">
        <f t="shared" ca="1" si="79"/>
        <v>2.3397418983781084</v>
      </c>
      <c r="E583" s="8">
        <f t="shared" ca="1" si="80"/>
        <v>3.8873288887477556E-2</v>
      </c>
      <c r="F583" s="8">
        <f t="shared" ca="1" si="81"/>
        <v>4.3418723192018033E-2</v>
      </c>
      <c r="G583" s="8">
        <f t="shared" ca="1" si="82"/>
        <v>8.51355993225478E-2</v>
      </c>
      <c r="H583" s="10">
        <f t="shared" ca="1" si="83"/>
        <v>4172.1151281721104</v>
      </c>
      <c r="I583" s="10">
        <f t="shared" ca="1" si="84"/>
        <v>567.61978541645783</v>
      </c>
      <c r="J583" s="10">
        <f t="shared" ca="1" si="85"/>
        <v>2426.3632000852167</v>
      </c>
      <c r="K583" s="12">
        <f t="array" aca="1" ref="K583:L583" ca="1">Opt3Spd(H583:J583,$E$3:$G$3,$K$3:$M$3,$N$3:$P$3,$H$3,$I$3,$Q$3,$J$3)</f>
        <v>225.75328721997266</v>
      </c>
      <c r="L583" s="12">
        <f ca="1"/>
        <v>1.1415756803216937E-2</v>
      </c>
      <c r="M583" s="12">
        <f t="array" aca="1" ref="M583:N583" ca="1">Opt3Spd(H583:J583,$E$3:$G$3,$K$3:$M$3,$N$3:$P$3,$H$4,$I$3,$Q$3,$J$3)</f>
        <v>0.28309631826015647</v>
      </c>
      <c r="N583" s="12">
        <f ca="1"/>
        <v>174.54122485509072</v>
      </c>
      <c r="O583" s="12">
        <f t="shared" ca="1" si="78"/>
        <v>0.2945120750633734</v>
      </c>
    </row>
    <row r="584" spans="2:15" x14ac:dyDescent="0.15">
      <c r="B584" s="6">
        <f t="shared" ca="1" si="79"/>
        <v>-0.41067488222535836</v>
      </c>
      <c r="C584" s="6">
        <f t="shared" ca="1" si="79"/>
        <v>-0.63753759213094774</v>
      </c>
      <c r="D584" s="6">
        <f t="shared" ca="1" si="79"/>
        <v>-0.18308269505931368</v>
      </c>
      <c r="E584" s="8">
        <f t="shared" ca="1" si="80"/>
        <v>-9.3504096407054232E-3</v>
      </c>
      <c r="F584" s="8">
        <f t="shared" ca="1" si="81"/>
        <v>-2.9889406809180605E-2</v>
      </c>
      <c r="G584" s="8">
        <f t="shared" ca="1" si="82"/>
        <v>-1.8888670304421974E-2</v>
      </c>
      <c r="H584" s="10">
        <f t="shared" ca="1" si="83"/>
        <v>3978.448754882927</v>
      </c>
      <c r="I584" s="10">
        <f t="shared" ca="1" si="84"/>
        <v>527.74016269580579</v>
      </c>
      <c r="J584" s="10">
        <f t="shared" ca="1" si="85"/>
        <v>2193.7649331993125</v>
      </c>
      <c r="K584" s="12">
        <f t="array" aca="1" ref="K584:L584" ca="1">Opt3Spd(H584:J584,$E$3:$G$3,$K$3:$M$3,$N$3:$P$3,$H$3,$I$3,$Q$3,$J$3)</f>
        <v>212.19879700257798</v>
      </c>
      <c r="L584" s="12">
        <f ca="1"/>
        <v>1.6769032596585021E-2</v>
      </c>
      <c r="M584" s="12">
        <f t="array" aca="1" ref="M584:N584" ca="1">Opt3Spd(H584:J584,$E$3:$G$3,$K$3:$M$3,$N$3:$P$3,$H$4,$I$3,$Q$3,$J$3)</f>
        <v>0.13467213425971281</v>
      </c>
      <c r="N584" s="12">
        <f ca="1"/>
        <v>187.95264416427833</v>
      </c>
      <c r="O584" s="12">
        <f t="shared" ca="1" si="78"/>
        <v>0.15144116685629783</v>
      </c>
    </row>
    <row r="585" spans="2:15" x14ac:dyDescent="0.15">
      <c r="B585" s="6">
        <f t="shared" ca="1" si="79"/>
        <v>-0.55600128209646671</v>
      </c>
      <c r="C585" s="6">
        <f t="shared" ca="1" si="79"/>
        <v>-0.61926731210308594</v>
      </c>
      <c r="D585" s="6">
        <f t="shared" ca="1" si="79"/>
        <v>0.31198536274711497</v>
      </c>
      <c r="E585" s="8">
        <f t="shared" ca="1" si="80"/>
        <v>-1.2659259120470164E-2</v>
      </c>
      <c r="F585" s="8">
        <f t="shared" ca="1" si="81"/>
        <v>-3.4860067806763498E-2</v>
      </c>
      <c r="G585" s="8">
        <f t="shared" ca="1" si="82"/>
        <v>-1.8900700871774777E-2</v>
      </c>
      <c r="H585" s="10">
        <f t="shared" ca="1" si="83"/>
        <v>3965.1604153721919</v>
      </c>
      <c r="I585" s="10">
        <f t="shared" ca="1" si="84"/>
        <v>525.03612311312065</v>
      </c>
      <c r="J585" s="10">
        <f t="shared" ca="1" si="85"/>
        <v>2193.7380328507115</v>
      </c>
      <c r="K585" s="12">
        <f t="array" aca="1" ref="K585:L585" ca="1">Opt3Spd(H585:J585,$E$3:$G$3,$K$3:$M$3,$N$3:$P$3,$H$3,$I$3,$Q$3,$J$3)</f>
        <v>203.25999932150489</v>
      </c>
      <c r="L585" s="12">
        <f ca="1"/>
        <v>2.6397355661629263E-2</v>
      </c>
      <c r="M585" s="12">
        <f t="array" aca="1" ref="M585:N585" ca="1">Opt3Spd(H585:J585,$E$3:$G$3,$K$3:$M$3,$N$3:$P$3,$H$4,$I$3,$Q$3,$J$3)</f>
        <v>9.030018468318346E-2</v>
      </c>
      <c r="N585" s="12">
        <f ca="1"/>
        <v>196.85669821883991</v>
      </c>
      <c r="O585" s="12">
        <f t="shared" ca="1" si="78"/>
        <v>0.11669754034481272</v>
      </c>
    </row>
    <row r="586" spans="2:15" x14ac:dyDescent="0.15">
      <c r="B586" s="6">
        <f t="shared" ca="1" si="79"/>
        <v>-0.25165871063418038</v>
      </c>
      <c r="C586" s="6">
        <f t="shared" ca="1" si="79"/>
        <v>0.17397739514944016</v>
      </c>
      <c r="D586" s="6">
        <f t="shared" ca="1" si="79"/>
        <v>-0.81009508195417557</v>
      </c>
      <c r="E586" s="8">
        <f t="shared" ca="1" si="80"/>
        <v>-5.7298659741017799E-3</v>
      </c>
      <c r="F586" s="8">
        <f t="shared" ca="1" si="81"/>
        <v>-5.3354278015165044E-3</v>
      </c>
      <c r="G586" s="8">
        <f t="shared" ca="1" si="82"/>
        <v>-1.7370467421566019E-2</v>
      </c>
      <c r="H586" s="10">
        <f t="shared" ca="1" si="83"/>
        <v>3992.9888582480075</v>
      </c>
      <c r="I586" s="10">
        <f t="shared" ca="1" si="84"/>
        <v>541.09752727597504</v>
      </c>
      <c r="J586" s="10">
        <f t="shared" ca="1" si="85"/>
        <v>2197.1596348453786</v>
      </c>
      <c r="K586" s="12">
        <f t="array" aca="1" ref="K586:L586" ca="1">Opt3Spd(H586:J586,$E$3:$G$3,$K$3:$M$3,$N$3:$P$3,$H$3,$I$3,$Q$3,$J$3)</f>
        <v>203.67922212513963</v>
      </c>
      <c r="L586" s="12">
        <f ca="1"/>
        <v>2.6224941381542521E-2</v>
      </c>
      <c r="M586" s="12">
        <f t="array" aca="1" ref="M586:N586" ca="1">Opt3Spd(H586:J586,$E$3:$G$3,$K$3:$M$3,$N$3:$P$3,$H$4,$I$3,$Q$3,$J$3)</f>
        <v>9.2648333082346213E-2</v>
      </c>
      <c r="N586" s="12">
        <f ca="1"/>
        <v>196.43965114932425</v>
      </c>
      <c r="O586" s="12">
        <f t="shared" ca="1" si="78"/>
        <v>0.11887327446388873</v>
      </c>
    </row>
    <row r="587" spans="2:15" x14ac:dyDescent="0.15">
      <c r="B587" s="6">
        <f t="shared" ca="1" si="79"/>
        <v>0.49378869272885784</v>
      </c>
      <c r="C587" s="6">
        <f t="shared" ca="1" si="79"/>
        <v>1.3419117152720474</v>
      </c>
      <c r="D587" s="6">
        <f t="shared" ca="1" si="79"/>
        <v>-0.90174434414710869</v>
      </c>
      <c r="E587" s="8">
        <f t="shared" ca="1" si="80"/>
        <v>1.124277805339355E-2</v>
      </c>
      <c r="F587" s="8">
        <f t="shared" ca="1" si="81"/>
        <v>4.9164892851925414E-2</v>
      </c>
      <c r="G587" s="8">
        <f t="shared" ca="1" si="82"/>
        <v>1.2430192678958122E-2</v>
      </c>
      <c r="H587" s="10">
        <f t="shared" ca="1" si="83"/>
        <v>4061.150996662428</v>
      </c>
      <c r="I587" s="10">
        <f t="shared" ca="1" si="84"/>
        <v>570.74570171144751</v>
      </c>
      <c r="J587" s="10">
        <f t="shared" ca="1" si="85"/>
        <v>2263.7939108301503</v>
      </c>
      <c r="K587" s="12">
        <f t="array" aca="1" ref="K587:L587" ca="1">Opt3Spd(H587:J587,$E$3:$G$3,$K$3:$M$3,$N$3:$P$3,$H$3,$I$3,$Q$3,$J$3)</f>
        <v>191.11427427540457</v>
      </c>
      <c r="L587" s="12">
        <f ca="1"/>
        <v>5.3355766367758406E-2</v>
      </c>
      <c r="M587" s="12">
        <f t="array" aca="1" ref="M587:N587" ca="1">Opt3Spd(H587:J587,$E$3:$G$3,$K$3:$M$3,$N$3:$P$3,$H$4,$I$3,$Q$3,$J$3)</f>
        <v>5.5621149424196048E-2</v>
      </c>
      <c r="N587" s="12">
        <f ca="1"/>
        <v>208.99470264038737</v>
      </c>
      <c r="O587" s="12">
        <f t="shared" ref="O587:O650" ca="1" si="86">L587+M587</f>
        <v>0.10897691579195445</v>
      </c>
    </row>
    <row r="588" spans="2:15" x14ac:dyDescent="0.15">
      <c r="B588" s="6">
        <f t="shared" ca="1" si="79"/>
        <v>1.5283528853029897</v>
      </c>
      <c r="C588" s="6">
        <f t="shared" ca="1" si="79"/>
        <v>1.8090457778582021</v>
      </c>
      <c r="D588" s="6">
        <f t="shared" ca="1" si="79"/>
        <v>-1.0613423819606991</v>
      </c>
      <c r="E588" s="8">
        <f t="shared" ca="1" si="80"/>
        <v>3.4798148539542217E-2</v>
      </c>
      <c r="F588" s="8">
        <f t="shared" ca="1" si="81"/>
        <v>9.8279227323022078E-2</v>
      </c>
      <c r="G588" s="8">
        <f t="shared" ca="1" si="82"/>
        <v>5.0094268697699854E-2</v>
      </c>
      <c r="H588" s="10">
        <f t="shared" ca="1" si="83"/>
        <v>4155.7493645348022</v>
      </c>
      <c r="I588" s="10">
        <f t="shared" ca="1" si="84"/>
        <v>597.46389966372396</v>
      </c>
      <c r="J588" s="10">
        <f t="shared" ca="1" si="85"/>
        <v>2348.010784808057</v>
      </c>
      <c r="K588" s="12">
        <f t="array" aca="1" ref="K588:L588" ca="1">Opt3Spd(H588:J588,$E$3:$G$3,$K$3:$M$3,$N$3:$P$3,$H$3,$I$3,$Q$3,$J$3)</f>
        <v>200.83940394637057</v>
      </c>
      <c r="L588" s="12">
        <f ca="1"/>
        <v>3.7671277555091365E-2</v>
      </c>
      <c r="M588" s="12">
        <f t="array" aca="1" ref="M588:N588" ca="1">Opt3Spd(H588:J588,$E$3:$G$3,$K$3:$M$3,$N$3:$P$3,$H$4,$I$3,$Q$3,$J$3)</f>
        <v>9.5045230497355249E-2</v>
      </c>
      <c r="N588" s="12">
        <f ca="1"/>
        <v>199.29331256168189</v>
      </c>
      <c r="O588" s="12">
        <f t="shared" ca="1" si="86"/>
        <v>0.13271650805244661</v>
      </c>
    </row>
    <row r="589" spans="2:15" x14ac:dyDescent="0.15">
      <c r="B589" s="6">
        <f t="shared" ca="1" si="79"/>
        <v>-1.105221119901961</v>
      </c>
      <c r="C589" s="6">
        <f t="shared" ca="1" si="79"/>
        <v>0.25288140317337815</v>
      </c>
      <c r="D589" s="6">
        <f t="shared" ca="1" si="79"/>
        <v>0.12721129697680886</v>
      </c>
      <c r="E589" s="8">
        <f t="shared" ca="1" si="80"/>
        <v>-2.5164115610488192E-2</v>
      </c>
      <c r="F589" s="8">
        <f t="shared" ca="1" si="81"/>
        <v>-3.518317493930026E-2</v>
      </c>
      <c r="G589" s="8">
        <f t="shared" ca="1" si="82"/>
        <v>-3.8514730397488678E-2</v>
      </c>
      <c r="H589" s="10">
        <f t="shared" ca="1" si="83"/>
        <v>3914.9409117082796</v>
      </c>
      <c r="I589" s="10">
        <f t="shared" ca="1" si="84"/>
        <v>524.86035283302067</v>
      </c>
      <c r="J589" s="10">
        <f t="shared" ca="1" si="85"/>
        <v>2149.8810628312153</v>
      </c>
      <c r="K589" s="12">
        <f t="array" aca="1" ref="K589:L589" ca="1">Opt3Spd(H589:J589,$E$3:$G$3,$K$3:$M$3,$N$3:$P$3,$H$3,$I$3,$Q$3,$J$3)</f>
        <v>175.32087779131848</v>
      </c>
      <c r="L589" s="12">
        <f ca="1"/>
        <v>9.7062031479708821E-2</v>
      </c>
      <c r="M589" s="12">
        <f t="array" aca="1" ref="M589:N589" ca="1">Opt3Spd(H589:J589,$E$3:$G$3,$K$3:$M$3,$N$3:$P$3,$H$4,$I$3,$Q$3,$J$3)</f>
        <v>2.2404107974184129E-2</v>
      </c>
      <c r="N589" s="12">
        <f ca="1"/>
        <v>224.79858834813541</v>
      </c>
      <c r="O589" s="12">
        <f t="shared" ca="1" si="86"/>
        <v>0.11946613945389295</v>
      </c>
    </row>
    <row r="590" spans="2:15" x14ac:dyDescent="0.15">
      <c r="B590" s="6">
        <f t="shared" ca="1" si="79"/>
        <v>0.36269378365924337</v>
      </c>
      <c r="C590" s="6">
        <f t="shared" ca="1" si="79"/>
        <v>-0.1149173501213776</v>
      </c>
      <c r="D590" s="6">
        <f t="shared" ca="1" si="79"/>
        <v>-1.1580226083648819</v>
      </c>
      <c r="E590" s="8">
        <f t="shared" ca="1" si="80"/>
        <v>8.2579568367424933E-3</v>
      </c>
      <c r="F590" s="8">
        <f t="shared" ca="1" si="81"/>
        <v>1.0811810840480371E-2</v>
      </c>
      <c r="G590" s="8">
        <f t="shared" ca="1" si="82"/>
        <v>6.5470025274745104E-4</v>
      </c>
      <c r="H590" s="10">
        <f t="shared" ca="1" si="83"/>
        <v>4049.1639546563579</v>
      </c>
      <c r="I590" s="10">
        <f t="shared" ca="1" si="84"/>
        <v>549.88162509722133</v>
      </c>
      <c r="J590" s="10">
        <f t="shared" ca="1" si="85"/>
        <v>2237.4639097651434</v>
      </c>
      <c r="K590" s="12">
        <f t="array" aca="1" ref="K590:L590" ca="1">Opt3Spd(H590:J590,$E$3:$G$3,$K$3:$M$3,$N$3:$P$3,$H$3,$I$3,$Q$3,$J$3)</f>
        <v>225.63028781740445</v>
      </c>
      <c r="L590" s="12">
        <f ca="1"/>
        <v>8.8881991725884291E-3</v>
      </c>
      <c r="M590" s="12">
        <f t="array" aca="1" ref="M590:N590" ca="1">Opt3Spd(H590:J590,$E$3:$G$3,$K$3:$M$3,$N$3:$P$3,$H$4,$I$3,$Q$3,$J$3)</f>
        <v>0.24684407128411223</v>
      </c>
      <c r="N590" s="12">
        <f ca="1"/>
        <v>174.62544445305224</v>
      </c>
      <c r="O590" s="12">
        <f t="shared" ca="1" si="86"/>
        <v>0.25573227045670066</v>
      </c>
    </row>
    <row r="591" spans="2:15" x14ac:dyDescent="0.15">
      <c r="B591" s="6">
        <f t="shared" ca="1" si="79"/>
        <v>0.90646169358231532</v>
      </c>
      <c r="C591" s="6">
        <f t="shared" ca="1" si="79"/>
        <v>0.94581134031370739</v>
      </c>
      <c r="D591" s="6">
        <f t="shared" ca="1" si="79"/>
        <v>0.18543683024055543</v>
      </c>
      <c r="E591" s="8">
        <f t="shared" ca="1" si="80"/>
        <v>2.0638681656579005E-2</v>
      </c>
      <c r="F591" s="8">
        <f t="shared" ca="1" si="81"/>
        <v>5.5366633475076921E-2</v>
      </c>
      <c r="G591" s="8">
        <f t="shared" ca="1" si="82"/>
        <v>3.8023059943834911E-2</v>
      </c>
      <c r="H591" s="10">
        <f t="shared" ca="1" si="83"/>
        <v>4098.8849455328218</v>
      </c>
      <c r="I591" s="10">
        <f t="shared" ca="1" si="84"/>
        <v>574.11944861044185</v>
      </c>
      <c r="J591" s="10">
        <f t="shared" ca="1" si="85"/>
        <v>2321.0195620344148</v>
      </c>
      <c r="K591" s="12">
        <f t="array" aca="1" ref="K591:L591" ca="1">Opt3Spd(H591:J591,$E$3:$G$3,$K$3:$M$3,$N$3:$P$3,$H$3,$I$3,$Q$3,$J$3)</f>
        <v>194.83155047358059</v>
      </c>
      <c r="L591" s="12">
        <f ca="1"/>
        <v>4.7503734673227882E-2</v>
      </c>
      <c r="M591" s="12">
        <f t="array" aca="1" ref="M591:N591" ca="1">Opt3Spd(H591:J591,$E$3:$G$3,$K$3:$M$3,$N$3:$P$3,$H$4,$I$3,$Q$3,$J$3)</f>
        <v>6.9713385619079027E-2</v>
      </c>
      <c r="N591" s="12">
        <f ca="1"/>
        <v>205.28566664671172</v>
      </c>
      <c r="O591" s="12">
        <f t="shared" ca="1" si="86"/>
        <v>0.11721712029230691</v>
      </c>
    </row>
    <row r="592" spans="2:15" x14ac:dyDescent="0.15">
      <c r="B592" s="6">
        <f t="shared" ca="1" si="79"/>
        <v>0.46323714083682166</v>
      </c>
      <c r="C592" s="6">
        <f t="shared" ca="1" si="79"/>
        <v>-0.4673857686104288</v>
      </c>
      <c r="D592" s="6">
        <f t="shared" ca="1" si="79"/>
        <v>-0.99232272693640233</v>
      </c>
      <c r="E592" s="8">
        <f t="shared" ca="1" si="80"/>
        <v>1.0547168125165592E-2</v>
      </c>
      <c r="F592" s="8">
        <f t="shared" ca="1" si="81"/>
        <v>6.4385983399544693E-3</v>
      </c>
      <c r="G592" s="8">
        <f t="shared" ca="1" si="82"/>
        <v>5.0905039779317023E-3</v>
      </c>
      <c r="H592" s="10">
        <f t="shared" ca="1" si="83"/>
        <v>4058.3574271906655</v>
      </c>
      <c r="I592" s="10">
        <f t="shared" ca="1" si="84"/>
        <v>547.50259749693521</v>
      </c>
      <c r="J592" s="10">
        <f t="shared" ca="1" si="85"/>
        <v>2247.3823668946552</v>
      </c>
      <c r="K592" s="12">
        <f t="array" aca="1" ref="K592:L592" ca="1">Opt3Spd(H592:J592,$E$3:$G$3,$K$3:$M$3,$N$3:$P$3,$H$3,$I$3,$Q$3,$J$3)</f>
        <v>233.66790791006088</v>
      </c>
      <c r="L592" s="12">
        <f ca="1"/>
        <v>5.820161819428904E-3</v>
      </c>
      <c r="M592" s="12">
        <f t="array" aca="1" ref="M592:N592" ca="1">Opt3Spd(H592:J592,$E$3:$G$3,$K$3:$M$3,$N$3:$P$3,$H$4,$I$3,$Q$3,$J$3)</f>
        <v>0.34325639488731952</v>
      </c>
      <c r="N592" s="12">
        <f ca="1"/>
        <v>166.68116864664586</v>
      </c>
      <c r="O592" s="12">
        <f t="shared" ca="1" si="86"/>
        <v>0.34907655670674842</v>
      </c>
    </row>
    <row r="593" spans="2:15" x14ac:dyDescent="0.15">
      <c r="B593" s="6">
        <f t="shared" ca="1" si="79"/>
        <v>-6.8860130131070729E-2</v>
      </c>
      <c r="C593" s="6">
        <f t="shared" ca="1" si="79"/>
        <v>1.1554163440005158</v>
      </c>
      <c r="D593" s="6">
        <f t="shared" ca="1" si="79"/>
        <v>2.1568644562742492</v>
      </c>
      <c r="E593" s="8">
        <f t="shared" ca="1" si="80"/>
        <v>-1.567834928566362E-3</v>
      </c>
      <c r="F593" s="8">
        <f t="shared" ca="1" si="81"/>
        <v>2.4007020896115894E-2</v>
      </c>
      <c r="G593" s="8">
        <f t="shared" ca="1" si="82"/>
        <v>2.380152515276069E-2</v>
      </c>
      <c r="H593" s="10">
        <f t="shared" ca="1" si="83"/>
        <v>4009.7035749268775</v>
      </c>
      <c r="I593" s="10">
        <f t="shared" ca="1" si="84"/>
        <v>557.05981936748697</v>
      </c>
      <c r="J593" s="10">
        <f t="shared" ca="1" si="85"/>
        <v>2289.2202102415731</v>
      </c>
      <c r="K593" s="12">
        <f t="array" aca="1" ref="K593:L593" ca="1">Opt3Spd(H593:J593,$E$3:$G$3,$K$3:$M$3,$N$3:$P$3,$H$3,$I$3,$Q$3,$J$3)</f>
        <v>149.1433422495918</v>
      </c>
      <c r="L593" s="12">
        <f ca="1"/>
        <v>0.34558343148023596</v>
      </c>
      <c r="M593" s="12">
        <f t="array" aca="1" ref="M593:N593" ca="1">Opt3Spd(H593:J593,$E$3:$G$3,$K$3:$M$3,$N$3:$P$3,$H$4,$I$3,$Q$3,$J$3)</f>
        <v>6.5598188468078966E-3</v>
      </c>
      <c r="N593" s="12">
        <f ca="1"/>
        <v>251.20880100073524</v>
      </c>
      <c r="O593" s="12">
        <f t="shared" ca="1" si="86"/>
        <v>0.35214325032704386</v>
      </c>
    </row>
    <row r="594" spans="2:15" x14ac:dyDescent="0.15">
      <c r="B594" s="6">
        <f t="shared" ca="1" si="79"/>
        <v>-0.49366243467029242</v>
      </c>
      <c r="C594" s="6">
        <f t="shared" ca="1" si="79"/>
        <v>-0.75040727714623801</v>
      </c>
      <c r="D594" s="6">
        <f t="shared" ca="1" si="79"/>
        <v>0.23046425168336299</v>
      </c>
      <c r="E594" s="8">
        <f t="shared" ca="1" si="80"/>
        <v>-1.1239903359519823E-2</v>
      </c>
      <c r="F594" s="8">
        <f t="shared" ca="1" si="81"/>
        <v>-3.5562411422060368E-2</v>
      </c>
      <c r="G594" s="8">
        <f t="shared" ca="1" si="82"/>
        <v>-1.7859617324294887E-2</v>
      </c>
      <c r="H594" s="10">
        <f t="shared" ca="1" si="83"/>
        <v>3970.8605481081681</v>
      </c>
      <c r="I594" s="10">
        <f t="shared" ca="1" si="84"/>
        <v>524.65404818639911</v>
      </c>
      <c r="J594" s="10">
        <f t="shared" ca="1" si="85"/>
        <v>2196.0658956628768</v>
      </c>
      <c r="K594" s="12">
        <f t="array" aca="1" ref="K594:L594" ca="1">Opt3Spd(H594:J594,$E$3:$G$3,$K$3:$M$3,$N$3:$P$3,$H$3,$I$3,$Q$3,$J$3)</f>
        <v>208.40151810782663</v>
      </c>
      <c r="L594" s="12">
        <f ca="1"/>
        <v>2.0394929335452616E-2</v>
      </c>
      <c r="M594" s="12">
        <f t="array" aca="1" ref="M594:N594" ca="1">Opt3Spd(H594:J594,$E$3:$G$3,$K$3:$M$3,$N$3:$P$3,$H$4,$I$3,$Q$3,$J$3)</f>
        <v>0.11402263628026788</v>
      </c>
      <c r="N594" s="12">
        <f ca="1"/>
        <v>191.73289945778907</v>
      </c>
      <c r="O594" s="12">
        <f t="shared" ca="1" si="86"/>
        <v>0.13441756561572049</v>
      </c>
    </row>
    <row r="595" spans="2:15" x14ac:dyDescent="0.15">
      <c r="B595" s="6">
        <f t="shared" ca="1" si="79"/>
        <v>1.0985916305015875</v>
      </c>
      <c r="C595" s="6">
        <f t="shared" ca="1" si="79"/>
        <v>-0.47643045464131534</v>
      </c>
      <c r="D595" s="6">
        <f t="shared" ca="1" si="79"/>
        <v>-0.46909326920647471</v>
      </c>
      <c r="E595" s="8">
        <f t="shared" ca="1" si="80"/>
        <v>2.5013172749638501E-2</v>
      </c>
      <c r="F595" s="8">
        <f t="shared" ca="1" si="81"/>
        <v>2.9798207135187032E-2</v>
      </c>
      <c r="G595" s="8">
        <f t="shared" ca="1" si="82"/>
        <v>3.3980130107753005E-2</v>
      </c>
      <c r="H595" s="10">
        <f t="shared" ca="1" si="83"/>
        <v>4116.4529017625482</v>
      </c>
      <c r="I595" s="10">
        <f t="shared" ca="1" si="84"/>
        <v>560.21022468154172</v>
      </c>
      <c r="J595" s="10">
        <f t="shared" ca="1" si="85"/>
        <v>2311.9795709209357</v>
      </c>
      <c r="K595" s="12">
        <f t="array" aca="1" ref="K595:L595" ca="1">Opt3Spd(H595:J595,$E$3:$G$3,$K$3:$M$3,$N$3:$P$3,$H$3,$I$3,$Q$3,$J$3)</f>
        <v>239.131533816005</v>
      </c>
      <c r="L595" s="12">
        <f ca="1"/>
        <v>4.7770043913715199E-3</v>
      </c>
      <c r="M595" s="12">
        <f t="array" aca="1" ref="M595:N595" ca="1">Opt3Spd(H595:J595,$E$3:$G$3,$K$3:$M$3,$N$3:$P$3,$H$4,$I$3,$Q$3,$J$3)</f>
        <v>0.4430020820766245</v>
      </c>
      <c r="N595" s="12">
        <f ca="1"/>
        <v>161.31624527046299</v>
      </c>
      <c r="O595" s="12">
        <f t="shared" ca="1" si="86"/>
        <v>0.44777908646799602</v>
      </c>
    </row>
    <row r="596" spans="2:15" x14ac:dyDescent="0.15">
      <c r="B596" s="6">
        <f t="shared" ca="1" si="79"/>
        <v>-0.14324258602355511</v>
      </c>
      <c r="C596" s="6">
        <f t="shared" ca="1" si="79"/>
        <v>1.6986710239750507</v>
      </c>
      <c r="D596" s="6">
        <f t="shared" ca="1" si="79"/>
        <v>-0.5891105546463502</v>
      </c>
      <c r="E596" s="8">
        <f t="shared" ca="1" si="80"/>
        <v>-3.2614043743226565E-3</v>
      </c>
      <c r="F596" s="8">
        <f t="shared" ca="1" si="81"/>
        <v>3.3736522655360576E-2</v>
      </c>
      <c r="G596" s="8">
        <f t="shared" ca="1" si="82"/>
        <v>-6.6071339019580363E-3</v>
      </c>
      <c r="H596" s="10">
        <f t="shared" ca="1" si="83"/>
        <v>4002.9022000327204</v>
      </c>
      <c r="I596" s="10">
        <f t="shared" ca="1" si="84"/>
        <v>562.35266832451612</v>
      </c>
      <c r="J596" s="10">
        <f t="shared" ca="1" si="85"/>
        <v>2221.2264485952219</v>
      </c>
      <c r="K596" s="12">
        <f t="array" aca="1" ref="K596:L596" ca="1">Opt3Spd(H596:J596,$E$3:$G$3,$K$3:$M$3,$N$3:$P$3,$H$3,$I$3,$Q$3,$J$3)</f>
        <v>167.67410097388597</v>
      </c>
      <c r="L596" s="12">
        <f ca="1"/>
        <v>0.14939455800208634</v>
      </c>
      <c r="M596" s="12">
        <f t="array" aca="1" ref="M596:N596" ca="1">Opt3Spd(H596:J596,$E$3:$G$3,$K$3:$M$3,$N$3:$P$3,$H$4,$I$3,$Q$3,$J$3)</f>
        <v>1.6562338239570318E-2</v>
      </c>
      <c r="N596" s="12">
        <f ca="1"/>
        <v>232.49185592235568</v>
      </c>
      <c r="O596" s="12">
        <f t="shared" ca="1" si="86"/>
        <v>0.16595689624165666</v>
      </c>
    </row>
    <row r="597" spans="2:15" x14ac:dyDescent="0.15">
      <c r="B597" s="6">
        <f t="shared" ca="1" si="79"/>
        <v>2.6431127605027025</v>
      </c>
      <c r="C597" s="6">
        <f t="shared" ca="1" si="79"/>
        <v>0.76087093843512632</v>
      </c>
      <c r="D597" s="6">
        <f t="shared" ca="1" si="79"/>
        <v>0.93304909920306389</v>
      </c>
      <c r="E597" s="8">
        <f t="shared" ca="1" si="80"/>
        <v>6.0179446338074441E-2</v>
      </c>
      <c r="F597" s="8">
        <f t="shared" ca="1" si="81"/>
        <v>0.11553362737206381</v>
      </c>
      <c r="G597" s="8">
        <f t="shared" ca="1" si="82"/>
        <v>0.10925227351941563</v>
      </c>
      <c r="H597" s="10">
        <f t="shared" ca="1" si="83"/>
        <v>4257.6806564937069</v>
      </c>
      <c r="I597" s="10">
        <f t="shared" ca="1" si="84"/>
        <v>606.85029329040265</v>
      </c>
      <c r="J597" s="10">
        <f t="shared" ca="1" si="85"/>
        <v>2480.2880835894134</v>
      </c>
      <c r="K597" s="12">
        <f t="array" aca="1" ref="K597:L597" ca="1">Opt3Spd(H597:J597,$E$3:$G$3,$K$3:$M$3,$N$3:$P$3,$H$3,$I$3,$Q$3,$J$3)</f>
        <v>221.59208650081905</v>
      </c>
      <c r="L597" s="12">
        <f ca="1"/>
        <v>1.5941066463255993E-2</v>
      </c>
      <c r="M597" s="12">
        <f t="array" aca="1" ref="M597:N597" ca="1">Opt3Spd(H597:J597,$E$3:$G$3,$K$3:$M$3,$N$3:$P$3,$H$4,$I$3,$Q$3,$J$3)</f>
        <v>0.2535785990189936</v>
      </c>
      <c r="N597" s="12">
        <f ca="1"/>
        <v>178.6774331646632</v>
      </c>
      <c r="O597" s="12">
        <f t="shared" ca="1" si="86"/>
        <v>0.26951966548224959</v>
      </c>
    </row>
    <row r="598" spans="2:15" x14ac:dyDescent="0.15">
      <c r="B598" s="6">
        <f t="shared" ca="1" si="79"/>
        <v>2.2571926446684603</v>
      </c>
      <c r="C598" s="6">
        <f t="shared" ca="1" si="79"/>
        <v>1.6105528876535344</v>
      </c>
      <c r="D598" s="6">
        <f t="shared" ca="1" si="79"/>
        <v>-0.15041705044189935</v>
      </c>
      <c r="E598" s="8">
        <f t="shared" ca="1" si="80"/>
        <v>5.1392663099506478E-2</v>
      </c>
      <c r="F598" s="8">
        <f t="shared" ca="1" si="81"/>
        <v>0.12075140405811309</v>
      </c>
      <c r="G598" s="8">
        <f t="shared" ca="1" si="82"/>
        <v>8.5998574211945344E-2</v>
      </c>
      <c r="H598" s="10">
        <f t="shared" ca="1" si="83"/>
        <v>4222.3929350076178</v>
      </c>
      <c r="I598" s="10">
        <f t="shared" ca="1" si="84"/>
        <v>609.68876380761344</v>
      </c>
      <c r="J598" s="10">
        <f t="shared" ca="1" si="85"/>
        <v>2428.2928119379098</v>
      </c>
      <c r="K598" s="12">
        <f t="array" aca="1" ref="K598:L598" ca="1">Opt3Spd(H598:J598,$E$3:$G$3,$K$3:$M$3,$N$3:$P$3,$H$3,$I$3,$Q$3,$J$3)</f>
        <v>207.77438160283282</v>
      </c>
      <c r="L598" s="12">
        <f ca="1"/>
        <v>2.9874656351466911E-2</v>
      </c>
      <c r="M598" s="12">
        <f t="array" aca="1" ref="M598:N598" ca="1">Opt3Spd(H598:J598,$E$3:$G$3,$K$3:$M$3,$N$3:$P$3,$H$4,$I$3,$Q$3,$J$3)</f>
        <v>0.13829962099965698</v>
      </c>
      <c r="N598" s="12">
        <f ca="1"/>
        <v>192.39379267451829</v>
      </c>
      <c r="O598" s="12">
        <f t="shared" ca="1" si="86"/>
        <v>0.16817427735112389</v>
      </c>
    </row>
    <row r="599" spans="2:15" x14ac:dyDescent="0.15">
      <c r="B599" s="6">
        <f t="shared" ca="1" si="79"/>
        <v>-0.20422495705330074</v>
      </c>
      <c r="C599" s="6">
        <f t="shared" ca="1" si="79"/>
        <v>0.28382330693563618</v>
      </c>
      <c r="D599" s="6">
        <f t="shared" ca="1" si="79"/>
        <v>0.12859565688377969</v>
      </c>
      <c r="E599" s="8">
        <f t="shared" ca="1" si="80"/>
        <v>-4.6498753392371977E-3</v>
      </c>
      <c r="F599" s="8">
        <f t="shared" ca="1" si="81"/>
        <v>-1.0507506317509853E-3</v>
      </c>
      <c r="G599" s="8">
        <f t="shared" ca="1" si="82"/>
        <v>-5.3090254837380212E-3</v>
      </c>
      <c r="H599" s="10">
        <f t="shared" ca="1" si="83"/>
        <v>3997.3261006376233</v>
      </c>
      <c r="I599" s="10">
        <f t="shared" ca="1" si="84"/>
        <v>543.42839165632745</v>
      </c>
      <c r="J599" s="10">
        <f t="shared" ca="1" si="85"/>
        <v>2224.1290190183618</v>
      </c>
      <c r="K599" s="12">
        <f t="array" aca="1" ref="K599:L599" ca="1">Opt3Spd(H599:J599,$E$3:$G$3,$K$3:$M$3,$N$3:$P$3,$H$3,$I$3,$Q$3,$J$3)</f>
        <v>190.82693545477809</v>
      </c>
      <c r="L599" s="12">
        <f ca="1"/>
        <v>5.0770976459489248E-2</v>
      </c>
      <c r="M599" s="12">
        <f t="array" aca="1" ref="M599:N599" ca="1">Opt3Spd(H599:J599,$E$3:$G$3,$K$3:$M$3,$N$3:$P$3,$H$4,$I$3,$Q$3,$J$3)</f>
        <v>5.2227658916809361E-2</v>
      </c>
      <c r="N599" s="12">
        <f ca="1"/>
        <v>209.27606318059821</v>
      </c>
      <c r="O599" s="12">
        <f t="shared" ca="1" si="86"/>
        <v>0.10299863537629861</v>
      </c>
    </row>
    <row r="600" spans="2:15" x14ac:dyDescent="0.15">
      <c r="B600" s="6">
        <f t="shared" ca="1" si="79"/>
        <v>0.52019662330007976</v>
      </c>
      <c r="C600" s="6">
        <f t="shared" ca="1" si="79"/>
        <v>0.96888632594647073</v>
      </c>
      <c r="D600" s="6">
        <f t="shared" ca="1" si="79"/>
        <v>2.15914364830134</v>
      </c>
      <c r="E600" s="8">
        <f t="shared" ca="1" si="80"/>
        <v>1.184404435744945E-2</v>
      </c>
      <c r="F600" s="8">
        <f t="shared" ca="1" si="81"/>
        <v>4.1569162782756679E-2</v>
      </c>
      <c r="G600" s="8">
        <f t="shared" ca="1" si="82"/>
        <v>4.4925301482521898E-2</v>
      </c>
      <c r="H600" s="10">
        <f t="shared" ca="1" si="83"/>
        <v>4063.5656821395169</v>
      </c>
      <c r="I600" s="10">
        <f t="shared" ca="1" si="84"/>
        <v>566.61362455381959</v>
      </c>
      <c r="J600" s="10">
        <f t="shared" ca="1" si="85"/>
        <v>2336.452974114919</v>
      </c>
      <c r="K600" s="12">
        <f t="array" aca="1" ref="K600:L600" ca="1">Opt3Spd(H600:J600,$E$3:$G$3,$K$3:$M$3,$N$3:$P$3,$H$3,$I$3,$Q$3,$J$3)</f>
        <v>163.95096902842488</v>
      </c>
      <c r="L600" s="12">
        <f ca="1"/>
        <v>0.19357323247868408</v>
      </c>
      <c r="M600" s="12">
        <f t="array" aca="1" ref="M600:N600" ca="1">Opt3Spd(H600:J600,$E$3:$G$3,$K$3:$M$3,$N$3:$P$3,$H$4,$I$3,$Q$3,$J$3)</f>
        <v>1.5531868869698817E-2</v>
      </c>
      <c r="N600" s="12">
        <f ca="1"/>
        <v>236.25813607292349</v>
      </c>
      <c r="O600" s="12">
        <f t="shared" ca="1" si="86"/>
        <v>0.20910510134838289</v>
      </c>
    </row>
    <row r="601" spans="2:15" x14ac:dyDescent="0.15">
      <c r="B601" s="6">
        <f t="shared" ca="1" si="79"/>
        <v>0.31628507430209424</v>
      </c>
      <c r="C601" s="6">
        <f t="shared" ca="1" si="79"/>
        <v>0.94887822568948588</v>
      </c>
      <c r="D601" s="6">
        <f t="shared" ca="1" si="79"/>
        <v>1.1218142767812587</v>
      </c>
      <c r="E601" s="8">
        <f t="shared" ca="1" si="80"/>
        <v>7.2013048179135012E-3</v>
      </c>
      <c r="F601" s="8">
        <f t="shared" ca="1" si="81"/>
        <v>3.3545410127723732E-2</v>
      </c>
      <c r="G601" s="8">
        <f t="shared" ca="1" si="82"/>
        <v>2.6325113642357095E-2</v>
      </c>
      <c r="H601" s="10">
        <f t="shared" ca="1" si="83"/>
        <v>4044.9204401487409</v>
      </c>
      <c r="I601" s="10">
        <f t="shared" ca="1" si="84"/>
        <v>562.24870310948165</v>
      </c>
      <c r="J601" s="10">
        <f t="shared" ca="1" si="85"/>
        <v>2294.8629541043101</v>
      </c>
      <c r="K601" s="12">
        <f t="array" aca="1" ref="K601:L601" ca="1">Opt3Spd(H601:J601,$E$3:$G$3,$K$3:$M$3,$N$3:$P$3,$H$3,$I$3,$Q$3,$J$3)</f>
        <v>173.01640590355737</v>
      </c>
      <c r="L601" s="12">
        <f ca="1"/>
        <v>0.12536778214234801</v>
      </c>
      <c r="M601" s="12">
        <f t="array" aca="1" ref="M601:N601" ca="1">Opt3Spd(H601:J601,$E$3:$G$3,$K$3:$M$3,$N$3:$P$3,$H$4,$I$3,$Q$3,$J$3)</f>
        <v>2.3575952136447587E-2</v>
      </c>
      <c r="N601" s="12">
        <f ca="1"/>
        <v>227.13253783072142</v>
      </c>
      <c r="O601" s="12">
        <f t="shared" ca="1" si="86"/>
        <v>0.14894373427879559</v>
      </c>
    </row>
    <row r="602" spans="2:15" x14ac:dyDescent="0.15">
      <c r="B602" s="6">
        <f t="shared" ca="1" si="79"/>
        <v>1.0028178476948777</v>
      </c>
      <c r="C602" s="6">
        <f t="shared" ca="1" si="79"/>
        <v>0.57927693903508781</v>
      </c>
      <c r="D602" s="6">
        <f t="shared" ca="1" si="79"/>
        <v>3.334321417603598E-2</v>
      </c>
      <c r="E602" s="8">
        <f t="shared" ca="1" si="80"/>
        <v>2.2832557034282264E-2</v>
      </c>
      <c r="F602" s="8">
        <f t="shared" ca="1" si="81"/>
        <v>5.051474708177188E-2</v>
      </c>
      <c r="G602" s="8">
        <f t="shared" ca="1" si="82"/>
        <v>3.8878728089538683E-2</v>
      </c>
      <c r="H602" s="10">
        <f t="shared" ca="1" si="83"/>
        <v>4107.6955490496775</v>
      </c>
      <c r="I602" s="10">
        <f t="shared" ca="1" si="84"/>
        <v>571.48002241248389</v>
      </c>
      <c r="J602" s="10">
        <f t="shared" ca="1" si="85"/>
        <v>2322.9328360082086</v>
      </c>
      <c r="K602" s="12">
        <f t="array" aca="1" ref="K602:L602" ca="1">Opt3Spd(H602:J602,$E$3:$G$3,$K$3:$M$3,$N$3:$P$3,$H$3,$I$3,$Q$3,$J$3)</f>
        <v>206.88750449432905</v>
      </c>
      <c r="L602" s="12">
        <f ca="1"/>
        <v>2.6409308729853365E-2</v>
      </c>
      <c r="M602" s="12">
        <f t="array" aca="1" ref="M602:N602" ca="1">Opt3Spd(H602:J602,$E$3:$G$3,$K$3:$M$3,$N$3:$P$3,$H$4,$I$3,$Q$3,$J$3)</f>
        <v>0.1197204174569233</v>
      </c>
      <c r="N602" s="12">
        <f ca="1"/>
        <v>193.25862523185774</v>
      </c>
      <c r="O602" s="12">
        <f t="shared" ca="1" si="86"/>
        <v>0.14612972618677667</v>
      </c>
    </row>
    <row r="603" spans="2:15" x14ac:dyDescent="0.15">
      <c r="B603" s="6">
        <f t="shared" ca="1" si="79"/>
        <v>-2.0026440003415011</v>
      </c>
      <c r="C603" s="6">
        <f t="shared" ca="1" si="79"/>
        <v>0.87296067674811628</v>
      </c>
      <c r="D603" s="6">
        <f t="shared" ca="1" si="79"/>
        <v>1.6899280299380424</v>
      </c>
      <c r="E603" s="8">
        <f t="shared" ca="1" si="80"/>
        <v>-4.5596997961561192E-2</v>
      </c>
      <c r="F603" s="8">
        <f t="shared" ca="1" si="81"/>
        <v>-5.4217055172636988E-2</v>
      </c>
      <c r="G603" s="8">
        <f t="shared" ca="1" si="82"/>
        <v>-5.3036809204503224E-2</v>
      </c>
      <c r="H603" s="10">
        <f t="shared" ca="1" si="83"/>
        <v>3832.8824561863703</v>
      </c>
      <c r="I603" s="10">
        <f t="shared" ca="1" si="84"/>
        <v>514.50592198608547</v>
      </c>
      <c r="J603" s="10">
        <f t="shared" ca="1" si="85"/>
        <v>2117.4096946187306</v>
      </c>
      <c r="K603" s="12">
        <f t="array" aca="1" ref="K603:L603" ca="1">Opt3Spd(H603:J603,$E$3:$G$3,$K$3:$M$3,$N$3:$P$3,$H$3,$I$3,$Q$3,$J$3)</f>
        <v>126.71351009100476</v>
      </c>
      <c r="L603" s="12">
        <f ca="1"/>
        <v>0.7453763917364995</v>
      </c>
      <c r="M603" s="12">
        <f t="array" aca="1" ref="M603:N603" ca="1">Opt3Spd(H603:J603,$E$3:$G$3,$K$3:$M$3,$N$3:$P$3,$H$4,$I$3,$Q$3,$J$3)</f>
        <v>1.3182657608369619E-3</v>
      </c>
      <c r="N603" s="12">
        <f ca="1"/>
        <v>274.03318456649259</v>
      </c>
      <c r="O603" s="12">
        <f t="shared" ca="1" si="86"/>
        <v>0.74669465749733643</v>
      </c>
    </row>
    <row r="604" spans="2:15" x14ac:dyDescent="0.15">
      <c r="B604" s="6">
        <f t="shared" ca="1" si="79"/>
        <v>0.54304560195507612</v>
      </c>
      <c r="C604" s="6">
        <f t="shared" ca="1" si="79"/>
        <v>-0.72134277876857522</v>
      </c>
      <c r="D604" s="6">
        <f t="shared" ca="1" si="79"/>
        <v>-1.3817684519900366</v>
      </c>
      <c r="E604" s="8">
        <f t="shared" ca="1" si="80"/>
        <v>1.2364279023709636E-2</v>
      </c>
      <c r="F604" s="8">
        <f t="shared" ca="1" si="81"/>
        <v>3.560884847970288E-3</v>
      </c>
      <c r="G604" s="8">
        <f t="shared" ca="1" si="82"/>
        <v>3.136520759064686E-3</v>
      </c>
      <c r="H604" s="10">
        <f t="shared" ca="1" si="83"/>
        <v>4065.6549445592182</v>
      </c>
      <c r="I604" s="10">
        <f t="shared" ca="1" si="84"/>
        <v>545.93712135729584</v>
      </c>
      <c r="J604" s="10">
        <f t="shared" ca="1" si="85"/>
        <v>2243.0132604172691</v>
      </c>
      <c r="K604" s="12">
        <f t="array" aca="1" ref="K604:L604" ca="1">Opt3Spd(H604:J604,$E$3:$G$3,$K$3:$M$3,$N$3:$P$3,$H$3,$I$3,$Q$3,$J$3)</f>
        <v>245.65188672638806</v>
      </c>
      <c r="L604" s="12">
        <f ca="1"/>
        <v>2.9665474780813383E-3</v>
      </c>
      <c r="M604" s="12">
        <f t="array" aca="1" ref="M604:N604" ca="1">Opt3Spd(H604:J604,$E$3:$G$3,$K$3:$M$3,$N$3:$P$3,$H$4,$I$3,$Q$3,$J$3)</f>
        <v>0.54323635789172897</v>
      </c>
      <c r="N604" s="12">
        <f ca="1"/>
        <v>154.89431617898174</v>
      </c>
      <c r="O604" s="12">
        <f t="shared" ca="1" si="86"/>
        <v>0.54620290536981031</v>
      </c>
    </row>
    <row r="605" spans="2:15" x14ac:dyDescent="0.15">
      <c r="B605" s="6">
        <f t="shared" ca="1" si="79"/>
        <v>-1.2967686377567049</v>
      </c>
      <c r="C605" s="6">
        <f t="shared" ca="1" si="79"/>
        <v>-0.24246170558716998</v>
      </c>
      <c r="D605" s="6">
        <f t="shared" ca="1" si="79"/>
        <v>0.93381380454004015</v>
      </c>
      <c r="E605" s="8">
        <f t="shared" ca="1" si="80"/>
        <v>-2.9525345953812066E-2</v>
      </c>
      <c r="F605" s="8">
        <f t="shared" ca="1" si="81"/>
        <v>-5.3675539671216674E-2</v>
      </c>
      <c r="G605" s="8">
        <f t="shared" ca="1" si="82"/>
        <v>-3.8397060957645793E-2</v>
      </c>
      <c r="H605" s="10">
        <f t="shared" ca="1" si="83"/>
        <v>3897.4262106494907</v>
      </c>
      <c r="I605" s="10">
        <f t="shared" ca="1" si="84"/>
        <v>514.80050641885816</v>
      </c>
      <c r="J605" s="10">
        <f t="shared" ca="1" si="85"/>
        <v>2150.1441716987038</v>
      </c>
      <c r="K605" s="12">
        <f t="array" aca="1" ref="K605:L605" ca="1">Opt3Spd(H605:J605,$E$3:$G$3,$K$3:$M$3,$N$3:$P$3,$H$3,$I$3,$Q$3,$J$3)</f>
        <v>173.77706816178033</v>
      </c>
      <c r="L605" s="12">
        <f ca="1"/>
        <v>0.10375363181447028</v>
      </c>
      <c r="M605" s="12">
        <f t="array" aca="1" ref="M605:N605" ca="1">Opt3Spd(H605:J605,$E$3:$G$3,$K$3:$M$3,$N$3:$P$3,$H$4,$I$3,$Q$3,$J$3)</f>
        <v>2.0642376250451289E-2</v>
      </c>
      <c r="N605" s="12">
        <f ca="1"/>
        <v>226.3473278462846</v>
      </c>
      <c r="O605" s="12">
        <f t="shared" ca="1" si="86"/>
        <v>0.12439600806492157</v>
      </c>
    </row>
    <row r="606" spans="2:15" x14ac:dyDescent="0.15">
      <c r="B606" s="6">
        <f t="shared" ca="1" si="79"/>
        <v>0.31111474382922555</v>
      </c>
      <c r="C606" s="6">
        <f t="shared" ca="1" si="79"/>
        <v>-9.2884275756600701E-2</v>
      </c>
      <c r="D606" s="6">
        <f t="shared" ca="1" si="79"/>
        <v>0.3035930577222305</v>
      </c>
      <c r="E606" s="8">
        <f t="shared" ca="1" si="80"/>
        <v>7.0835846699532105E-3</v>
      </c>
      <c r="F606" s="8">
        <f t="shared" ca="1" si="81"/>
        <v>9.4050701187440543E-3</v>
      </c>
      <c r="G606" s="8">
        <f t="shared" ca="1" si="82"/>
        <v>1.4394402751392091E-2</v>
      </c>
      <c r="H606" s="10">
        <f t="shared" ca="1" si="83"/>
        <v>4044.4476760345324</v>
      </c>
      <c r="I606" s="10">
        <f t="shared" ca="1" si="84"/>
        <v>549.1163581445968</v>
      </c>
      <c r="J606" s="10">
        <f t="shared" ca="1" si="85"/>
        <v>2268.1858845521124</v>
      </c>
      <c r="K606" s="12">
        <f t="array" aca="1" ref="K606:L606" ca="1">Opt3Spd(H606:J606,$E$3:$G$3,$K$3:$M$3,$N$3:$P$3,$H$3,$I$3,$Q$3,$J$3)</f>
        <v>206.79297967766479</v>
      </c>
      <c r="L606" s="12">
        <f ca="1"/>
        <v>2.4418950543577012E-2</v>
      </c>
      <c r="M606" s="12">
        <f t="array" aca="1" ref="M606:N606" ca="1">Opt3Spd(H606:J606,$E$3:$G$3,$K$3:$M$3,$N$3:$P$3,$H$4,$I$3,$Q$3,$J$3)</f>
        <v>0.1130921973368384</v>
      </c>
      <c r="N606" s="12">
        <f ca="1"/>
        <v>193.34453147021563</v>
      </c>
      <c r="O606" s="12">
        <f t="shared" ca="1" si="86"/>
        <v>0.13751114788041541</v>
      </c>
    </row>
    <row r="607" spans="2:15" x14ac:dyDescent="0.15">
      <c r="B607" s="6">
        <f t="shared" ca="1" si="79"/>
        <v>1.9023742805464168</v>
      </c>
      <c r="C607" s="6">
        <f t="shared" ca="1" si="79"/>
        <v>-0.60768650699404769</v>
      </c>
      <c r="D607" s="6">
        <f t="shared" ca="1" si="79"/>
        <v>-0.64555712390225561</v>
      </c>
      <c r="E607" s="8">
        <f t="shared" ca="1" si="80"/>
        <v>4.3314016958285954E-2</v>
      </c>
      <c r="F607" s="8">
        <f t="shared" ca="1" si="81"/>
        <v>5.6595953109814343E-2</v>
      </c>
      <c r="G607" s="8">
        <f t="shared" ca="1" si="82"/>
        <v>6.1248886005071682E-2</v>
      </c>
      <c r="H607" s="10">
        <f t="shared" ca="1" si="83"/>
        <v>4189.9490921044762</v>
      </c>
      <c r="I607" s="10">
        <f t="shared" ca="1" si="84"/>
        <v>574.78819849173897</v>
      </c>
      <c r="J607" s="10">
        <f t="shared" ca="1" si="85"/>
        <v>2372.9525091073406</v>
      </c>
      <c r="K607" s="12">
        <f t="array" aca="1" ref="K607:L607" ca="1">Opt3Spd(H607:J607,$E$3:$G$3,$K$3:$M$3,$N$3:$P$3,$H$3,$I$3,$Q$3,$J$3)</f>
        <v>258.81348638130135</v>
      </c>
      <c r="L607" s="12">
        <f ca="1"/>
        <v>1.7664172776221676E-3</v>
      </c>
      <c r="M607" s="12">
        <f t="array" aca="1" ref="M607:N607" ca="1">Opt3Spd(H607:J607,$E$3:$G$3,$K$3:$M$3,$N$3:$P$3,$H$4,$I$3,$Q$3,$J$3)</f>
        <v>0.94117086380423132</v>
      </c>
      <c r="N607" s="12">
        <f ca="1"/>
        <v>142.12945089978052</v>
      </c>
      <c r="O607" s="12">
        <f t="shared" ca="1" si="86"/>
        <v>0.94293728108185348</v>
      </c>
    </row>
    <row r="608" spans="2:15" x14ac:dyDescent="0.15">
      <c r="B608" s="6">
        <f t="shared" ca="1" si="79"/>
        <v>-0.84019831207132845</v>
      </c>
      <c r="C608" s="6">
        <f t="shared" ca="1" si="79"/>
        <v>2.6916692887918594</v>
      </c>
      <c r="D608" s="6">
        <f t="shared" ca="1" si="79"/>
        <v>0.13653655088916722</v>
      </c>
      <c r="E608" s="8">
        <f t="shared" ca="1" si="80"/>
        <v>-1.9129970537095264E-2</v>
      </c>
      <c r="F608" s="8">
        <f t="shared" ca="1" si="81"/>
        <v>3.0711521369619743E-2</v>
      </c>
      <c r="G608" s="8">
        <f t="shared" ca="1" si="82"/>
        <v>-2.1599150741979926E-2</v>
      </c>
      <c r="H608" s="10">
        <f t="shared" ca="1" si="83"/>
        <v>3939.1740383230253</v>
      </c>
      <c r="I608" s="10">
        <f t="shared" ca="1" si="84"/>
        <v>560.70706762507302</v>
      </c>
      <c r="J608" s="10">
        <f t="shared" ca="1" si="85"/>
        <v>2187.7042989409329</v>
      </c>
      <c r="K608" s="12">
        <f t="array" aca="1" ref="K608:L608" ca="1">Opt3Spd(H608:J608,$E$3:$G$3,$K$3:$M$3,$N$3:$P$3,$H$3,$I$3,$Q$3,$J$3)</f>
        <v>124.06848104843448</v>
      </c>
      <c r="L608" s="12">
        <f ca="1"/>
        <v>0.87790039599258307</v>
      </c>
      <c r="M608" s="12">
        <f t="array" aca="1" ref="M608:N608" ca="1">Opt3Spd(H608:J608,$E$3:$G$3,$K$3:$M$3,$N$3:$P$3,$H$4,$I$3,$Q$3,$J$3)</f>
        <v>1.2845739895417374E-3</v>
      </c>
      <c r="N608" s="12">
        <f ca="1"/>
        <v>276.81070392154766</v>
      </c>
      <c r="O608" s="12">
        <f t="shared" ca="1" si="86"/>
        <v>0.87918496998212481</v>
      </c>
    </row>
    <row r="609" spans="2:15" x14ac:dyDescent="0.15">
      <c r="B609" s="6">
        <f t="shared" ca="1" si="79"/>
        <v>1.206693105613609</v>
      </c>
      <c r="C609" s="6">
        <f t="shared" ca="1" si="79"/>
        <v>-1.1807694540416986</v>
      </c>
      <c r="D609" s="6">
        <f t="shared" ca="1" si="79"/>
        <v>0.95637356122203832</v>
      </c>
      <c r="E609" s="8">
        <f t="shared" ca="1" si="80"/>
        <v>2.7474470284040053E-2</v>
      </c>
      <c r="F609" s="8">
        <f t="shared" ca="1" si="81"/>
        <v>1.7616375973254921E-2</v>
      </c>
      <c r="G609" s="8">
        <f t="shared" ca="1" si="82"/>
        <v>5.1092502551080943E-2</v>
      </c>
      <c r="H609" s="10">
        <f t="shared" ca="1" si="83"/>
        <v>4126.3374726607053</v>
      </c>
      <c r="I609" s="10">
        <f t="shared" ca="1" si="84"/>
        <v>553.58330852945062</v>
      </c>
      <c r="J609" s="10">
        <f t="shared" ca="1" si="85"/>
        <v>2350.2428357042168</v>
      </c>
      <c r="K609" s="12">
        <f t="array" aca="1" ref="K609:L609" ca="1">Opt3Spd(H609:J609,$E$3:$G$3,$K$3:$M$3,$N$3:$P$3,$H$3,$I$3,$Q$3,$J$3)</f>
        <v>240.48740094510526</v>
      </c>
      <c r="L609" s="12">
        <f ca="1"/>
        <v>4.6397836297273898E-3</v>
      </c>
      <c r="M609" s="12">
        <f t="array" aca="1" ref="M609:N609" ca="1">Opt3Spd(H609:J609,$E$3:$G$3,$K$3:$M$3,$N$3:$P$3,$H$4,$I$3,$Q$3,$J$3)</f>
        <v>0.47621522389326998</v>
      </c>
      <c r="N609" s="12">
        <f ca="1"/>
        <v>159.99345406241773</v>
      </c>
      <c r="O609" s="12">
        <f t="shared" ca="1" si="86"/>
        <v>0.48085500752299737</v>
      </c>
    </row>
    <row r="610" spans="2:15" x14ac:dyDescent="0.15">
      <c r="B610" s="6">
        <f t="shared" ca="1" si="79"/>
        <v>-1.0273622254983934</v>
      </c>
      <c r="C610" s="6">
        <f t="shared" ca="1" si="79"/>
        <v>3.1728611243578286E-3</v>
      </c>
      <c r="D610" s="6">
        <f t="shared" ca="1" si="79"/>
        <v>1.4595942468462648</v>
      </c>
      <c r="E610" s="8">
        <f t="shared" ca="1" si="80"/>
        <v>-2.3391393225079958E-2</v>
      </c>
      <c r="F610" s="8">
        <f t="shared" ca="1" si="81"/>
        <v>-3.8035538820362001E-2</v>
      </c>
      <c r="G610" s="8">
        <f t="shared" ca="1" si="82"/>
        <v>-2.2185269845275111E-2</v>
      </c>
      <c r="H610" s="10">
        <f t="shared" ca="1" si="83"/>
        <v>3922.0601648080788</v>
      </c>
      <c r="I610" s="10">
        <f t="shared" ca="1" si="84"/>
        <v>523.30866688172307</v>
      </c>
      <c r="J610" s="10">
        <f t="shared" ca="1" si="85"/>
        <v>2186.3937366259647</v>
      </c>
      <c r="K610" s="12">
        <f t="array" aca="1" ref="K610:L610" ca="1">Opt3Spd(H610:J610,$E$3:$G$3,$K$3:$M$3,$N$3:$P$3,$H$3,$I$3,$Q$3,$J$3)</f>
        <v>166.71715820362465</v>
      </c>
      <c r="L610" s="12">
        <f ca="1"/>
        <v>0.14772871928516906</v>
      </c>
      <c r="M610" s="12">
        <f t="array" aca="1" ref="M610:N610" ca="1">Opt3Spd(H610:J610,$E$3:$G$3,$K$3:$M$3,$N$3:$P$3,$H$4,$I$3,$Q$3,$J$3)</f>
        <v>1.4856870391136257E-2</v>
      </c>
      <c r="N610" s="12">
        <f ca="1"/>
        <v>233.44542738605165</v>
      </c>
      <c r="O610" s="12">
        <f t="shared" ca="1" si="86"/>
        <v>0.16258558967630532</v>
      </c>
    </row>
    <row r="611" spans="2:15" x14ac:dyDescent="0.15">
      <c r="B611" s="6">
        <f t="shared" ca="1" si="79"/>
        <v>-3.0730778078956179E-2</v>
      </c>
      <c r="C611" s="6">
        <f t="shared" ca="1" si="79"/>
        <v>-0.76480201638446366</v>
      </c>
      <c r="D611" s="6">
        <f t="shared" ca="1" si="79"/>
        <v>0.49263086652273008</v>
      </c>
      <c r="E611" s="8">
        <f t="shared" ca="1" si="80"/>
        <v>-6.9969062159046193E-4</v>
      </c>
      <c r="F611" s="8">
        <f t="shared" ca="1" si="81"/>
        <v>-1.8721561591422818E-2</v>
      </c>
      <c r="G611" s="8">
        <f t="shared" ca="1" si="82"/>
        <v>1.8988266056519927E-3</v>
      </c>
      <c r="H611" s="10">
        <f t="shared" ca="1" si="83"/>
        <v>4013.1900424636929</v>
      </c>
      <c r="I611" s="10">
        <f t="shared" ca="1" si="84"/>
        <v>533.81547049426604</v>
      </c>
      <c r="J611" s="10">
        <f t="shared" ca="1" si="85"/>
        <v>2240.2457762902377</v>
      </c>
      <c r="K611" s="12">
        <f t="array" aca="1" ref="K611:L611" ca="1">Opt3Spd(H611:J611,$E$3:$G$3,$K$3:$M$3,$N$3:$P$3,$H$3,$I$3,$Q$3,$J$3)</f>
        <v>213.9786170136656</v>
      </c>
      <c r="L611" s="12">
        <f ca="1"/>
        <v>1.6215485917427941E-2</v>
      </c>
      <c r="M611" s="12">
        <f t="array" aca="1" ref="M611:N611" ca="1">Opt3Spd(H611:J611,$E$3:$G$3,$K$3:$M$3,$N$3:$P$3,$H$4,$I$3,$Q$3,$J$3)</f>
        <v>0.15087857161308627</v>
      </c>
      <c r="N611" s="12">
        <f ca="1"/>
        <v>186.18847704386491</v>
      </c>
      <c r="O611" s="12">
        <f t="shared" ca="1" si="86"/>
        <v>0.16709405753051421</v>
      </c>
    </row>
    <row r="612" spans="2:15" x14ac:dyDescent="0.15">
      <c r="B612" s="6">
        <f t="shared" ca="1" si="79"/>
        <v>1.8355866855905743</v>
      </c>
      <c r="C612" s="6">
        <f t="shared" ca="1" si="79"/>
        <v>-0.1129557010236454</v>
      </c>
      <c r="D612" s="6">
        <f t="shared" ca="1" si="79"/>
        <v>-0.3833728170481116</v>
      </c>
      <c r="E612" s="8">
        <f t="shared" ca="1" si="80"/>
        <v>4.179337033784826E-2</v>
      </c>
      <c r="F612" s="8">
        <f t="shared" ca="1" si="81"/>
        <v>6.5491684034005848E-2</v>
      </c>
      <c r="G612" s="8">
        <f t="shared" ca="1" si="82"/>
        <v>6.302447118455716E-2</v>
      </c>
      <c r="H612" s="10">
        <f t="shared" ca="1" si="83"/>
        <v>4183.842175276799</v>
      </c>
      <c r="I612" s="10">
        <f t="shared" ca="1" si="84"/>
        <v>579.62747611449913</v>
      </c>
      <c r="J612" s="10">
        <f t="shared" ca="1" si="85"/>
        <v>2376.9227175686697</v>
      </c>
      <c r="K612" s="12">
        <f t="array" aca="1" ref="K612:L612" ca="1">Opt3Spd(H612:J612,$E$3:$G$3,$K$3:$M$3,$N$3:$P$3,$H$3,$I$3,$Q$3,$J$3)</f>
        <v>242.9811998702362</v>
      </c>
      <c r="L612" s="12">
        <f ca="1"/>
        <v>4.3451609708426986E-3</v>
      </c>
      <c r="M612" s="12">
        <f t="array" aca="1" ref="M612:N612" ca="1">Opt3Spd(H612:J612,$E$3:$G$3,$K$3:$M$3,$N$3:$P$3,$H$4,$I$3,$Q$3,$J$3)</f>
        <v>0.5351838557486488</v>
      </c>
      <c r="N612" s="12">
        <f ca="1"/>
        <v>157.55832914648329</v>
      </c>
      <c r="O612" s="12">
        <f t="shared" ca="1" si="86"/>
        <v>0.53952901671949149</v>
      </c>
    </row>
    <row r="613" spans="2:15" x14ac:dyDescent="0.15">
      <c r="B613" s="6">
        <f t="shared" ca="1" si="79"/>
        <v>-0.14795997632151733</v>
      </c>
      <c r="C613" s="6">
        <f t="shared" ca="1" si="79"/>
        <v>0.15234313448404582</v>
      </c>
      <c r="D613" s="6">
        <f t="shared" ca="1" si="79"/>
        <v>8.2275657799043292E-2</v>
      </c>
      <c r="E613" s="8">
        <f t="shared" ca="1" si="80"/>
        <v>-3.368811799588152E-3</v>
      </c>
      <c r="F613" s="8">
        <f t="shared" ca="1" si="81"/>
        <v>-1.9862161812815174E-3</v>
      </c>
      <c r="G613" s="8">
        <f t="shared" ca="1" si="82"/>
        <v>-4.1170741733225812E-3</v>
      </c>
      <c r="H613" s="10">
        <f t="shared" ca="1" si="83"/>
        <v>4002.4708518128541</v>
      </c>
      <c r="I613" s="10">
        <f t="shared" ca="1" si="84"/>
        <v>542.91949839738288</v>
      </c>
      <c r="J613" s="10">
        <f t="shared" ca="1" si="85"/>
        <v>2226.7942221484504</v>
      </c>
      <c r="K613" s="12">
        <f t="array" aca="1" ref="K613:L613" ca="1">Opt3Spd(H613:J613,$E$3:$G$3,$K$3:$M$3,$N$3:$P$3,$H$3,$I$3,$Q$3,$J$3)</f>
        <v>195.44326097464159</v>
      </c>
      <c r="L613" s="12">
        <f ca="1"/>
        <v>4.0717671825404977E-2</v>
      </c>
      <c r="M613" s="12">
        <f t="array" aca="1" ref="M613:N613" ca="1">Opt3Spd(H613:J613,$E$3:$G$3,$K$3:$M$3,$N$3:$P$3,$H$4,$I$3,$Q$3,$J$3)</f>
        <v>6.5073556171209468E-2</v>
      </c>
      <c r="N613" s="12">
        <f ca="1"/>
        <v>204.66253025335502</v>
      </c>
      <c r="O613" s="12">
        <f t="shared" ca="1" si="86"/>
        <v>0.10579122799661445</v>
      </c>
    </row>
    <row r="614" spans="2:15" x14ac:dyDescent="0.15">
      <c r="B614" s="6">
        <f t="shared" ca="1" si="79"/>
        <v>-1.0124677655700645</v>
      </c>
      <c r="C614" s="6">
        <f t="shared" ca="1" si="79"/>
        <v>1.1140721297757572</v>
      </c>
      <c r="D614" s="6">
        <f t="shared" ca="1" si="79"/>
        <v>-0.68376824642809597</v>
      </c>
      <c r="E614" s="8">
        <f t="shared" ca="1" si="80"/>
        <v>-2.3052270216260239E-2</v>
      </c>
      <c r="F614" s="8">
        <f t="shared" ca="1" si="81"/>
        <v>-1.194514627653382E-2</v>
      </c>
      <c r="G614" s="8">
        <f t="shared" ca="1" si="82"/>
        <v>-4.1246520559581182E-2</v>
      </c>
      <c r="H614" s="10">
        <f t="shared" ca="1" si="83"/>
        <v>3923.422082811499</v>
      </c>
      <c r="I614" s="10">
        <f t="shared" ca="1" si="84"/>
        <v>537.50184042556555</v>
      </c>
      <c r="J614" s="10">
        <f t="shared" ca="1" si="85"/>
        <v>2143.7727800287762</v>
      </c>
      <c r="K614" s="12">
        <f t="array" aca="1" ref="K614:L614" ca="1">Opt3Spd(H614:J614,$E$3:$G$3,$K$3:$M$3,$N$3:$P$3,$H$3,$I$3,$Q$3,$J$3)</f>
        <v>166.67671024857827</v>
      </c>
      <c r="L614" s="12">
        <f ca="1"/>
        <v>0.14396213237228039</v>
      </c>
      <c r="M614" s="12">
        <f t="array" aca="1" ref="M614:N614" ca="1">Opt3Spd(H614:J614,$E$3:$G$3,$K$3:$M$3,$N$3:$P$3,$H$4,$I$3,$Q$3,$J$3)</f>
        <v>1.4217982558692333E-2</v>
      </c>
      <c r="N614" s="12">
        <f ca="1"/>
        <v>233.48146986635271</v>
      </c>
      <c r="O614" s="12">
        <f t="shared" ca="1" si="86"/>
        <v>0.15818011493097273</v>
      </c>
    </row>
    <row r="615" spans="2:15" x14ac:dyDescent="0.15">
      <c r="B615" s="6">
        <f t="shared" ca="1" si="79"/>
        <v>0.50955842910459803</v>
      </c>
      <c r="C615" s="6">
        <f t="shared" ca="1" si="79"/>
        <v>-1.1488587602677973</v>
      </c>
      <c r="D615" s="6">
        <f t="shared" ca="1" si="79"/>
        <v>-0.3619987795796123</v>
      </c>
      <c r="E615" s="8">
        <f t="shared" ca="1" si="80"/>
        <v>1.1601829705737336E-2</v>
      </c>
      <c r="F615" s="8">
        <f t="shared" ca="1" si="81"/>
        <v>-7.5092220768644006E-3</v>
      </c>
      <c r="G615" s="8">
        <f t="shared" ca="1" si="82"/>
        <v>1.1528851808425332E-2</v>
      </c>
      <c r="H615" s="10">
        <f t="shared" ca="1" si="83"/>
        <v>4062.5929480982413</v>
      </c>
      <c r="I615" s="10">
        <f t="shared" ca="1" si="84"/>
        <v>539.91498319018569</v>
      </c>
      <c r="J615" s="10">
        <f t="shared" ca="1" si="85"/>
        <v>2261.7785126436393</v>
      </c>
      <c r="K615" s="12">
        <f t="array" aca="1" ref="K615:L615" ca="1">Opt3Spd(H615:J615,$E$3:$G$3,$K$3:$M$3,$N$3:$P$3,$H$3,$I$3,$Q$3,$J$3)</f>
        <v>242.84326741653126</v>
      </c>
      <c r="L615" s="12">
        <f ca="1"/>
        <v>3.5487444067712204E-3</v>
      </c>
      <c r="M615" s="12">
        <f t="array" aca="1" ref="M615:N615" ca="1">Opt3Spd(H615:J615,$E$3:$G$3,$K$3:$M$3,$N$3:$P$3,$H$4,$I$3,$Q$3,$J$3)</f>
        <v>0.49332827659146972</v>
      </c>
      <c r="N615" s="12">
        <f ca="1"/>
        <v>157.65360960446696</v>
      </c>
      <c r="O615" s="12">
        <f t="shared" ca="1" si="86"/>
        <v>0.49687702099824094</v>
      </c>
    </row>
    <row r="616" spans="2:15" x14ac:dyDescent="0.15">
      <c r="B616" s="6">
        <f t="shared" ca="1" si="79"/>
        <v>-1.1671758155387477</v>
      </c>
      <c r="C616" s="6">
        <f t="shared" ca="1" si="79"/>
        <v>0.96773016037292903</v>
      </c>
      <c r="D616" s="6">
        <f t="shared" ca="1" si="79"/>
        <v>1.7442626936199408</v>
      </c>
      <c r="E616" s="8">
        <f t="shared" ca="1" si="80"/>
        <v>-2.6574724850162334E-2</v>
      </c>
      <c r="F616" s="8">
        <f t="shared" ca="1" si="81"/>
        <v>-2.1047993893605919E-2</v>
      </c>
      <c r="G616" s="8">
        <f t="shared" ca="1" si="82"/>
        <v>-2.1489123569484563E-2</v>
      </c>
      <c r="H616" s="10">
        <f t="shared" ca="1" si="83"/>
        <v>3909.275905001748</v>
      </c>
      <c r="I616" s="10">
        <f t="shared" ca="1" si="84"/>
        <v>532.54989132187836</v>
      </c>
      <c r="J616" s="10">
        <f t="shared" ca="1" si="85"/>
        <v>2187.9503196986325</v>
      </c>
      <c r="K616" s="12">
        <f t="array" aca="1" ref="K616:L616" ca="1">Opt3Spd(H616:J616,$E$3:$G$3,$K$3:$M$3,$N$3:$P$3,$H$3,$I$3,$Q$3,$J$3)</f>
        <v>138.70772320125843</v>
      </c>
      <c r="L616" s="12">
        <f ca="1"/>
        <v>0.48680416383194824</v>
      </c>
      <c r="M616" s="12">
        <f t="array" aca="1" ref="M616:N616" ca="1">Opt3Spd(H616:J616,$E$3:$G$3,$K$3:$M$3,$N$3:$P$3,$H$4,$I$3,$Q$3,$J$3)</f>
        <v>3.0915579210231692E-3</v>
      </c>
      <c r="N616" s="12">
        <f ca="1"/>
        <v>261.78217252049456</v>
      </c>
      <c r="O616" s="12">
        <f t="shared" ca="1" si="86"/>
        <v>0.48989572175297141</v>
      </c>
    </row>
    <row r="617" spans="2:15" x14ac:dyDescent="0.15">
      <c r="B617" s="6">
        <f t="shared" ca="1" si="79"/>
        <v>1.4312068669239726</v>
      </c>
      <c r="C617" s="6">
        <f t="shared" ca="1" si="79"/>
        <v>-0.65571551687768159</v>
      </c>
      <c r="D617" s="6">
        <f t="shared" ca="1" si="79"/>
        <v>0.36866920327296843</v>
      </c>
      <c r="E617" s="8">
        <f t="shared" ca="1" si="80"/>
        <v>3.2586289216943454E-2</v>
      </c>
      <c r="F617" s="8">
        <f t="shared" ca="1" si="81"/>
        <v>3.8014581908986413E-2</v>
      </c>
      <c r="G617" s="8">
        <f t="shared" ca="1" si="82"/>
        <v>5.4604142846464643E-2</v>
      </c>
      <c r="H617" s="10">
        <f t="shared" ca="1" si="83"/>
        <v>4146.8665374952452</v>
      </c>
      <c r="I617" s="10">
        <f t="shared" ca="1" si="84"/>
        <v>564.67993255848853</v>
      </c>
      <c r="J617" s="10">
        <f t="shared" ca="1" si="85"/>
        <v>2358.0948634046954</v>
      </c>
      <c r="K617" s="12">
        <f t="array" aca="1" ref="K617:L617" ca="1">Opt3Spd(H617:J617,$E$3:$G$3,$K$3:$M$3,$N$3:$P$3,$H$3,$I$3,$Q$3,$J$3)</f>
        <v>239.33627417391585</v>
      </c>
      <c r="L617" s="12">
        <f ca="1"/>
        <v>5.0604745999862644E-3</v>
      </c>
      <c r="M617" s="12">
        <f t="array" aca="1" ref="M617:N617" ca="1">Opt3Spd(H617:J617,$E$3:$G$3,$K$3:$M$3,$N$3:$P$3,$H$4,$I$3,$Q$3,$J$3)</f>
        <v>0.45940058915116566</v>
      </c>
      <c r="N617" s="12">
        <f ca="1"/>
        <v>161.12818688983529</v>
      </c>
      <c r="O617" s="12">
        <f t="shared" ca="1" si="86"/>
        <v>0.46446106375115193</v>
      </c>
    </row>
    <row r="618" spans="2:15" x14ac:dyDescent="0.15">
      <c r="B618" s="6">
        <f t="shared" ca="1" si="79"/>
        <v>0.46270120121064778</v>
      </c>
      <c r="C618" s="6">
        <f t="shared" ca="1" si="79"/>
        <v>-0.34462107686826798</v>
      </c>
      <c r="D618" s="6">
        <f t="shared" ca="1" si="79"/>
        <v>1.562541186476871</v>
      </c>
      <c r="E618" s="8">
        <f t="shared" ca="1" si="80"/>
        <v>1.0534965637834841E-2</v>
      </c>
      <c r="F618" s="8">
        <f t="shared" ca="1" si="81"/>
        <v>9.2408942173343809E-3</v>
      </c>
      <c r="G618" s="8">
        <f t="shared" ca="1" si="82"/>
        <v>3.2644300950733861E-2</v>
      </c>
      <c r="H618" s="10">
        <f t="shared" ca="1" si="83"/>
        <v>4058.3084220015448</v>
      </c>
      <c r="I618" s="10">
        <f t="shared" ca="1" si="84"/>
        <v>549.02704645422989</v>
      </c>
      <c r="J618" s="10">
        <f t="shared" ca="1" si="85"/>
        <v>2308.9926569258409</v>
      </c>
      <c r="K618" s="12">
        <f t="array" aca="1" ref="K618:L618" ca="1">Opt3Spd(H618:J618,$E$3:$G$3,$K$3:$M$3,$N$3:$P$3,$H$3,$I$3,$Q$3,$J$3)</f>
        <v>200.40381995281791</v>
      </c>
      <c r="L618" s="12">
        <f ca="1"/>
        <v>3.5000740961550036E-2</v>
      </c>
      <c r="M618" s="12">
        <f t="array" aca="1" ref="M618:N618" ca="1">Opt3Spd(H618:J618,$E$3:$G$3,$K$3:$M$3,$N$3:$P$3,$H$4,$I$3,$Q$3,$J$3)</f>
        <v>8.7865550811860871E-2</v>
      </c>
      <c r="N618" s="12">
        <f ca="1"/>
        <v>199.71904633895551</v>
      </c>
      <c r="O618" s="12">
        <f t="shared" ca="1" si="86"/>
        <v>0.12286629177341091</v>
      </c>
    </row>
    <row r="619" spans="2:15" x14ac:dyDescent="0.15">
      <c r="B619" s="6">
        <f t="shared" ca="1" si="79"/>
        <v>0.77077857563732055</v>
      </c>
      <c r="C619" s="6">
        <f t="shared" ca="1" si="79"/>
        <v>-1.4431422111356138</v>
      </c>
      <c r="D619" s="6">
        <f t="shared" ca="1" si="79"/>
        <v>0.39720911740116416</v>
      </c>
      <c r="E619" s="8">
        <f t="shared" ca="1" si="80"/>
        <v>1.7549394268854976E-2</v>
      </c>
      <c r="F619" s="8">
        <f t="shared" ca="1" si="81"/>
        <v>-4.5847824065718291E-3</v>
      </c>
      <c r="G619" s="8">
        <f t="shared" ca="1" si="82"/>
        <v>2.8359241909399986E-2</v>
      </c>
      <c r="H619" s="10">
        <f t="shared" ca="1" si="83"/>
        <v>4086.4783673837214</v>
      </c>
      <c r="I619" s="10">
        <f t="shared" ca="1" si="84"/>
        <v>541.50587837082492</v>
      </c>
      <c r="J619" s="10">
        <f t="shared" ca="1" si="85"/>
        <v>2299.4112649094186</v>
      </c>
      <c r="K619" s="12">
        <f t="array" aca="1" ref="K619:L619" ca="1">Opt3Spd(H619:J619,$E$3:$G$3,$K$3:$M$3,$N$3:$P$3,$H$3,$I$3,$Q$3,$J$3)</f>
        <v>245.36658505492824</v>
      </c>
      <c r="L619" s="12">
        <f ca="1"/>
        <v>3.2555192360632645E-3</v>
      </c>
      <c r="M619" s="12">
        <f t="array" aca="1" ref="M619:N619" ca="1">Opt3Spd(H619:J619,$E$3:$G$3,$K$3:$M$3,$N$3:$P$3,$H$4,$I$3,$Q$3,$J$3)</f>
        <v>0.55427512381555744</v>
      </c>
      <c r="N619" s="12">
        <f ca="1"/>
        <v>155.19094558812338</v>
      </c>
      <c r="O619" s="12">
        <f t="shared" ca="1" si="86"/>
        <v>0.5575306430516207</v>
      </c>
    </row>
    <row r="620" spans="2:15" x14ac:dyDescent="0.15">
      <c r="B620" s="6">
        <f t="shared" ca="1" si="79"/>
        <v>-0.73442533002879151</v>
      </c>
      <c r="C620" s="6">
        <f t="shared" ca="1" si="79"/>
        <v>-1.8827385084903725</v>
      </c>
      <c r="D620" s="6">
        <f t="shared" ca="1" si="79"/>
        <v>-0.76195077122992927</v>
      </c>
      <c r="E620" s="8">
        <f t="shared" ca="1" si="80"/>
        <v>-1.6721689062325223E-2</v>
      </c>
      <c r="F620" s="8">
        <f t="shared" ca="1" si="81"/>
        <v>-7.0523747217554444E-2</v>
      </c>
      <c r="G620" s="8">
        <f t="shared" ca="1" si="82"/>
        <v>-4.0564230375452912E-2</v>
      </c>
      <c r="H620" s="10">
        <f t="shared" ca="1" si="83"/>
        <v>3948.8456967257021</v>
      </c>
      <c r="I620" s="10">
        <f t="shared" ca="1" si="84"/>
        <v>505.63508151365039</v>
      </c>
      <c r="J620" s="10">
        <f t="shared" ca="1" si="85"/>
        <v>2145.2983808804875</v>
      </c>
      <c r="K620" s="12">
        <f t="array" aca="1" ref="K620:L620" ca="1">Opt3Spd(H620:J620,$E$3:$G$3,$K$3:$M$3,$N$3:$P$3,$H$3,$I$3,$Q$3,$J$3)</f>
        <v>242.18343010645208</v>
      </c>
      <c r="L620" s="12">
        <f ca="1"/>
        <v>3.0542428341959749E-3</v>
      </c>
      <c r="M620" s="12">
        <f t="array" aca="1" ref="M620:N620" ca="1">Opt3Spd(H620:J620,$E$3:$G$3,$K$3:$M$3,$N$3:$P$3,$H$4,$I$3,$Q$3,$J$3)</f>
        <v>0.44873834865640561</v>
      </c>
      <c r="N620" s="12">
        <f ca="1"/>
        <v>158.26836248503852</v>
      </c>
      <c r="O620" s="12">
        <f t="shared" ca="1" si="86"/>
        <v>0.45179259149060158</v>
      </c>
    </row>
    <row r="621" spans="2:15" x14ac:dyDescent="0.15">
      <c r="B621" s="6">
        <f t="shared" ca="1" si="79"/>
        <v>-0.7296386825368294</v>
      </c>
      <c r="C621" s="6">
        <f t="shared" ca="1" si="79"/>
        <v>-0.50212362539121413</v>
      </c>
      <c r="D621" s="6">
        <f t="shared" ca="1" si="79"/>
        <v>-0.48596646899076634</v>
      </c>
      <c r="E621" s="8">
        <f t="shared" ca="1" si="80"/>
        <v>-1.6612704761622507E-2</v>
      </c>
      <c r="F621" s="8">
        <f t="shared" ca="1" si="81"/>
        <v>-3.8607932358788261E-2</v>
      </c>
      <c r="G621" s="8">
        <f t="shared" ca="1" si="82"/>
        <v>-3.3440416132927378E-2</v>
      </c>
      <c r="H621" s="10">
        <f t="shared" ca="1" si="83"/>
        <v>3949.2833776773241</v>
      </c>
      <c r="I621" s="10">
        <f t="shared" ca="1" si="84"/>
        <v>522.99728479681926</v>
      </c>
      <c r="J621" s="10">
        <f t="shared" ca="1" si="85"/>
        <v>2161.2272295267744</v>
      </c>
      <c r="K621" s="12">
        <f t="array" aca="1" ref="K621:L621" ca="1">Opt3Spd(H621:J621,$E$3:$G$3,$K$3:$M$3,$N$3:$P$3,$H$3,$I$3,$Q$3,$J$3)</f>
        <v>206.89526594700487</v>
      </c>
      <c r="L621" s="12">
        <f ca="1"/>
        <v>2.1158707978884195E-2</v>
      </c>
      <c r="M621" s="12">
        <f t="array" aca="1" ref="M621:N621" ca="1">Opt3Spd(H621:J621,$E$3:$G$3,$K$3:$M$3,$N$3:$P$3,$H$4,$I$3,$Q$3,$J$3)</f>
        <v>0.10365122131755911</v>
      </c>
      <c r="N621" s="12">
        <f ca="1"/>
        <v>193.22954398229157</v>
      </c>
      <c r="O621" s="12">
        <f t="shared" ca="1" si="86"/>
        <v>0.1248099292964433</v>
      </c>
    </row>
    <row r="622" spans="2:15" x14ac:dyDescent="0.15">
      <c r="B622" s="6">
        <f t="shared" ca="1" si="79"/>
        <v>-2.0361979091752564</v>
      </c>
      <c r="C622" s="6">
        <f t="shared" ca="1" si="79"/>
        <v>-0.35049052419339383</v>
      </c>
      <c r="D622" s="6">
        <f t="shared" ca="1" si="79"/>
        <v>-0.1102747119109771</v>
      </c>
      <c r="E622" s="8">
        <f t="shared" ca="1" si="80"/>
        <v>-4.6360966751038624E-2</v>
      </c>
      <c r="F622" s="8">
        <f t="shared" ca="1" si="81"/>
        <v>-8.3586992072489208E-2</v>
      </c>
      <c r="G622" s="8">
        <f t="shared" ca="1" si="82"/>
        <v>-7.6998826172464618E-2</v>
      </c>
      <c r="H622" s="10">
        <f t="shared" ca="1" si="83"/>
        <v>3829.8143575278291</v>
      </c>
      <c r="I622" s="10">
        <f t="shared" ca="1" si="84"/>
        <v>498.52867631256589</v>
      </c>
      <c r="J622" s="10">
        <f t="shared" ca="1" si="85"/>
        <v>2063.8306246783691</v>
      </c>
      <c r="K622" s="12">
        <f t="array" aca="1" ref="K622:L622" ca="1">Opt3Spd(H622:J622,$E$3:$G$3,$K$3:$M$3,$N$3:$P$3,$H$3,$I$3,$Q$3,$J$3)</f>
        <v>175.34214694300204</v>
      </c>
      <c r="L622" s="12">
        <f ca="1"/>
        <v>8.8983854463094758E-2</v>
      </c>
      <c r="M622" s="12">
        <f t="array" aca="1" ref="M622:N622" ca="1">Opt3Spd(H622:J622,$E$3:$G$3,$K$3:$M$3,$N$3:$P$3,$H$4,$I$3,$Q$3,$J$3)</f>
        <v>2.0420688891360506E-2</v>
      </c>
      <c r="N622" s="12">
        <f ca="1"/>
        <v>224.76725760035242</v>
      </c>
      <c r="O622" s="12">
        <f t="shared" ca="1" si="86"/>
        <v>0.10940454335445526</v>
      </c>
    </row>
    <row r="623" spans="2:15" x14ac:dyDescent="0.15">
      <c r="B623" s="6">
        <f t="shared" ca="1" si="79"/>
        <v>0.20214799120920957</v>
      </c>
      <c r="C623" s="6">
        <f t="shared" ca="1" si="79"/>
        <v>0.49498039286700529</v>
      </c>
      <c r="D623" s="6">
        <f t="shared" ca="1" si="79"/>
        <v>0.21975813667683791</v>
      </c>
      <c r="E623" s="8">
        <f t="shared" ca="1" si="80"/>
        <v>4.6025861518713407E-3</v>
      </c>
      <c r="F623" s="8">
        <f t="shared" ca="1" si="81"/>
        <v>1.8877235276732934E-2</v>
      </c>
      <c r="G623" s="8">
        <f t="shared" ca="1" si="82"/>
        <v>1.1204597512732683E-2</v>
      </c>
      <c r="H623" s="10">
        <f t="shared" ca="1" si="83"/>
        <v>4034.4839859859148</v>
      </c>
      <c r="I623" s="10">
        <f t="shared" ca="1" si="84"/>
        <v>554.26921599054276</v>
      </c>
      <c r="J623" s="10">
        <f t="shared" ca="1" si="85"/>
        <v>2261.0534800384703</v>
      </c>
      <c r="K623" s="12">
        <f t="array" aca="1" ref="K623:L623" ca="1">Opt3Spd(H623:J623,$E$3:$G$3,$K$3:$M$3,$N$3:$P$3,$H$3,$I$3,$Q$3,$J$3)</f>
        <v>192.17630583091022</v>
      </c>
      <c r="L623" s="12">
        <f ca="1"/>
        <v>4.9805449099039834E-2</v>
      </c>
      <c r="M623" s="12">
        <f t="array" aca="1" ref="M623:N623" ca="1">Opt3Spd(H623:J623,$E$3:$G$3,$K$3:$M$3,$N$3:$P$3,$H$4,$I$3,$Q$3,$J$3)</f>
        <v>5.7823952878568896E-2</v>
      </c>
      <c r="N623" s="12">
        <f ca="1"/>
        <v>207.9313235710674</v>
      </c>
      <c r="O623" s="12">
        <f t="shared" ca="1" si="86"/>
        <v>0.10762940197760873</v>
      </c>
    </row>
    <row r="624" spans="2:15" x14ac:dyDescent="0.15">
      <c r="B624" s="6">
        <f t="shared" ca="1" si="79"/>
        <v>0.89100564143983052</v>
      </c>
      <c r="C624" s="6">
        <f t="shared" ca="1" si="79"/>
        <v>-1.8090720790676069</v>
      </c>
      <c r="D624" s="6">
        <f t="shared" ca="1" si="79"/>
        <v>-1.8844411369212135</v>
      </c>
      <c r="E624" s="8">
        <f t="shared" ca="1" si="80"/>
        <v>2.0286772092066047E-2</v>
      </c>
      <c r="F624" s="8">
        <f t="shared" ca="1" si="81"/>
        <v>-8.5373154193036892E-3</v>
      </c>
      <c r="G624" s="8">
        <f t="shared" ca="1" si="82"/>
        <v>7.4073608068956388E-3</v>
      </c>
      <c r="H624" s="10">
        <f t="shared" ca="1" si="83"/>
        <v>4097.4716767217378</v>
      </c>
      <c r="I624" s="10">
        <f t="shared" ca="1" si="84"/>
        <v>539.35570041189874</v>
      </c>
      <c r="J624" s="10">
        <f t="shared" ca="1" si="85"/>
        <v>2252.5628587642186</v>
      </c>
      <c r="K624" s="12">
        <f t="array" aca="1" ref="K624:L624" ca="1">Opt3Spd(H624:J624,$E$3:$G$3,$K$3:$M$3,$N$3:$P$3,$H$3,$I$3,$Q$3,$J$3)</f>
        <v>283.22144576570849</v>
      </c>
      <c r="L624" s="12">
        <f ca="1"/>
        <v>3.1908511778055981E-4</v>
      </c>
      <c r="M624" s="12">
        <f t="array" aca="1" ref="M624:N624" ca="1">Opt3Spd(H624:J624,$E$3:$G$3,$K$3:$M$3,$N$3:$P$3,$H$4,$I$3,$Q$3,$J$3)</f>
        <v>1.989322345868942</v>
      </c>
      <c r="N624" s="12">
        <f ca="1"/>
        <v>118.76819566527823</v>
      </c>
      <c r="O624" s="12">
        <f t="shared" ca="1" si="86"/>
        <v>1.9896414309867225</v>
      </c>
    </row>
    <row r="625" spans="2:15" x14ac:dyDescent="0.15">
      <c r="B625" s="6">
        <f t="shared" ca="1" si="79"/>
        <v>2.1467954969887164</v>
      </c>
      <c r="C625" s="6">
        <f t="shared" ca="1" si="79"/>
        <v>-0.79554491552797701</v>
      </c>
      <c r="D625" s="6">
        <f t="shared" ca="1" si="79"/>
        <v>0.97821570233900801</v>
      </c>
      <c r="E625" s="8">
        <f t="shared" ca="1" si="80"/>
        <v>4.8879096775757934E-2</v>
      </c>
      <c r="F625" s="8">
        <f t="shared" ca="1" si="81"/>
        <v>6.1343813161560012E-2</v>
      </c>
      <c r="G625" s="8">
        <f t="shared" ca="1" si="82"/>
        <v>8.6981316737528014E-2</v>
      </c>
      <c r="H625" s="10">
        <f t="shared" ca="1" si="83"/>
        <v>4212.2984526514438</v>
      </c>
      <c r="I625" s="10">
        <f t="shared" ca="1" si="84"/>
        <v>577.37103435988865</v>
      </c>
      <c r="J625" s="10">
        <f t="shared" ca="1" si="85"/>
        <v>2430.4902242251123</v>
      </c>
      <c r="K625" s="12">
        <f t="array" aca="1" ref="K625:L625" ca="1">Opt3Spd(H625:J625,$E$3:$G$3,$K$3:$M$3,$N$3:$P$3,$H$3,$I$3,$Q$3,$J$3)</f>
        <v>248.26318137847238</v>
      </c>
      <c r="L625" s="12">
        <f ca="1"/>
        <v>3.4958154069499869E-3</v>
      </c>
      <c r="M625" s="12">
        <f t="array" aca="1" ref="M625:N625" ca="1">Opt3Spd(H625:J625,$E$3:$G$3,$K$3:$M$3,$N$3:$P$3,$H$4,$I$3,$Q$3,$J$3)</f>
        <v>0.66826434547684954</v>
      </c>
      <c r="N625" s="12">
        <f ca="1"/>
        <v>152.40857878241141</v>
      </c>
      <c r="O625" s="12">
        <f t="shared" ca="1" si="86"/>
        <v>0.67176016088379953</v>
      </c>
    </row>
    <row r="626" spans="2:15" x14ac:dyDescent="0.15">
      <c r="B626" s="6">
        <f t="shared" ca="1" si="79"/>
        <v>0.16761250093667149</v>
      </c>
      <c r="C626" s="6">
        <f t="shared" ca="1" si="79"/>
        <v>-1.5436178733336838</v>
      </c>
      <c r="D626" s="6">
        <f t="shared" ca="1" si="79"/>
        <v>-0.28605596346487139</v>
      </c>
      <c r="E626" s="8">
        <f t="shared" ca="1" si="80"/>
        <v>3.816268324394312E-3</v>
      </c>
      <c r="F626" s="8">
        <f t="shared" ca="1" si="81"/>
        <v>-2.9268117895850612E-2</v>
      </c>
      <c r="G626" s="8">
        <f t="shared" ca="1" si="82"/>
        <v>-1.3706367786181963E-3</v>
      </c>
      <c r="H626" s="10">
        <f t="shared" ca="1" si="83"/>
        <v>4031.3261335907673</v>
      </c>
      <c r="I626" s="10">
        <f t="shared" ca="1" si="84"/>
        <v>528.07814386465725</v>
      </c>
      <c r="J626" s="10">
        <f t="shared" ca="1" si="85"/>
        <v>2232.9352561630099</v>
      </c>
      <c r="K626" s="12">
        <f t="array" aca="1" ref="K626:L626" ca="1">Opt3Spd(H626:J626,$E$3:$G$3,$K$3:$M$3,$N$3:$P$3,$H$3,$I$3,$Q$3,$J$3)</f>
        <v>244.93647282955772</v>
      </c>
      <c r="L626" s="12">
        <f ca="1"/>
        <v>2.9975037468830124E-3</v>
      </c>
      <c r="M626" s="12">
        <f t="array" aca="1" ref="M626:N626" ca="1">Opt3Spd(H626:J626,$E$3:$G$3,$K$3:$M$3,$N$3:$P$3,$H$4,$I$3,$Q$3,$J$3)</f>
        <v>0.52453853125508232</v>
      </c>
      <c r="N626" s="12">
        <f ca="1"/>
        <v>155.59106320544424</v>
      </c>
      <c r="O626" s="12">
        <f t="shared" ca="1" si="86"/>
        <v>0.52753603500196533</v>
      </c>
    </row>
    <row r="627" spans="2:15" x14ac:dyDescent="0.15">
      <c r="B627" s="6">
        <f t="shared" ca="1" si="79"/>
        <v>1.268006419385969</v>
      </c>
      <c r="C627" s="6">
        <f t="shared" ca="1" si="79"/>
        <v>2.3587823093812599</v>
      </c>
      <c r="D627" s="6">
        <f t="shared" ca="1" si="79"/>
        <v>1.4574977171438361</v>
      </c>
      <c r="E627" s="8">
        <f t="shared" ca="1" si="80"/>
        <v>2.8870476285415298E-2</v>
      </c>
      <c r="F627" s="8">
        <f t="shared" ca="1" si="81"/>
        <v>0.10125967794930818</v>
      </c>
      <c r="G627" s="8">
        <f t="shared" ca="1" si="82"/>
        <v>6.8958772613155028E-2</v>
      </c>
      <c r="H627" s="10">
        <f t="shared" ca="1" si="83"/>
        <v>4131.9438327622274</v>
      </c>
      <c r="I627" s="10">
        <f t="shared" ca="1" si="84"/>
        <v>599.08526480442367</v>
      </c>
      <c r="J627" s="10">
        <f t="shared" ca="1" si="85"/>
        <v>2390.1918155630146</v>
      </c>
      <c r="K627" s="12">
        <f t="array" aca="1" ref="K627:L627" ca="1">Opt3Spd(H627:J627,$E$3:$G$3,$K$3:$M$3,$N$3:$P$3,$H$3,$I$3,$Q$3,$J$3)</f>
        <v>153.63145519316686</v>
      </c>
      <c r="L627" s="12">
        <f ca="1"/>
        <v>0.31995389952453479</v>
      </c>
      <c r="M627" s="12">
        <f t="array" aca="1" ref="M627:N627" ca="1">Opt3Spd(H627:J627,$E$3:$G$3,$K$3:$M$3,$N$3:$P$3,$H$4,$I$3,$Q$3,$J$3)</f>
        <v>9.8795613763740242E-3</v>
      </c>
      <c r="N627" s="12">
        <f ca="1"/>
        <v>246.69837826773406</v>
      </c>
      <c r="O627" s="12">
        <f t="shared" ca="1" si="86"/>
        <v>0.32983346090090881</v>
      </c>
    </row>
    <row r="628" spans="2:15" x14ac:dyDescent="0.15">
      <c r="B628" s="6">
        <f t="shared" ca="1" si="79"/>
        <v>-0.30766460036165694</v>
      </c>
      <c r="C628" s="6">
        <f t="shared" ca="1" si="79"/>
        <v>8.8155209248309538E-2</v>
      </c>
      <c r="D628" s="6">
        <f t="shared" ca="1" si="79"/>
        <v>0.2175783279061505</v>
      </c>
      <c r="E628" s="8">
        <f t="shared" ca="1" si="80"/>
        <v>-7.0050304263477598E-3</v>
      </c>
      <c r="F628" s="8">
        <f t="shared" ca="1" si="81"/>
        <v>-9.3858062953598234E-3</v>
      </c>
      <c r="G628" s="8">
        <f t="shared" ca="1" si="82"/>
        <v>-8.729311322463516E-3</v>
      </c>
      <c r="H628" s="10">
        <f t="shared" ca="1" si="83"/>
        <v>3987.8677978077872</v>
      </c>
      <c r="I628" s="10">
        <f t="shared" ca="1" si="84"/>
        <v>538.89412137532429</v>
      </c>
      <c r="J628" s="10">
        <f t="shared" ca="1" si="85"/>
        <v>2216.4812598829717</v>
      </c>
      <c r="K628" s="12">
        <f t="array" aca="1" ref="K628:L628" ca="1">Opt3Spd(H628:J628,$E$3:$G$3,$K$3:$M$3,$N$3:$P$3,$H$3,$I$3,$Q$3,$J$3)</f>
        <v>192.44303773569391</v>
      </c>
      <c r="L628" s="12">
        <f ca="1"/>
        <v>4.6464069911735351E-2</v>
      </c>
      <c r="M628" s="12">
        <f t="array" aca="1" ref="M628:N628" ca="1">Opt3Spd(H628:J628,$E$3:$G$3,$K$3:$M$3,$N$3:$P$3,$H$4,$I$3,$Q$3,$J$3)</f>
        <v>5.5915613996059932E-2</v>
      </c>
      <c r="N628" s="12">
        <f ca="1"/>
        <v>207.65934194821389</v>
      </c>
      <c r="O628" s="12">
        <f t="shared" ca="1" si="86"/>
        <v>0.10237968390779528</v>
      </c>
    </row>
    <row r="629" spans="2:15" x14ac:dyDescent="0.15">
      <c r="B629" s="6">
        <f t="shared" ca="1" si="79"/>
        <v>0.32359411786027747</v>
      </c>
      <c r="C629" s="6">
        <f t="shared" ca="1" si="79"/>
        <v>0.78681338550939683</v>
      </c>
      <c r="D629" s="6">
        <f t="shared" ca="1" si="79"/>
        <v>3.5040861555351217</v>
      </c>
      <c r="E629" s="8">
        <f t="shared" ca="1" si="80"/>
        <v>7.3677200390744341E-3</v>
      </c>
      <c r="F629" s="8">
        <f t="shared" ca="1" si="81"/>
        <v>3.009090114655464E-2</v>
      </c>
      <c r="G629" s="8">
        <f t="shared" ca="1" si="82"/>
        <v>5.1501638369002928E-2</v>
      </c>
      <c r="H629" s="10">
        <f t="shared" ca="1" si="83"/>
        <v>4045.588763676923</v>
      </c>
      <c r="I629" s="10">
        <f t="shared" ca="1" si="84"/>
        <v>560.36945022372572</v>
      </c>
      <c r="J629" s="10">
        <f t="shared" ca="1" si="85"/>
        <v>2351.1576633930908</v>
      </c>
      <c r="K629" s="12">
        <f t="array" aca="1" ref="K629:L629" ca="1">Opt3Spd(H629:J629,$E$3:$G$3,$K$3:$M$3,$N$3:$P$3,$H$3,$I$3,$Q$3,$J$3)</f>
        <v>148.78583909198005</v>
      </c>
      <c r="L629" s="12">
        <f ca="1"/>
        <v>0.36702746956370902</v>
      </c>
      <c r="M629" s="12">
        <f t="array" aca="1" ref="M629:N629" ca="1">Opt3Spd(H629:J629,$E$3:$G$3,$K$3:$M$3,$N$3:$P$3,$H$4,$I$3,$Q$3,$J$3)</f>
        <v>6.9623623369562404E-3</v>
      </c>
      <c r="N629" s="12">
        <f ca="1"/>
        <v>251.58815073992062</v>
      </c>
      <c r="O629" s="12">
        <f t="shared" ca="1" si="86"/>
        <v>0.37398983190066526</v>
      </c>
    </row>
    <row r="630" spans="2:15" x14ac:dyDescent="0.15">
      <c r="B630" s="6">
        <f t="shared" ca="1" si="79"/>
        <v>-0.94166315408583956</v>
      </c>
      <c r="C630" s="6">
        <f t="shared" ca="1" si="79"/>
        <v>1.1664021087092562</v>
      </c>
      <c r="D630" s="6">
        <f t="shared" ca="1" si="79"/>
        <v>0.22724016390902324</v>
      </c>
      <c r="E630" s="8">
        <f t="shared" ca="1" si="80"/>
        <v>-2.1440162560099282E-2</v>
      </c>
      <c r="F630" s="8">
        <f t="shared" ca="1" si="81"/>
        <v>-8.1157666498494901E-3</v>
      </c>
      <c r="G630" s="8">
        <f t="shared" ca="1" si="82"/>
        <v>-2.8788339738217809E-2</v>
      </c>
      <c r="H630" s="10">
        <f t="shared" ca="1" si="83"/>
        <v>3929.8963071586413</v>
      </c>
      <c r="I630" s="10">
        <f t="shared" ca="1" si="84"/>
        <v>539.58502294248183</v>
      </c>
      <c r="J630" s="10">
        <f t="shared" ca="1" si="85"/>
        <v>2171.6292723453448</v>
      </c>
      <c r="K630" s="12">
        <f t="array" aca="1" ref="K630:L630" ca="1">Opt3Spd(H630:J630,$E$3:$G$3,$K$3:$M$3,$N$3:$P$3,$H$3,$I$3,$Q$3,$J$3)</f>
        <v>155.9810724885665</v>
      </c>
      <c r="L630" s="12">
        <f ca="1"/>
        <v>0.23543821056841807</v>
      </c>
      <c r="M630" s="12">
        <f t="array" aca="1" ref="M630:N630" ca="1">Opt3Spd(H630:J630,$E$3:$G$3,$K$3:$M$3,$N$3:$P$3,$H$4,$I$3,$Q$3,$J$3)</f>
        <v>8.2156444734000633E-3</v>
      </c>
      <c r="N630" s="12">
        <f ca="1"/>
        <v>244.26258136647533</v>
      </c>
      <c r="O630" s="12">
        <f t="shared" ca="1" si="86"/>
        <v>0.24365385504181813</v>
      </c>
    </row>
    <row r="631" spans="2:15" x14ac:dyDescent="0.15">
      <c r="B631" s="6">
        <f t="shared" ca="1" si="79"/>
        <v>0.56837080793437567</v>
      </c>
      <c r="C631" s="6">
        <f t="shared" ca="1" si="79"/>
        <v>1.5509305379528295</v>
      </c>
      <c r="D631" s="6">
        <f t="shared" ca="1" si="79"/>
        <v>-1.3807528103358271E-3</v>
      </c>
      <c r="E631" s="8">
        <f t="shared" ca="1" si="80"/>
        <v>1.2940893422083648E-2</v>
      </c>
      <c r="F631" s="8">
        <f t="shared" ca="1" si="81"/>
        <v>5.6736434410717088E-2</v>
      </c>
      <c r="G631" s="8">
        <f t="shared" ca="1" si="82"/>
        <v>2.5368616160852092E-2</v>
      </c>
      <c r="H631" s="10">
        <f t="shared" ca="1" si="83"/>
        <v>4067.9706279830875</v>
      </c>
      <c r="I631" s="10">
        <f t="shared" ca="1" si="84"/>
        <v>574.86462031943006</v>
      </c>
      <c r="J631" s="10">
        <f t="shared" ca="1" si="85"/>
        <v>2292.7242257356656</v>
      </c>
      <c r="K631" s="12">
        <f t="array" aca="1" ref="K631:L631" ca="1">Opt3Spd(H631:J631,$E$3:$G$3,$K$3:$M$3,$N$3:$P$3,$H$3,$I$3,$Q$3,$J$3)</f>
        <v>176.9313106145114</v>
      </c>
      <c r="L631" s="12">
        <f ca="1"/>
        <v>0.10618801034479475</v>
      </c>
      <c r="M631" s="12">
        <f t="array" aca="1" ref="M631:N631" ca="1">Opt3Spd(H631:J631,$E$3:$G$3,$K$3:$M$3,$N$3:$P$3,$H$4,$I$3,$Q$3,$J$3)</f>
        <v>2.88729367408469E-2</v>
      </c>
      <c r="N631" s="12">
        <f ca="1"/>
        <v>223.20375033257423</v>
      </c>
      <c r="O631" s="12">
        <f t="shared" ca="1" si="86"/>
        <v>0.13506094708564165</v>
      </c>
    </row>
    <row r="632" spans="2:15" x14ac:dyDescent="0.15">
      <c r="B632" s="6">
        <f t="shared" ca="1" si="79"/>
        <v>-1.1434496810927652</v>
      </c>
      <c r="C632" s="6">
        <f t="shared" ca="1" si="79"/>
        <v>-0.91681992596597461</v>
      </c>
      <c r="D632" s="6">
        <f t="shared" ca="1" si="79"/>
        <v>1.4046287247563038</v>
      </c>
      <c r="E632" s="8">
        <f t="shared" ca="1" si="80"/>
        <v>-2.6034518750733426E-2</v>
      </c>
      <c r="F632" s="8">
        <f t="shared" ca="1" si="81"/>
        <v>-6.3490882362295983E-2</v>
      </c>
      <c r="G632" s="8">
        <f t="shared" ca="1" si="82"/>
        <v>-2.9706397157753514E-2</v>
      </c>
      <c r="H632" s="10">
        <f t="shared" ca="1" si="83"/>
        <v>3911.4453726970546</v>
      </c>
      <c r="I632" s="10">
        <f t="shared" ca="1" si="84"/>
        <v>509.46095999491104</v>
      </c>
      <c r="J632" s="10">
        <f t="shared" ca="1" si="85"/>
        <v>2169.5764959552635</v>
      </c>
      <c r="K632" s="12">
        <f t="array" aca="1" ref="K632:L632" ca="1">Opt3Spd(H632:J632,$E$3:$G$3,$K$3:$M$3,$N$3:$P$3,$H$3,$I$3,$Q$3,$J$3)</f>
        <v>186.57747698186904</v>
      </c>
      <c r="L632" s="12">
        <f ca="1"/>
        <v>5.788825430408906E-2</v>
      </c>
      <c r="M632" s="12">
        <f t="array" aca="1" ref="M632:N632" ca="1">Opt3Spd(H632:J632,$E$3:$G$3,$K$3:$M$3,$N$3:$P$3,$H$4,$I$3,$Q$3,$J$3)</f>
        <v>4.0097975459746138E-2</v>
      </c>
      <c r="N632" s="12">
        <f ca="1"/>
        <v>213.52050924789481</v>
      </c>
      <c r="O632" s="12">
        <f t="shared" ca="1" si="86"/>
        <v>9.7986229763835198E-2</v>
      </c>
    </row>
    <row r="633" spans="2:15" x14ac:dyDescent="0.15">
      <c r="B633" s="6">
        <f t="shared" ca="1" si="79"/>
        <v>-0.40183915550169763</v>
      </c>
      <c r="C633" s="6">
        <f t="shared" ca="1" si="79"/>
        <v>-0.85369679137278054</v>
      </c>
      <c r="D633" s="6">
        <f t="shared" ca="1" si="79"/>
        <v>-0.66139084245266488</v>
      </c>
      <c r="E633" s="8">
        <f t="shared" ca="1" si="80"/>
        <v>-9.1492342878524112E-3</v>
      </c>
      <c r="F633" s="8">
        <f t="shared" ca="1" si="81"/>
        <v>-3.4530833760159821E-2</v>
      </c>
      <c r="G633" s="8">
        <f t="shared" ca="1" si="82"/>
        <v>-2.4287006640190296E-2</v>
      </c>
      <c r="H633" s="10">
        <f t="shared" ca="1" si="83"/>
        <v>3979.2566750999845</v>
      </c>
      <c r="I633" s="10">
        <f t="shared" ca="1" si="84"/>
        <v>525.21522643447304</v>
      </c>
      <c r="J633" s="10">
        <f t="shared" ca="1" si="85"/>
        <v>2181.6942531525342</v>
      </c>
      <c r="K633" s="12">
        <f t="array" aca="1" ref="K633:L633" ca="1">Opt3Spd(H633:J633,$E$3:$G$3,$K$3:$M$3,$N$3:$P$3,$H$3,$I$3,$Q$3,$J$3)</f>
        <v>223.07449811677975</v>
      </c>
      <c r="L633" s="12">
        <f ca="1"/>
        <v>9.311888219372122E-3</v>
      </c>
      <c r="M633" s="12">
        <f t="array" aca="1" ref="M633:N633" ca="1">Opt3Spd(H633:J633,$E$3:$G$3,$K$3:$M$3,$N$3:$P$3,$H$4,$I$3,$Q$3,$J$3)</f>
        <v>0.21268438270795542</v>
      </c>
      <c r="N633" s="12">
        <f ca="1"/>
        <v>177.14749815414757</v>
      </c>
      <c r="O633" s="12">
        <f t="shared" ca="1" si="86"/>
        <v>0.22199627092732754</v>
      </c>
    </row>
    <row r="634" spans="2:15" x14ac:dyDescent="0.15">
      <c r="B634" s="6">
        <f t="shared" ca="1" si="79"/>
        <v>-0.55033921211025993</v>
      </c>
      <c r="C634" s="6">
        <f t="shared" ca="1" si="79"/>
        <v>0.78440014858535179</v>
      </c>
      <c r="D634" s="6">
        <f t="shared" ca="1" si="79"/>
        <v>-0.34025462338203255</v>
      </c>
      <c r="E634" s="8">
        <f t="shared" ca="1" si="80"/>
        <v>-1.2530342850990785E-2</v>
      </c>
      <c r="F634" s="8">
        <f t="shared" ca="1" si="81"/>
        <v>-2.3818363352634949E-3</v>
      </c>
      <c r="G634" s="8">
        <f t="shared" ca="1" si="82"/>
        <v>-2.1566227887110018E-2</v>
      </c>
      <c r="H634" s="10">
        <f t="shared" ca="1" si="83"/>
        <v>3965.6781431104209</v>
      </c>
      <c r="I634" s="10">
        <f t="shared" ca="1" si="84"/>
        <v>542.70428103361667</v>
      </c>
      <c r="J634" s="10">
        <f t="shared" ca="1" si="85"/>
        <v>2187.7779144444221</v>
      </c>
      <c r="K634" s="12">
        <f t="array" aca="1" ref="K634:L634" ca="1">Opt3Spd(H634:J634,$E$3:$G$3,$K$3:$M$3,$N$3:$P$3,$H$3,$I$3,$Q$3,$J$3)</f>
        <v>178.54975179339885</v>
      </c>
      <c r="L634" s="12">
        <f ca="1"/>
        <v>8.7415558975635577E-2</v>
      </c>
      <c r="M634" s="12">
        <f t="array" aca="1" ref="M634:N634" ca="1">Opt3Spd(H634:J634,$E$3:$G$3,$K$3:$M$3,$N$3:$P$3,$H$4,$I$3,$Q$3,$J$3)</f>
        <v>2.7632386359033756E-2</v>
      </c>
      <c r="N634" s="12">
        <f ca="1"/>
        <v>221.56529615193583</v>
      </c>
      <c r="O634" s="12">
        <f t="shared" ca="1" si="86"/>
        <v>0.11504794533466933</v>
      </c>
    </row>
    <row r="635" spans="2:15" x14ac:dyDescent="0.15">
      <c r="B635" s="6">
        <f t="shared" ca="1" si="79"/>
        <v>-1.0886219069460281</v>
      </c>
      <c r="C635" s="6">
        <f t="shared" ca="1" si="79"/>
        <v>2.1368232113425618</v>
      </c>
      <c r="D635" s="6">
        <f t="shared" ca="1" si="79"/>
        <v>-1.0793122319626485</v>
      </c>
      <c r="E635" s="8">
        <f t="shared" ca="1" si="80"/>
        <v>-2.4786178104278342E-2</v>
      </c>
      <c r="F635" s="8">
        <f t="shared" ca="1" si="81"/>
        <v>8.7415390859546943E-3</v>
      </c>
      <c r="G635" s="8">
        <f t="shared" ca="1" si="82"/>
        <v>-4.528903483742211E-2</v>
      </c>
      <c r="H635" s="10">
        <f t="shared" ca="1" si="83"/>
        <v>3916.4587087332184</v>
      </c>
      <c r="I635" s="10">
        <f t="shared" ca="1" si="84"/>
        <v>548.75539726275929</v>
      </c>
      <c r="J635" s="10">
        <f t="shared" ca="1" si="85"/>
        <v>2134.7337181035241</v>
      </c>
      <c r="K635" s="12">
        <f t="array" aca="1" ref="K635:L635" ca="1">Opt3Spd(H635:J635,$E$3:$G$3,$K$3:$M$3,$N$3:$P$3,$H$3,$I$3,$Q$3,$J$3)</f>
        <v>146.42840223798953</v>
      </c>
      <c r="L635" s="12">
        <f ca="1"/>
        <v>0.34518817694788595</v>
      </c>
      <c r="M635" s="12">
        <f t="array" aca="1" ref="M635:N635" ca="1">Opt3Spd(H635:J635,$E$3:$G$3,$K$3:$M$3,$N$3:$P$3,$H$4,$I$3,$Q$3,$J$3)</f>
        <v>4.5880469499116616E-3</v>
      </c>
      <c r="N635" s="12">
        <f ca="1"/>
        <v>253.92137398590828</v>
      </c>
      <c r="O635" s="12">
        <f t="shared" ca="1" si="86"/>
        <v>0.34977622389779761</v>
      </c>
    </row>
    <row r="636" spans="2:15" x14ac:dyDescent="0.15">
      <c r="B636" s="6">
        <f t="shared" ca="1" si="79"/>
        <v>2.2216772296468834</v>
      </c>
      <c r="C636" s="6">
        <f t="shared" ca="1" si="79"/>
        <v>-0.92681292927505765</v>
      </c>
      <c r="D636" s="6">
        <f t="shared" ca="1" si="79"/>
        <v>0.2614121869234165</v>
      </c>
      <c r="E636" s="8">
        <f t="shared" ca="1" si="80"/>
        <v>5.0584033954203217E-2</v>
      </c>
      <c r="F636" s="8">
        <f t="shared" ca="1" si="81"/>
        <v>6.1103785625003383E-2</v>
      </c>
      <c r="G636" s="8">
        <f t="shared" ca="1" si="82"/>
        <v>8.1715135770741465E-2</v>
      </c>
      <c r="H636" s="10">
        <f t="shared" ca="1" si="83"/>
        <v>4219.14548036008</v>
      </c>
      <c r="I636" s="10">
        <f t="shared" ca="1" si="84"/>
        <v>577.24045938000188</v>
      </c>
      <c r="J636" s="10">
        <f t="shared" ca="1" si="85"/>
        <v>2418.7150435833782</v>
      </c>
      <c r="K636" s="12">
        <f t="array" aca="1" ref="K636:L636" ca="1">Opt3Spd(H636:J636,$E$3:$G$3,$K$3:$M$3,$N$3:$P$3,$H$3,$I$3,$Q$3,$J$3)</f>
        <v>261.20488369018108</v>
      </c>
      <c r="L636" s="12">
        <f ca="1"/>
        <v>1.660129793208398E-3</v>
      </c>
      <c r="M636" s="12">
        <f t="array" aca="1" ref="M636:N636" ca="1">Opt3Spd(H636:J636,$E$3:$G$3,$K$3:$M$3,$N$3:$P$3,$H$4,$I$3,$Q$3,$J$3)</f>
        <v>1.0451974209252057</v>
      </c>
      <c r="N636" s="12">
        <f ca="1"/>
        <v>139.84197386053734</v>
      </c>
      <c r="O636" s="12">
        <f t="shared" ca="1" si="86"/>
        <v>1.0468575507184141</v>
      </c>
    </row>
    <row r="637" spans="2:15" x14ac:dyDescent="0.15">
      <c r="B637" s="6">
        <f t="shared" ca="1" si="79"/>
        <v>2.0368999300211348</v>
      </c>
      <c r="C637" s="6">
        <f t="shared" ca="1" si="79"/>
        <v>1.5424123004784438</v>
      </c>
      <c r="D637" s="6">
        <f t="shared" ca="1" si="79"/>
        <v>1.2943712423187312</v>
      </c>
      <c r="E637" s="8">
        <f t="shared" ca="1" si="80"/>
        <v>4.6376950641871466E-2</v>
      </c>
      <c r="F637" s="8">
        <f t="shared" ca="1" si="81"/>
        <v>0.11101352282027702</v>
      </c>
      <c r="G637" s="8">
        <f t="shared" ca="1" si="82"/>
        <v>9.3098976225349808E-2</v>
      </c>
      <c r="H637" s="10">
        <f t="shared" ca="1" si="83"/>
        <v>4202.2498337777561</v>
      </c>
      <c r="I637" s="10">
        <f t="shared" ca="1" si="84"/>
        <v>604.3913564142307</v>
      </c>
      <c r="J637" s="10">
        <f t="shared" ca="1" si="85"/>
        <v>2444.1693108398822</v>
      </c>
      <c r="K637" s="12">
        <f t="array" aca="1" ref="K637:L637" ca="1">Opt3Spd(H637:J637,$E$3:$G$3,$K$3:$M$3,$N$3:$P$3,$H$3,$I$3,$Q$3,$J$3)</f>
        <v>188.21463211271021</v>
      </c>
      <c r="L637" s="12">
        <f ca="1"/>
        <v>7.562401766426774E-2</v>
      </c>
      <c r="M637" s="12">
        <f t="array" aca="1" ref="M637:N637" ca="1">Opt3Spd(H637:J637,$E$3:$G$3,$K$3:$M$3,$N$3:$P$3,$H$4,$I$3,$Q$3,$J$3)</f>
        <v>5.8623036195522005E-2</v>
      </c>
      <c r="N637" s="12">
        <f ca="1"/>
        <v>211.91961494114958</v>
      </c>
      <c r="O637" s="12">
        <f t="shared" ca="1" si="86"/>
        <v>0.13424705385978974</v>
      </c>
    </row>
    <row r="638" spans="2:15" x14ac:dyDescent="0.15">
      <c r="B638" s="6">
        <f t="shared" ca="1" si="79"/>
        <v>-1.164224863866983E-2</v>
      </c>
      <c r="C638" s="6">
        <f t="shared" ca="1" si="79"/>
        <v>1.2199522717727485</v>
      </c>
      <c r="D638" s="6">
        <f t="shared" ca="1" si="79"/>
        <v>0.91286116827268171</v>
      </c>
      <c r="E638" s="8">
        <f t="shared" ca="1" si="80"/>
        <v>-2.6507536404617757E-4</v>
      </c>
      <c r="F638" s="8">
        <f t="shared" ca="1" si="81"/>
        <v>2.761301734327171E-2</v>
      </c>
      <c r="G638" s="8">
        <f t="shared" ca="1" si="82"/>
        <v>1.2838528317097347E-2</v>
      </c>
      <c r="H638" s="10">
        <f t="shared" ca="1" si="83"/>
        <v>4014.9354573379906</v>
      </c>
      <c r="I638" s="10">
        <f t="shared" ca="1" si="84"/>
        <v>559.02148143473983</v>
      </c>
      <c r="J638" s="10">
        <f t="shared" ca="1" si="85"/>
        <v>2264.7069493170297</v>
      </c>
      <c r="K638" s="12">
        <f t="array" aca="1" ref="K638:L638" ca="1">Opt3Spd(H638:J638,$E$3:$G$3,$K$3:$M$3,$N$3:$P$3,$H$3,$I$3,$Q$3,$J$3)</f>
        <v>163.33427804597068</v>
      </c>
      <c r="L638" s="12">
        <f ca="1"/>
        <v>0.18666566207889446</v>
      </c>
      <c r="M638" s="12">
        <f t="array" aca="1" ref="M638:N638" ca="1">Opt3Spd(H638:J638,$E$3:$G$3,$K$3:$M$3,$N$3:$P$3,$H$4,$I$3,$Q$3,$J$3)</f>
        <v>1.3803624121577984E-2</v>
      </c>
      <c r="N638" s="12">
        <f ca="1"/>
        <v>236.8661912402298</v>
      </c>
      <c r="O638" s="12">
        <f t="shared" ca="1" si="86"/>
        <v>0.20046928620047244</v>
      </c>
    </row>
    <row r="639" spans="2:15" x14ac:dyDescent="0.15">
      <c r="B639" s="6">
        <f t="shared" ca="1" si="79"/>
        <v>-0.13711959120504638</v>
      </c>
      <c r="C639" s="6">
        <f t="shared" ca="1" si="79"/>
        <v>0.58644650783357155</v>
      </c>
      <c r="D639" s="6">
        <f t="shared" ca="1" si="79"/>
        <v>0.63259960787755087</v>
      </c>
      <c r="E639" s="8">
        <f t="shared" ca="1" si="80"/>
        <v>-3.1219935842817991E-3</v>
      </c>
      <c r="F639" s="8">
        <f t="shared" ca="1" si="81"/>
        <v>8.3952759773957119E-3</v>
      </c>
      <c r="G639" s="8">
        <f t="shared" ca="1" si="82"/>
        <v>3.4040043693541024E-3</v>
      </c>
      <c r="H639" s="10">
        <f t="shared" ca="1" si="83"/>
        <v>4003.4620737655246</v>
      </c>
      <c r="I639" s="10">
        <f t="shared" ca="1" si="84"/>
        <v>548.56703013170329</v>
      </c>
      <c r="J639" s="10">
        <f t="shared" ca="1" si="85"/>
        <v>2243.6113537698761</v>
      </c>
      <c r="K639" s="12">
        <f t="array" aca="1" ref="K639:L639" ca="1">Opt3Spd(H639:J639,$E$3:$G$3,$K$3:$M$3,$N$3:$P$3,$H$3,$I$3,$Q$3,$J$3)</f>
        <v>179.0394173237712</v>
      </c>
      <c r="L639" s="12">
        <f ca="1"/>
        <v>9.0268653910243302E-2</v>
      </c>
      <c r="M639" s="12">
        <f t="array" aca="1" ref="M639:N639" ca="1">Opt3Spd(H639:J639,$E$3:$G$3,$K$3:$M$3,$N$3:$P$3,$H$4,$I$3,$Q$3,$J$3)</f>
        <v>3.0034121653948809E-2</v>
      </c>
      <c r="N639" s="12">
        <f ca="1"/>
        <v>221.08088545179299</v>
      </c>
      <c r="O639" s="12">
        <f t="shared" ca="1" si="86"/>
        <v>0.12030277556419211</v>
      </c>
    </row>
    <row r="640" spans="2:15" x14ac:dyDescent="0.15">
      <c r="B640" s="6">
        <f t="shared" ref="B640:D703" ca="1" si="87">NORMINV(RAND(),0,1)</f>
        <v>0.6158691729703526</v>
      </c>
      <c r="C640" s="6">
        <f t="shared" ca="1" si="87"/>
        <v>-1.6369858558339296</v>
      </c>
      <c r="D640" s="6">
        <f t="shared" ca="1" si="87"/>
        <v>-1.3358453195674882</v>
      </c>
      <c r="E640" s="8">
        <f t="shared" ca="1" si="80"/>
        <v>1.4022355156347756E-2</v>
      </c>
      <c r="F640" s="8">
        <f t="shared" ca="1" si="81"/>
        <v>-1.4787091029266109E-2</v>
      </c>
      <c r="G640" s="8">
        <f t="shared" ca="1" si="82"/>
        <v>3.6430767577901001E-3</v>
      </c>
      <c r="H640" s="10">
        <f t="shared" ca="1" si="83"/>
        <v>4072.3137783078932</v>
      </c>
      <c r="I640" s="10">
        <f t="shared" ca="1" si="84"/>
        <v>535.95582248007918</v>
      </c>
      <c r="J640" s="10">
        <f t="shared" ca="1" si="85"/>
        <v>2244.145919630419</v>
      </c>
      <c r="K640" s="12">
        <f t="array" aca="1" ref="K640:L640" ca="1">Opt3Spd(H640:J640,$E$3:$G$3,$K$3:$M$3,$N$3:$P$3,$H$3,$I$3,$Q$3,$J$3)</f>
        <v>267.71231433066373</v>
      </c>
      <c r="L640" s="12">
        <f ca="1"/>
        <v>8.1180610709452594E-4</v>
      </c>
      <c r="M640" s="12">
        <f t="array" aca="1" ref="M640:N640" ca="1">Opt3Spd(H640:J640,$E$3:$G$3,$K$3:$M$3,$N$3:$P$3,$H$4,$I$3,$Q$3,$J$3)</f>
        <v>1.1937795304245213</v>
      </c>
      <c r="N640" s="12">
        <f ca="1"/>
        <v>133.4822770058679</v>
      </c>
      <c r="O640" s="12">
        <f t="shared" ca="1" si="86"/>
        <v>1.1945913365316159</v>
      </c>
    </row>
    <row r="641" spans="2:15" x14ac:dyDescent="0.15">
      <c r="B641" s="6">
        <f t="shared" ca="1" si="87"/>
        <v>-1.94332091374813</v>
      </c>
      <c r="C641" s="6">
        <f t="shared" ca="1" si="87"/>
        <v>0.47942233195629269</v>
      </c>
      <c r="D641" s="6">
        <f t="shared" ca="1" si="87"/>
        <v>-0.5551075565705661</v>
      </c>
      <c r="E641" s="8">
        <f t="shared" ca="1" si="80"/>
        <v>-4.4246306247002737E-2</v>
      </c>
      <c r="F641" s="8">
        <f t="shared" ca="1" si="81"/>
        <v>-6.1063408361593532E-2</v>
      </c>
      <c r="G641" s="8">
        <f t="shared" ca="1" si="82"/>
        <v>-7.5916292017440157E-2</v>
      </c>
      <c r="H641" s="10">
        <f t="shared" ca="1" si="83"/>
        <v>3838.306834112037</v>
      </c>
      <c r="I641" s="10">
        <f t="shared" ca="1" si="84"/>
        <v>510.7815058512931</v>
      </c>
      <c r="J641" s="10">
        <f t="shared" ca="1" si="85"/>
        <v>2066.2511710490039</v>
      </c>
      <c r="K641" s="12">
        <f t="array" aca="1" ref="K641:L641" ca="1">Opt3Spd(H641:J641,$E$3:$G$3,$K$3:$M$3,$N$3:$P$3,$H$3,$I$3,$Q$3,$J$3)</f>
        <v>163.08758277916149</v>
      </c>
      <c r="L641" s="12">
        <f ca="1"/>
        <v>0.15674355369560544</v>
      </c>
      <c r="M641" s="12">
        <f t="array" aca="1" ref="M641:N641" ca="1">Opt3Spd(H641:J641,$E$3:$G$3,$K$3:$M$3,$N$3:$P$3,$H$4,$I$3,$Q$3,$J$3)</f>
        <v>1.0627916720209019E-2</v>
      </c>
      <c r="N641" s="12">
        <f ca="1"/>
        <v>237.07978869125432</v>
      </c>
      <c r="O641" s="12">
        <f t="shared" ca="1" si="86"/>
        <v>0.16737147041581446</v>
      </c>
    </row>
    <row r="642" spans="2:15" x14ac:dyDescent="0.15">
      <c r="B642" s="6">
        <f t="shared" ca="1" si="87"/>
        <v>-1.4280532582572261</v>
      </c>
      <c r="C642" s="6">
        <f t="shared" ca="1" si="87"/>
        <v>-0.27157015931075867</v>
      </c>
      <c r="D642" s="6">
        <f t="shared" ca="1" si="87"/>
        <v>1.1824800457926328</v>
      </c>
      <c r="E642" s="8">
        <f t="shared" ca="1" si="80"/>
        <v>-3.2514486596045937E-2</v>
      </c>
      <c r="F642" s="8">
        <f t="shared" ca="1" si="81"/>
        <v>-5.9214507572218716E-2</v>
      </c>
      <c r="G642" s="8">
        <f t="shared" ca="1" si="82"/>
        <v>-4.065569042134172E-2</v>
      </c>
      <c r="H642" s="10">
        <f t="shared" ca="1" si="83"/>
        <v>3885.4218218302794</v>
      </c>
      <c r="I642" s="10">
        <f t="shared" ca="1" si="84"/>
        <v>511.78730788071306</v>
      </c>
      <c r="J642" s="10">
        <f t="shared" ca="1" si="85"/>
        <v>2145.0938762178798</v>
      </c>
      <c r="K642" s="12">
        <f t="array" aca="1" ref="K642:L642" ca="1">Opt3Spd(H642:J642,$E$3:$G$3,$K$3:$M$3,$N$3:$P$3,$H$3,$I$3,$Q$3,$J$3)</f>
        <v>169.14261194226333</v>
      </c>
      <c r="L642" s="12">
        <f ca="1"/>
        <v>0.12742083006469329</v>
      </c>
      <c r="M642" s="12">
        <f t="array" aca="1" ref="M642:N642" ca="1">Opt3Spd(H642:J642,$E$3:$G$3,$K$3:$M$3,$N$3:$P$3,$H$4,$I$3,$Q$3,$J$3)</f>
        <v>1.6097450416548753E-2</v>
      </c>
      <c r="N642" s="12">
        <f ca="1"/>
        <v>231.0009063382179</v>
      </c>
      <c r="O642" s="12">
        <f t="shared" ca="1" si="86"/>
        <v>0.14351828048124204</v>
      </c>
    </row>
    <row r="643" spans="2:15" x14ac:dyDescent="0.15">
      <c r="B643" s="6">
        <f t="shared" ca="1" si="87"/>
        <v>-0.18653002457750495</v>
      </c>
      <c r="C643" s="6">
        <f t="shared" ca="1" si="87"/>
        <v>-0.38184701412411737</v>
      </c>
      <c r="D643" s="6">
        <f t="shared" ca="1" si="87"/>
        <v>0.54593036095049752</v>
      </c>
      <c r="E643" s="8">
        <f t="shared" ca="1" si="80"/>
        <v>-4.2469900536391391E-3</v>
      </c>
      <c r="F643" s="8">
        <f t="shared" ca="1" si="81"/>
        <v>-1.5697143614886624E-2</v>
      </c>
      <c r="G643" s="8">
        <f t="shared" ca="1" si="82"/>
        <v>-2.1454747101383471E-3</v>
      </c>
      <c r="H643" s="10">
        <f t="shared" ca="1" si="83"/>
        <v>3998.9440879445851</v>
      </c>
      <c r="I643" s="10">
        <f t="shared" ca="1" si="84"/>
        <v>535.46075387350163</v>
      </c>
      <c r="J643" s="10">
        <f t="shared" ca="1" si="85"/>
        <v>2231.2027185481306</v>
      </c>
      <c r="K643" s="12">
        <f t="array" aca="1" ref="K643:L643" ca="1">Opt3Spd(H643:J643,$E$3:$G$3,$K$3:$M$3,$N$3:$P$3,$H$3,$I$3,$Q$3,$J$3)</f>
        <v>201.63553212311558</v>
      </c>
      <c r="L643" s="12">
        <f ca="1"/>
        <v>3.0009650198280724E-2</v>
      </c>
      <c r="M643" s="12">
        <f t="array" aca="1" ref="M643:N643" ca="1">Opt3Spd(H643:J643,$E$3:$G$3,$K$3:$M$3,$N$3:$P$3,$H$4,$I$3,$Q$3,$J$3)</f>
        <v>8.6704890144481794E-2</v>
      </c>
      <c r="N643" s="12">
        <f ca="1"/>
        <v>198.48118241722719</v>
      </c>
      <c r="O643" s="12">
        <f t="shared" ca="1" si="86"/>
        <v>0.11671454034276252</v>
      </c>
    </row>
    <row r="644" spans="2:15" x14ac:dyDescent="0.15">
      <c r="B644" s="6">
        <f t="shared" ca="1" si="87"/>
        <v>-0.41014017858205937</v>
      </c>
      <c r="C644" s="6">
        <f t="shared" ca="1" si="87"/>
        <v>-0.10852583736969196</v>
      </c>
      <c r="D644" s="6">
        <f t="shared" ca="1" si="87"/>
        <v>-1.3609647605137645</v>
      </c>
      <c r="E644" s="8">
        <f t="shared" ca="1" si="80"/>
        <v>-9.3382352947261153E-3</v>
      </c>
      <c r="F644" s="8">
        <f t="shared" ca="1" si="81"/>
        <v>-1.7708387567863242E-2</v>
      </c>
      <c r="G644" s="8">
        <f t="shared" ca="1" si="82"/>
        <v>-2.9881362129931442E-2</v>
      </c>
      <c r="H644" s="10">
        <f t="shared" ca="1" si="83"/>
        <v>3978.4976470563802</v>
      </c>
      <c r="I644" s="10">
        <f t="shared" ca="1" si="84"/>
        <v>534.36663716308237</v>
      </c>
      <c r="J644" s="10">
        <f t="shared" ca="1" si="85"/>
        <v>2169.1852742774731</v>
      </c>
      <c r="K644" s="12">
        <f t="array" aca="1" ref="K644:L644" ca="1">Opt3Spd(H644:J644,$E$3:$G$3,$K$3:$M$3,$N$3:$P$3,$H$3,$I$3,$Q$3,$J$3)</f>
        <v>213.93334775996732</v>
      </c>
      <c r="L644" s="12">
        <f ca="1"/>
        <v>1.4957303255414445E-2</v>
      </c>
      <c r="M644" s="12">
        <f t="array" aca="1" ref="M644:N644" ca="1">Opt3Spd(H644:J644,$E$3:$G$3,$K$3:$M$3,$N$3:$P$3,$H$4,$I$3,$Q$3,$J$3)</f>
        <v>0.14277828858443797</v>
      </c>
      <c r="N644" s="12">
        <f ca="1"/>
        <v>186.22438783187255</v>
      </c>
      <c r="O644" s="12">
        <f t="shared" ca="1" si="86"/>
        <v>0.15773559183985242</v>
      </c>
    </row>
    <row r="645" spans="2:15" x14ac:dyDescent="0.15">
      <c r="B645" s="6">
        <f t="shared" ca="1" si="87"/>
        <v>0.10791082860338215</v>
      </c>
      <c r="C645" s="6">
        <f t="shared" ca="1" si="87"/>
        <v>-0.81761966261183794</v>
      </c>
      <c r="D645" s="6">
        <f t="shared" ca="1" si="87"/>
        <v>0.64169104222918361</v>
      </c>
      <c r="E645" s="8">
        <f t="shared" ref="E645:E708" ca="1" si="88">B645*$U$3*$C$6</f>
        <v>2.4569568185956875E-3</v>
      </c>
      <c r="F645" s="8">
        <f t="shared" ref="F645:F708" ca="1" si="89">($N$3*B645+C645*SQRT(1-$N$3^2))*$V$3*$C$6</f>
        <v>-1.4793055111824176E-2</v>
      </c>
      <c r="G645" s="8">
        <f t="shared" ref="G645:G708" ca="1" si="90">(D645/$T$3+($P$3-$N$3*$O$3)*C645+$O$3*B645*SQRT(1/(1-$N$3^2)))*$W$3*$C$6</f>
        <v>8.4269118413332587E-3</v>
      </c>
      <c r="H645" s="10">
        <f t="shared" ref="H645:H708" ca="1" si="91">B$3*(1+E645)</f>
        <v>4025.8671385834805</v>
      </c>
      <c r="I645" s="10">
        <f t="shared" ref="I645:I708" ca="1" si="92">C$3*(1+F645)</f>
        <v>535.95257801916762</v>
      </c>
      <c r="J645" s="10">
        <f t="shared" ref="J645:J708" ca="1" si="93">D$3*(1+G645)</f>
        <v>2254.8425748772211</v>
      </c>
      <c r="K645" s="12">
        <f t="array" aca="1" ref="K645:L645" ca="1">Opt3Spd(H645:J645,$E$3:$G$3,$K$3:$M$3,$N$3:$P$3,$H$3,$I$3,$Q$3,$J$3)</f>
        <v>215.93665974297664</v>
      </c>
      <c r="L645" s="12">
        <f ca="1"/>
        <v>1.4933428775066204E-2</v>
      </c>
      <c r="M645" s="12">
        <f t="array" aca="1" ref="M645:N645" ca="1">Opt3Spd(H645:J645,$E$3:$G$3,$K$3:$M$3,$N$3:$P$3,$H$4,$I$3,$Q$3,$J$3)</f>
        <v>0.16596961032432311</v>
      </c>
      <c r="N645" s="12">
        <f ca="1"/>
        <v>184.24424329612273</v>
      </c>
      <c r="O645" s="12">
        <f t="shared" ca="1" si="86"/>
        <v>0.18090303909938932</v>
      </c>
    </row>
    <row r="646" spans="2:15" x14ac:dyDescent="0.15">
      <c r="B646" s="6">
        <f t="shared" ca="1" si="87"/>
        <v>-2.4196237753688981</v>
      </c>
      <c r="C646" s="6">
        <f t="shared" ca="1" si="87"/>
        <v>-1.1335031259504746</v>
      </c>
      <c r="D646" s="6">
        <f t="shared" ca="1" si="87"/>
        <v>-0.71157641227259283</v>
      </c>
      <c r="E646" s="8">
        <f t="shared" ca="1" si="88"/>
        <v>-5.5090959918201642E-2</v>
      </c>
      <c r="F646" s="8">
        <f t="shared" ca="1" si="89"/>
        <v>-0.11580988888386409</v>
      </c>
      <c r="G646" s="8">
        <f t="shared" ca="1" si="90"/>
        <v>-9.9764031464341041E-2</v>
      </c>
      <c r="H646" s="10">
        <f t="shared" ca="1" si="91"/>
        <v>3794.7547049685022</v>
      </c>
      <c r="I646" s="10">
        <f t="shared" ca="1" si="92"/>
        <v>480.9994204471779</v>
      </c>
      <c r="J646" s="10">
        <f t="shared" ca="1" si="93"/>
        <v>2012.9276256457333</v>
      </c>
      <c r="K646" s="12">
        <f t="array" aca="1" ref="K646:L646" ca="1">Opt3Spd(H646:J646,$E$3:$G$3,$K$3:$M$3,$N$3:$P$3,$H$3,$I$3,$Q$3,$J$3)</f>
        <v>193.72654857857037</v>
      </c>
      <c r="L646" s="12">
        <f ca="1"/>
        <v>3.472914841927377E-2</v>
      </c>
      <c r="M646" s="12">
        <f t="array" aca="1" ref="M646:N646" ca="1">Opt3Spd(H646:J646,$E$3:$G$3,$K$3:$M$3,$N$3:$P$3,$H$4,$I$3,$Q$3,$J$3)</f>
        <v>4.9290757136434493E-2</v>
      </c>
      <c r="N646" s="12">
        <f ca="1"/>
        <v>206.35747132698535</v>
      </c>
      <c r="O646" s="12">
        <f t="shared" ca="1" si="86"/>
        <v>8.4019905555708263E-2</v>
      </c>
    </row>
    <row r="647" spans="2:15" x14ac:dyDescent="0.15">
      <c r="B647" s="6">
        <f t="shared" ca="1" si="87"/>
        <v>-0.58249513168179967</v>
      </c>
      <c r="C647" s="6">
        <f t="shared" ca="1" si="87"/>
        <v>-0.42082949770010808</v>
      </c>
      <c r="D647" s="6">
        <f t="shared" ca="1" si="87"/>
        <v>-1.0342543856644448</v>
      </c>
      <c r="E647" s="8">
        <f t="shared" ca="1" si="88"/>
        <v>-1.3262481662934193E-2</v>
      </c>
      <c r="F647" s="8">
        <f t="shared" ca="1" si="89"/>
        <v>-3.12810307399191E-2</v>
      </c>
      <c r="G647" s="8">
        <f t="shared" ca="1" si="90"/>
        <v>-3.3639547866488734E-2</v>
      </c>
      <c r="H647" s="10">
        <f t="shared" ca="1" si="91"/>
        <v>3962.7378736416563</v>
      </c>
      <c r="I647" s="10">
        <f t="shared" ca="1" si="92"/>
        <v>526.98311927748398</v>
      </c>
      <c r="J647" s="10">
        <f t="shared" ca="1" si="93"/>
        <v>2160.7819709705313</v>
      </c>
      <c r="K647" s="12">
        <f t="array" aca="1" ref="K647:L647" ca="1">Opt3Spd(H647:J647,$E$3:$G$3,$K$3:$M$3,$N$3:$P$3,$H$3,$I$3,$Q$3,$J$3)</f>
        <v>214.18843916313062</v>
      </c>
      <c r="L647" s="12">
        <f ca="1"/>
        <v>1.4541850714294924E-2</v>
      </c>
      <c r="M647" s="12">
        <f t="array" aca="1" ref="M647:N647" ca="1">Opt3Spd(H647:J647,$E$3:$G$3,$K$3:$M$3,$N$3:$P$3,$H$4,$I$3,$Q$3,$J$3)</f>
        <v>0.14327730947274908</v>
      </c>
      <c r="N647" s="12">
        <f ca="1"/>
        <v>185.96937999705642</v>
      </c>
      <c r="O647" s="12">
        <f t="shared" ca="1" si="86"/>
        <v>0.15781916018704401</v>
      </c>
    </row>
    <row r="648" spans="2:15" x14ac:dyDescent="0.15">
      <c r="B648" s="6">
        <f t="shared" ca="1" si="87"/>
        <v>-0.57124522853327409</v>
      </c>
      <c r="C648" s="6">
        <f t="shared" ca="1" si="87"/>
        <v>-0.12961164247431023</v>
      </c>
      <c r="D648" s="6">
        <f t="shared" ca="1" si="87"/>
        <v>1.0265997757327572</v>
      </c>
      <c r="E648" s="8">
        <f t="shared" ca="1" si="88"/>
        <v>-1.3006339377613581E-2</v>
      </c>
      <c r="F648" s="8">
        <f t="shared" ca="1" si="89"/>
        <v>-2.4169071439562907E-2</v>
      </c>
      <c r="G648" s="8">
        <f t="shared" ca="1" si="90"/>
        <v>-1.0426456317422464E-2</v>
      </c>
      <c r="H648" s="10">
        <f t="shared" ca="1" si="91"/>
        <v>3963.7665410595041</v>
      </c>
      <c r="I648" s="10">
        <f t="shared" ca="1" si="92"/>
        <v>530.85202513687773</v>
      </c>
      <c r="J648" s="10">
        <f t="shared" ca="1" si="93"/>
        <v>2212.6864436742435</v>
      </c>
      <c r="K648" s="12">
        <f t="array" aca="1" ref="K648:L648" ca="1">Opt3Spd(H648:J648,$E$3:$G$3,$K$3:$M$3,$N$3:$P$3,$H$3,$I$3,$Q$3,$J$3)</f>
        <v>183.13179504753566</v>
      </c>
      <c r="L648" s="12">
        <f ca="1"/>
        <v>7.1716044157938086E-2</v>
      </c>
      <c r="M648" s="12">
        <f t="array" aca="1" ref="M648:N648" ca="1">Opt3Spd(H648:J648,$E$3:$G$3,$K$3:$M$3,$N$3:$P$3,$H$4,$I$3,$Q$3,$J$3)</f>
        <v>3.5431739120506123E-2</v>
      </c>
      <c r="N648" s="12">
        <f ca="1"/>
        <v>216.97535273574277</v>
      </c>
      <c r="O648" s="12">
        <f t="shared" ca="1" si="86"/>
        <v>0.10714778327844421</v>
      </c>
    </row>
    <row r="649" spans="2:15" x14ac:dyDescent="0.15">
      <c r="B649" s="6">
        <f t="shared" ca="1" si="87"/>
        <v>-0.16659198629680574</v>
      </c>
      <c r="C649" s="6">
        <f t="shared" ca="1" si="87"/>
        <v>1.9679734279514192</v>
      </c>
      <c r="D649" s="6">
        <f t="shared" ca="1" si="87"/>
        <v>2.3578326322892886</v>
      </c>
      <c r="E649" s="8">
        <f t="shared" ca="1" si="88"/>
        <v>-3.7930328397321519E-3</v>
      </c>
      <c r="F649" s="8">
        <f t="shared" ca="1" si="89"/>
        <v>3.9061268819643245E-2</v>
      </c>
      <c r="G649" s="8">
        <f t="shared" ca="1" si="90"/>
        <v>2.471077016062407E-2</v>
      </c>
      <c r="H649" s="10">
        <f t="shared" ca="1" si="91"/>
        <v>4000.7671801156353</v>
      </c>
      <c r="I649" s="10">
        <f t="shared" ca="1" si="92"/>
        <v>565.24933023788594</v>
      </c>
      <c r="J649" s="10">
        <f t="shared" ca="1" si="93"/>
        <v>2291.2532820791557</v>
      </c>
      <c r="K649" s="12">
        <f t="array" aca="1" ref="K649:L649" ca="1">Opt3Spd(H649:J649,$E$3:$G$3,$K$3:$M$3,$N$3:$P$3,$H$3,$I$3,$Q$3,$J$3)</f>
        <v>126.5899805173874</v>
      </c>
      <c r="L649" s="12">
        <f ca="1"/>
        <v>0.84836982194769917</v>
      </c>
      <c r="M649" s="12">
        <f t="array" aca="1" ref="M649:N649" ca="1">Opt3Spd(H649:J649,$E$3:$G$3,$K$3:$M$3,$N$3:$P$3,$H$4,$I$3,$Q$3,$J$3)</f>
        <v>1.7629609592592077E-3</v>
      </c>
      <c r="N649" s="12">
        <f ca="1"/>
        <v>274.26015226551954</v>
      </c>
      <c r="O649" s="12">
        <f t="shared" ca="1" si="86"/>
        <v>0.85013278290695837</v>
      </c>
    </row>
    <row r="650" spans="2:15" x14ac:dyDescent="0.15">
      <c r="B650" s="6">
        <f t="shared" ca="1" si="87"/>
        <v>0.59714560271017414</v>
      </c>
      <c r="C650" s="6">
        <f t="shared" ca="1" si="87"/>
        <v>-0.16202203661495673</v>
      </c>
      <c r="D650" s="6">
        <f t="shared" ca="1" si="87"/>
        <v>1.2211914184234591</v>
      </c>
      <c r="E650" s="8">
        <f t="shared" ca="1" si="88"/>
        <v>1.3596049435090796E-2</v>
      </c>
      <c r="F650" s="8">
        <f t="shared" ca="1" si="89"/>
        <v>1.8425587415325566E-2</v>
      </c>
      <c r="G650" s="8">
        <f t="shared" ca="1" si="90"/>
        <v>3.447723168383883E-2</v>
      </c>
      <c r="H650" s="10">
        <f t="shared" ca="1" si="91"/>
        <v>4070.6017345313248</v>
      </c>
      <c r="I650" s="10">
        <f t="shared" ca="1" si="92"/>
        <v>554.02351955393715</v>
      </c>
      <c r="J650" s="10">
        <f t="shared" ca="1" si="93"/>
        <v>2313.0910900450635</v>
      </c>
      <c r="K650" s="12">
        <f t="array" aca="1" ref="K650:L650" ca="1">Opt3Spd(H650:J650,$E$3:$G$3,$K$3:$M$3,$N$3:$P$3,$H$3,$I$3,$Q$3,$J$3)</f>
        <v>202.65019149918521</v>
      </c>
      <c r="L650" s="12">
        <f ca="1"/>
        <v>3.1633276691763967E-2</v>
      </c>
      <c r="M650" s="12">
        <f t="array" aca="1" ref="M650:N650" ca="1">Opt3Spd(H650:J650,$E$3:$G$3,$K$3:$M$3,$N$3:$P$3,$H$4,$I$3,$Q$3,$J$3)</f>
        <v>9.7713009652560245E-2</v>
      </c>
      <c r="N650" s="12">
        <f ca="1"/>
        <v>197.4791547871591</v>
      </c>
      <c r="O650" s="12">
        <f t="shared" ca="1" si="86"/>
        <v>0.12934628634432421</v>
      </c>
    </row>
    <row r="651" spans="2:15" x14ac:dyDescent="0.15">
      <c r="B651" s="6">
        <f t="shared" ca="1" si="87"/>
        <v>0.39905199604331043</v>
      </c>
      <c r="C651" s="6">
        <f t="shared" ca="1" si="87"/>
        <v>0.18834064809577691</v>
      </c>
      <c r="D651" s="6">
        <f t="shared" ca="1" si="87"/>
        <v>0.96508642582061133</v>
      </c>
      <c r="E651" s="8">
        <f t="shared" ca="1" si="88"/>
        <v>9.0857751288002005E-3</v>
      </c>
      <c r="F651" s="8">
        <f t="shared" ca="1" si="89"/>
        <v>1.9131910427669825E-2</v>
      </c>
      <c r="G651" s="8">
        <f t="shared" ca="1" si="90"/>
        <v>2.548838698124099E-2</v>
      </c>
      <c r="H651" s="10">
        <f t="shared" ca="1" si="91"/>
        <v>4052.4884729172618</v>
      </c>
      <c r="I651" s="10">
        <f t="shared" ca="1" si="92"/>
        <v>554.40775927265247</v>
      </c>
      <c r="J651" s="10">
        <f t="shared" ca="1" si="93"/>
        <v>2292.9920332900547</v>
      </c>
      <c r="K651" s="12">
        <f t="array" aca="1" ref="K651:L651" ca="1">Opt3Spd(H651:J651,$E$3:$G$3,$K$3:$M$3,$N$3:$P$3,$H$3,$I$3,$Q$3,$J$3)</f>
        <v>193.98720516748813</v>
      </c>
      <c r="L651" s="12">
        <f ca="1"/>
        <v>4.716373149744868E-2</v>
      </c>
      <c r="M651" s="12">
        <f t="array" aca="1" ref="M651:N651" ca="1">Opt3Spd(H651:J651,$E$3:$G$3,$K$3:$M$3,$N$3:$P$3,$H$4,$I$3,$Q$3,$J$3)</f>
        <v>6.4747235040778506E-2</v>
      </c>
      <c r="N651" s="12">
        <f ca="1"/>
        <v>206.1247057990501</v>
      </c>
      <c r="O651" s="12">
        <f t="shared" ref="O651:O714" ca="1" si="94">L651+M651</f>
        <v>0.11191096653822719</v>
      </c>
    </row>
    <row r="652" spans="2:15" x14ac:dyDescent="0.15">
      <c r="B652" s="6">
        <f t="shared" ca="1" si="87"/>
        <v>1.1049524125520054</v>
      </c>
      <c r="C652" s="6">
        <f t="shared" ca="1" si="87"/>
        <v>-0.80607391054972899</v>
      </c>
      <c r="D652" s="6">
        <f t="shared" ca="1" si="87"/>
        <v>0.39503272961863151</v>
      </c>
      <c r="E652" s="8">
        <f t="shared" ca="1" si="88"/>
        <v>2.5157997574289E-2</v>
      </c>
      <c r="F652" s="8">
        <f t="shared" ca="1" si="89"/>
        <v>2.2456143274061997E-2</v>
      </c>
      <c r="G652" s="8">
        <f t="shared" ca="1" si="90"/>
        <v>4.2462450793409857E-2</v>
      </c>
      <c r="H652" s="10">
        <f t="shared" ca="1" si="91"/>
        <v>4117.0345182583451</v>
      </c>
      <c r="I652" s="10">
        <f t="shared" ca="1" si="92"/>
        <v>556.21614194108975</v>
      </c>
      <c r="J652" s="10">
        <f t="shared" ca="1" si="93"/>
        <v>2330.9460399740647</v>
      </c>
      <c r="K652" s="12">
        <f t="array" aca="1" ref="K652:L652" ca="1">Opt3Spd(H652:J652,$E$3:$G$3,$K$3:$M$3,$N$3:$P$3,$H$3,$I$3,$Q$3,$J$3)</f>
        <v>236.62126721841491</v>
      </c>
      <c r="L652" s="12">
        <f ca="1"/>
        <v>5.5960528459308989E-3</v>
      </c>
      <c r="M652" s="12">
        <f t="array" aca="1" ref="M652:N652" ca="1">Opt3Spd(H652:J652,$E$3:$G$3,$K$3:$M$3,$N$3:$P$3,$H$4,$I$3,$Q$3,$J$3)</f>
        <v>0.40645733255394134</v>
      </c>
      <c r="N652" s="12">
        <f ca="1"/>
        <v>163.79078616698496</v>
      </c>
      <c r="O652" s="12">
        <f t="shared" ca="1" si="94"/>
        <v>0.41205338539987224</v>
      </c>
    </row>
    <row r="653" spans="2:15" x14ac:dyDescent="0.15">
      <c r="B653" s="6">
        <f t="shared" ca="1" si="87"/>
        <v>0.25846443484305365</v>
      </c>
      <c r="C653" s="6">
        <f t="shared" ca="1" si="87"/>
        <v>0.93179396491935995</v>
      </c>
      <c r="D653" s="6">
        <f t="shared" ca="1" si="87"/>
        <v>0.74488919970216472</v>
      </c>
      <c r="E653" s="8">
        <f t="shared" ca="1" si="88"/>
        <v>5.8848214194160871E-3</v>
      </c>
      <c r="F653" s="8">
        <f t="shared" ca="1" si="89"/>
        <v>3.100789777809948E-2</v>
      </c>
      <c r="G653" s="8">
        <f t="shared" ca="1" si="90"/>
        <v>2.0135878923574341E-2</v>
      </c>
      <c r="H653" s="10">
        <f t="shared" ca="1" si="91"/>
        <v>4039.633442820375</v>
      </c>
      <c r="I653" s="10">
        <f t="shared" ca="1" si="92"/>
        <v>560.86829639128609</v>
      </c>
      <c r="J653" s="10">
        <f t="shared" ca="1" si="93"/>
        <v>2281.0238252731124</v>
      </c>
      <c r="K653" s="12">
        <f t="array" aca="1" ref="K653:L653" ca="1">Opt3Spd(H653:J653,$E$3:$G$3,$K$3:$M$3,$N$3:$P$3,$H$3,$I$3,$Q$3,$J$3)</f>
        <v>176.83647104678516</v>
      </c>
      <c r="L653" s="12">
        <f ca="1"/>
        <v>0.10421508902413734</v>
      </c>
      <c r="M653" s="12">
        <f t="array" aca="1" ref="M653:N653" ca="1">Opt3Spd(H653:J653,$E$3:$G$3,$K$3:$M$3,$N$3:$P$3,$H$4,$I$3,$Q$3,$J$3)</f>
        <v>2.8133053976524547E-2</v>
      </c>
      <c r="N653" s="12">
        <f ca="1"/>
        <v>223.29587709621549</v>
      </c>
      <c r="O653" s="12">
        <f t="shared" ca="1" si="94"/>
        <v>0.13234814300066189</v>
      </c>
    </row>
    <row r="654" spans="2:15" x14ac:dyDescent="0.15">
      <c r="B654" s="6">
        <f t="shared" ca="1" si="87"/>
        <v>0.61188934168794118</v>
      </c>
      <c r="C654" s="6">
        <f t="shared" ca="1" si="87"/>
        <v>-1.088307037133259</v>
      </c>
      <c r="D654" s="6">
        <f t="shared" ca="1" si="87"/>
        <v>1.649264924742547</v>
      </c>
      <c r="E654" s="8">
        <f t="shared" ca="1" si="88"/>
        <v>1.3931740769147372E-2</v>
      </c>
      <c r="F654" s="8">
        <f t="shared" ca="1" si="89"/>
        <v>-2.3214155229538524E-3</v>
      </c>
      <c r="G654" s="8">
        <f t="shared" ca="1" si="90"/>
        <v>3.6890204623443855E-2</v>
      </c>
      <c r="H654" s="10">
        <f t="shared" ca="1" si="91"/>
        <v>4071.9498709288955</v>
      </c>
      <c r="I654" s="10">
        <f t="shared" ca="1" si="92"/>
        <v>542.73714995551313</v>
      </c>
      <c r="J654" s="10">
        <f t="shared" ca="1" si="93"/>
        <v>2318.4864975380206</v>
      </c>
      <c r="K654" s="12">
        <f t="array" aca="1" ref="K654:L654" ca="1">Opt3Spd(H654:J654,$E$3:$G$3,$K$3:$M$3,$N$3:$P$3,$H$3,$I$3,$Q$3,$J$3)</f>
        <v>219.34076731400887</v>
      </c>
      <c r="L654" s="12">
        <f ca="1"/>
        <v>1.358508294447347E-2</v>
      </c>
      <c r="M654" s="12">
        <f t="array" aca="1" ref="M654:N654" ca="1">Opt3Spd(H654:J654,$E$3:$G$3,$K$3:$M$3,$N$3:$P$3,$H$4,$I$3,$Q$3,$J$3)</f>
        <v>0.20090893473794225</v>
      </c>
      <c r="N654" s="12">
        <f ca="1"/>
        <v>180.87372670367355</v>
      </c>
      <c r="O654" s="12">
        <f t="shared" ca="1" si="94"/>
        <v>0.21449401768241572</v>
      </c>
    </row>
    <row r="655" spans="2:15" x14ac:dyDescent="0.15">
      <c r="B655" s="6">
        <f t="shared" ca="1" si="87"/>
        <v>-0.64249369053228056</v>
      </c>
      <c r="C655" s="6">
        <f t="shared" ca="1" si="87"/>
        <v>-2.9770470723315737E-2</v>
      </c>
      <c r="D655" s="6">
        <f t="shared" ca="1" si="87"/>
        <v>-0.60992169866449952</v>
      </c>
      <c r="E655" s="8">
        <f t="shared" ca="1" si="88"/>
        <v>-1.4628552799459443E-2</v>
      </c>
      <c r="F655" s="8">
        <f t="shared" ca="1" si="89"/>
        <v>-2.4516728983042697E-2</v>
      </c>
      <c r="G655" s="8">
        <f t="shared" ca="1" si="90"/>
        <v>-3.0188125186793913E-2</v>
      </c>
      <c r="H655" s="10">
        <f t="shared" ca="1" si="91"/>
        <v>3957.2517319573712</v>
      </c>
      <c r="I655" s="10">
        <f t="shared" ca="1" si="92"/>
        <v>530.66289943322477</v>
      </c>
      <c r="J655" s="10">
        <f t="shared" ca="1" si="93"/>
        <v>2168.4993520823286</v>
      </c>
      <c r="K655" s="12">
        <f t="array" aca="1" ref="K655:L655" ca="1">Opt3Spd(H655:J655,$E$3:$G$3,$K$3:$M$3,$N$3:$P$3,$H$3,$I$3,$Q$3,$J$3)</f>
        <v>198.97335403735178</v>
      </c>
      <c r="L655" s="12">
        <f ca="1"/>
        <v>3.193721430466212E-2</v>
      </c>
      <c r="M655" s="12">
        <f t="array" aca="1" ref="M655:N655" ca="1">Opt3Spd(H655:J655,$E$3:$G$3,$K$3:$M$3,$N$3:$P$3,$H$4,$I$3,$Q$3,$J$3)</f>
        <v>7.2668990211758988E-2</v>
      </c>
      <c r="N655" s="12">
        <f ca="1"/>
        <v>201.13125216716463</v>
      </c>
      <c r="O655" s="12">
        <f t="shared" ca="1" si="94"/>
        <v>0.10460620451642111</v>
      </c>
    </row>
    <row r="656" spans="2:15" x14ac:dyDescent="0.15">
      <c r="B656" s="6">
        <f t="shared" ca="1" si="87"/>
        <v>-0.58063837037111365</v>
      </c>
      <c r="C656" s="6">
        <f t="shared" ca="1" si="87"/>
        <v>0.55450426774165573</v>
      </c>
      <c r="D656" s="6">
        <f t="shared" ca="1" si="87"/>
        <v>-1.3761368037736283</v>
      </c>
      <c r="E656" s="8">
        <f t="shared" ca="1" si="88"/>
        <v>-1.3220206180280251E-2</v>
      </c>
      <c r="F656" s="8">
        <f t="shared" ca="1" si="89"/>
        <v>-8.7906994713915568E-3</v>
      </c>
      <c r="G656" s="8">
        <f t="shared" ca="1" si="90"/>
        <v>-3.4382059935127579E-2</v>
      </c>
      <c r="H656" s="10">
        <f t="shared" ca="1" si="91"/>
        <v>3962.9076519799942</v>
      </c>
      <c r="I656" s="10">
        <f t="shared" ca="1" si="92"/>
        <v>539.21785948756303</v>
      </c>
      <c r="J656" s="10">
        <f t="shared" ca="1" si="93"/>
        <v>2159.1217139850546</v>
      </c>
      <c r="K656" s="12">
        <f t="array" aca="1" ref="K656:L656" ca="1">Opt3Spd(H656:J656,$E$3:$G$3,$K$3:$M$3,$N$3:$P$3,$H$3,$I$3,$Q$3,$J$3)</f>
        <v>195.63573544711744</v>
      </c>
      <c r="L656" s="12">
        <f ca="1"/>
        <v>3.7515639751518393E-2</v>
      </c>
      <c r="M656" s="12">
        <f t="array" aca="1" ref="M656:N656" ca="1">Opt3Spd(H656:J656,$E$3:$G$3,$K$3:$M$3,$N$3:$P$3,$H$4,$I$3,$Q$3,$J$3)</f>
        <v>6.1792415999465611E-2</v>
      </c>
      <c r="N656" s="12">
        <f ca="1"/>
        <v>204.46357260863354</v>
      </c>
      <c r="O656" s="12">
        <f t="shared" ca="1" si="94"/>
        <v>9.9308055750984003E-2</v>
      </c>
    </row>
    <row r="657" spans="2:15" x14ac:dyDescent="0.15">
      <c r="B657" s="6">
        <f t="shared" ca="1" si="87"/>
        <v>-0.33505077586308646</v>
      </c>
      <c r="C657" s="6">
        <f t="shared" ca="1" si="87"/>
        <v>0.61020209082361776</v>
      </c>
      <c r="D657" s="6">
        <f t="shared" ca="1" si="87"/>
        <v>0.95049426107470658</v>
      </c>
      <c r="E657" s="8">
        <f t="shared" ca="1" si="88"/>
        <v>-7.6285698014442321E-3</v>
      </c>
      <c r="F657" s="8">
        <f t="shared" ca="1" si="89"/>
        <v>1.5994173748371185E-3</v>
      </c>
      <c r="G657" s="8">
        <f t="shared" ca="1" si="90"/>
        <v>-4.1215468289176416E-4</v>
      </c>
      <c r="H657" s="10">
        <f t="shared" ca="1" si="91"/>
        <v>3985.3636636773999</v>
      </c>
      <c r="I657" s="10">
        <f t="shared" ca="1" si="92"/>
        <v>544.87008305191137</v>
      </c>
      <c r="J657" s="10">
        <f t="shared" ca="1" si="93"/>
        <v>2235.0784221290542</v>
      </c>
      <c r="K657" s="12">
        <f t="array" aca="1" ref="K657:L657" ca="1">Opt3Spd(H657:J657,$E$3:$G$3,$K$3:$M$3,$N$3:$P$3,$H$3,$I$3,$Q$3,$J$3)</f>
        <v>171.16006547416555</v>
      </c>
      <c r="L657" s="12">
        <f ca="1"/>
        <v>0.12774574435070463</v>
      </c>
      <c r="M657" s="12">
        <f t="array" aca="1" ref="M657:N657" ca="1">Opt3Spd(H657:J657,$E$3:$G$3,$K$3:$M$3,$N$3:$P$3,$H$4,$I$3,$Q$3,$J$3)</f>
        <v>1.9935657379989369E-2</v>
      </c>
      <c r="N657" s="12">
        <f ca="1"/>
        <v>228.98761592756514</v>
      </c>
      <c r="O657" s="12">
        <f t="shared" ca="1" si="94"/>
        <v>0.147681401730694</v>
      </c>
    </row>
    <row r="658" spans="2:15" x14ac:dyDescent="0.15">
      <c r="B658" s="6">
        <f t="shared" ca="1" si="87"/>
        <v>3.2817499819164514E-2</v>
      </c>
      <c r="C658" s="6">
        <f t="shared" ca="1" si="87"/>
        <v>-2.7033730205095323</v>
      </c>
      <c r="D658" s="6">
        <f t="shared" ca="1" si="87"/>
        <v>1.3698462011555392</v>
      </c>
      <c r="E658" s="8">
        <f t="shared" ca="1" si="88"/>
        <v>7.4720193509321127E-4</v>
      </c>
      <c r="F658" s="8">
        <f t="shared" ca="1" si="89"/>
        <v>-6.0929166419974742E-2</v>
      </c>
      <c r="G658" s="8">
        <f t="shared" ca="1" si="90"/>
        <v>7.9508944556467148E-3</v>
      </c>
      <c r="H658" s="10">
        <f t="shared" ca="1" si="91"/>
        <v>4019.0007629713341</v>
      </c>
      <c r="I658" s="10">
        <f t="shared" ca="1" si="92"/>
        <v>510.85453346753377</v>
      </c>
      <c r="J658" s="10">
        <f t="shared" ca="1" si="93"/>
        <v>2253.778200002826</v>
      </c>
      <c r="K658" s="12">
        <f t="array" aca="1" ref="K658:L658" ca="1">Opt3Spd(H658:J658,$E$3:$G$3,$K$3:$M$3,$N$3:$P$3,$H$3,$I$3,$Q$3,$J$3)</f>
        <v>249.74673413192909</v>
      </c>
      <c r="L658" s="12">
        <f ca="1"/>
        <v>2.3247100618846162E-3</v>
      </c>
      <c r="M658" s="12">
        <f t="array" aca="1" ref="M658:N658" ca="1">Opt3Spd(H658:J658,$E$3:$G$3,$K$3:$M$3,$N$3:$P$3,$H$4,$I$3,$Q$3,$J$3)</f>
        <v>0.63439962524709159</v>
      </c>
      <c r="N658" s="12">
        <f ca="1"/>
        <v>150.88999020337988</v>
      </c>
      <c r="O658" s="12">
        <f t="shared" ca="1" si="94"/>
        <v>0.63672433530897621</v>
      </c>
    </row>
    <row r="659" spans="2:15" x14ac:dyDescent="0.15">
      <c r="B659" s="6">
        <f t="shared" ca="1" si="87"/>
        <v>-0.42411165666797418</v>
      </c>
      <c r="C659" s="6">
        <f t="shared" ca="1" si="87"/>
        <v>-1.3807424632174117</v>
      </c>
      <c r="D659" s="6">
        <f t="shared" ca="1" si="87"/>
        <v>-1.3335120941861047</v>
      </c>
      <c r="E659" s="8">
        <f t="shared" ca="1" si="88"/>
        <v>-9.6563434845465829E-3</v>
      </c>
      <c r="F659" s="8">
        <f t="shared" ca="1" si="89"/>
        <v>-4.7472987070959982E-2</v>
      </c>
      <c r="G659" s="8">
        <f t="shared" ca="1" si="90"/>
        <v>-3.3795404600137149E-2</v>
      </c>
      <c r="H659" s="10">
        <f t="shared" ca="1" si="91"/>
        <v>3977.2201245660608</v>
      </c>
      <c r="I659" s="10">
        <f t="shared" ca="1" si="92"/>
        <v>518.17469503339771</v>
      </c>
      <c r="J659" s="10">
        <f t="shared" ca="1" si="93"/>
        <v>2160.4334753140934</v>
      </c>
      <c r="K659" s="12">
        <f t="array" aca="1" ref="K659:L659" ca="1">Opt3Spd(H659:J659,$E$3:$G$3,$K$3:$M$3,$N$3:$P$3,$H$3,$I$3,$Q$3,$J$3)</f>
        <v>242.92688360682223</v>
      </c>
      <c r="L659" s="12">
        <f ca="1"/>
        <v>3.0087512441241415E-3</v>
      </c>
      <c r="M659" s="12">
        <f t="array" aca="1" ref="M659:N659" ca="1">Opt3Spd(H659:J659,$E$3:$G$3,$K$3:$M$3,$N$3:$P$3,$H$4,$I$3,$Q$3,$J$3)</f>
        <v>0.4658737383265148</v>
      </c>
      <c r="N659" s="12">
        <f ca="1"/>
        <v>157.5419988827484</v>
      </c>
      <c r="O659" s="12">
        <f t="shared" ca="1" si="94"/>
        <v>0.46888248957063894</v>
      </c>
    </row>
    <row r="660" spans="2:15" x14ac:dyDescent="0.15">
      <c r="B660" s="6">
        <f t="shared" ca="1" si="87"/>
        <v>0.41729715867145406</v>
      </c>
      <c r="C660" s="6">
        <f t="shared" ca="1" si="87"/>
        <v>0.22674253945455078</v>
      </c>
      <c r="D660" s="6">
        <f t="shared" ca="1" si="87"/>
        <v>2.4830275454344668</v>
      </c>
      <c r="E660" s="8">
        <f t="shared" ca="1" si="88"/>
        <v>9.5011882741330468E-3</v>
      </c>
      <c r="F660" s="8">
        <f t="shared" ca="1" si="89"/>
        <v>2.0691489445981748E-2</v>
      </c>
      <c r="G660" s="8">
        <f t="shared" ca="1" si="90"/>
        <v>4.2440873447309652E-2</v>
      </c>
      <c r="H660" s="10">
        <f t="shared" ca="1" si="91"/>
        <v>4054.1567721089186</v>
      </c>
      <c r="I660" s="10">
        <f t="shared" ca="1" si="92"/>
        <v>555.25617025861402</v>
      </c>
      <c r="J660" s="10">
        <f t="shared" ca="1" si="93"/>
        <v>2330.8977930281844</v>
      </c>
      <c r="K660" s="12">
        <f t="array" aca="1" ref="K660:L660" ca="1">Opt3Spd(H660:J660,$E$3:$G$3,$K$3:$M$3,$N$3:$P$3,$H$3,$I$3,$Q$3,$J$3)</f>
        <v>175.41354348600294</v>
      </c>
      <c r="L660" s="12">
        <f ca="1"/>
        <v>0.11554030495904044</v>
      </c>
      <c r="M660" s="12">
        <f t="array" aca="1" ref="M660:N660" ca="1">Opt3Spd(H660:J660,$E$3:$G$3,$K$3:$M$3,$N$3:$P$3,$H$4,$I$3,$Q$3,$J$3)</f>
        <v>2.7473905977131619E-2</v>
      </c>
      <c r="N660" s="12">
        <f ca="1"/>
        <v>224.72947072493324</v>
      </c>
      <c r="O660" s="12">
        <f t="shared" ca="1" si="94"/>
        <v>0.14301421093617206</v>
      </c>
    </row>
    <row r="661" spans="2:15" x14ac:dyDescent="0.15">
      <c r="B661" s="6">
        <f t="shared" ca="1" si="87"/>
        <v>-1.2187152949367868</v>
      </c>
      <c r="C661" s="6">
        <f t="shared" ca="1" si="87"/>
        <v>-1.2650135430323663</v>
      </c>
      <c r="D661" s="6">
        <f t="shared" ca="1" si="87"/>
        <v>0.16362709772068179</v>
      </c>
      <c r="E661" s="8">
        <f t="shared" ca="1" si="88"/>
        <v>-2.7748196289245654E-2</v>
      </c>
      <c r="F661" s="8">
        <f t="shared" ca="1" si="89"/>
        <v>-7.4287196649828746E-2</v>
      </c>
      <c r="G661" s="8">
        <f t="shared" ca="1" si="90"/>
        <v>-4.6702787162420482E-2</v>
      </c>
      <c r="H661" s="10">
        <f t="shared" ca="1" si="91"/>
        <v>3904.5632437023896</v>
      </c>
      <c r="I661" s="10">
        <f t="shared" ca="1" si="92"/>
        <v>503.58776502249316</v>
      </c>
      <c r="J661" s="10">
        <f t="shared" ca="1" si="93"/>
        <v>2131.5725679048278</v>
      </c>
      <c r="K661" s="12">
        <f t="array" aca="1" ref="K661:L661" ca="1">Opt3Spd(H661:J661,$E$3:$G$3,$K$3:$M$3,$N$3:$P$3,$H$3,$I$3,$Q$3,$J$3)</f>
        <v>208.05565379754375</v>
      </c>
      <c r="L661" s="12">
        <f ca="1"/>
        <v>1.9118083557259524E-2</v>
      </c>
      <c r="M661" s="12">
        <f t="array" aca="1" ref="M661:N661" ca="1">Opt3Spd(H661:J661,$E$3:$G$3,$K$3:$M$3,$N$3:$P$3,$H$4,$I$3,$Q$3,$J$3)</f>
        <v>0.10652002509272052</v>
      </c>
      <c r="N661" s="12">
        <f ca="1"/>
        <v>192.06998431110623</v>
      </c>
      <c r="O661" s="12">
        <f t="shared" ca="1" si="94"/>
        <v>0.12563810864998004</v>
      </c>
    </row>
    <row r="662" spans="2:15" x14ac:dyDescent="0.15">
      <c r="B662" s="6">
        <f t="shared" ca="1" si="87"/>
        <v>-0.27218612236987033</v>
      </c>
      <c r="C662" s="6">
        <f t="shared" ca="1" si="87"/>
        <v>0.69411888847212622</v>
      </c>
      <c r="D662" s="6">
        <f t="shared" ca="1" si="87"/>
        <v>-6.2064119211309846E-2</v>
      </c>
      <c r="E662" s="8">
        <f t="shared" ca="1" si="88"/>
        <v>-6.1972422780823032E-3</v>
      </c>
      <c r="F662" s="8">
        <f t="shared" ca="1" si="89"/>
        <v>5.8604095263421665E-3</v>
      </c>
      <c r="G662" s="8">
        <f t="shared" ca="1" si="90"/>
        <v>-8.6458410097540739E-3</v>
      </c>
      <c r="H662" s="10">
        <f t="shared" ca="1" si="91"/>
        <v>3991.1118750112214</v>
      </c>
      <c r="I662" s="10">
        <f t="shared" ca="1" si="92"/>
        <v>547.18806278233012</v>
      </c>
      <c r="J662" s="10">
        <f t="shared" ca="1" si="93"/>
        <v>2216.6678995021898</v>
      </c>
      <c r="K662" s="12">
        <f t="array" aca="1" ref="K662:L662" ca="1">Opt3Spd(H662:J662,$E$3:$G$3,$K$3:$M$3,$N$3:$P$3,$H$3,$I$3,$Q$3,$J$3)</f>
        <v>182.35249350127856</v>
      </c>
      <c r="L662" s="12">
        <f ca="1"/>
        <v>7.5468692880349408E-2</v>
      </c>
      <c r="M662" s="12">
        <f t="array" aca="1" ref="M662:N662" ca="1">Opt3Spd(H662:J662,$E$3:$G$3,$K$3:$M$3,$N$3:$P$3,$H$4,$I$3,$Q$3,$J$3)</f>
        <v>3.4442977431344168E-2</v>
      </c>
      <c r="N662" s="12">
        <f ca="1"/>
        <v>217.75741816903314</v>
      </c>
      <c r="O662" s="12">
        <f t="shared" ca="1" si="94"/>
        <v>0.10991167031169358</v>
      </c>
    </row>
    <row r="663" spans="2:15" x14ac:dyDescent="0.15">
      <c r="B663" s="6">
        <f t="shared" ca="1" si="87"/>
        <v>-0.26469898291876737</v>
      </c>
      <c r="C663" s="6">
        <f t="shared" ca="1" si="87"/>
        <v>0.8919269099306476</v>
      </c>
      <c r="D663" s="6">
        <f t="shared" ca="1" si="87"/>
        <v>-3.3785238983688022E-2</v>
      </c>
      <c r="E663" s="8">
        <f t="shared" ca="1" si="88"/>
        <v>-6.0267720985438282E-3</v>
      </c>
      <c r="F663" s="8">
        <f t="shared" ca="1" si="89"/>
        <v>1.0685442992823563E-2</v>
      </c>
      <c r="G663" s="8">
        <f t="shared" ca="1" si="90"/>
        <v>-7.4952883047438388E-3</v>
      </c>
      <c r="H663" s="10">
        <f t="shared" ca="1" si="91"/>
        <v>3991.796483252248</v>
      </c>
      <c r="I663" s="10">
        <f t="shared" ca="1" si="92"/>
        <v>549.81288098809603</v>
      </c>
      <c r="J663" s="10">
        <f t="shared" ca="1" si="93"/>
        <v>2219.2405353505928</v>
      </c>
      <c r="K663" s="12">
        <f t="array" aca="1" ref="K663:L663" ca="1">Opt3Spd(H663:J663,$E$3:$G$3,$K$3:$M$3,$N$3:$P$3,$H$3,$I$3,$Q$3,$J$3)</f>
        <v>177.5701642376664</v>
      </c>
      <c r="L663" s="12">
        <f ca="1"/>
        <v>9.4558241668664778E-2</v>
      </c>
      <c r="M663" s="12">
        <f t="array" aca="1" ref="M663:N663" ca="1">Opt3Spd(H663:J663,$E$3:$G$3,$K$3:$M$3,$N$3:$P$3,$H$4,$I$3,$Q$3,$J$3)</f>
        <v>2.7245699808997159E-2</v>
      </c>
      <c r="N663" s="12">
        <f ca="1"/>
        <v>222.55163970381125</v>
      </c>
      <c r="O663" s="12">
        <f t="shared" ca="1" si="94"/>
        <v>0.12180394147766194</v>
      </c>
    </row>
    <row r="664" spans="2:15" x14ac:dyDescent="0.15">
      <c r="B664" s="6">
        <f t="shared" ca="1" si="87"/>
        <v>-0.58773524835642388</v>
      </c>
      <c r="C664" s="6">
        <f t="shared" ca="1" si="87"/>
        <v>-1.5682898427789158</v>
      </c>
      <c r="D664" s="6">
        <f t="shared" ca="1" si="87"/>
        <v>0.33150227648431962</v>
      </c>
      <c r="E664" s="8">
        <f t="shared" ca="1" si="88"/>
        <v>-1.338179073099144E-2</v>
      </c>
      <c r="F664" s="8">
        <f t="shared" ca="1" si="89"/>
        <v>-5.7853793938874208E-2</v>
      </c>
      <c r="G664" s="8">
        <f t="shared" ca="1" si="90"/>
        <v>-2.2613625224917826E-2</v>
      </c>
      <c r="H664" s="10">
        <f t="shared" ca="1" si="91"/>
        <v>3962.2587284243382</v>
      </c>
      <c r="I664" s="10">
        <f t="shared" ca="1" si="92"/>
        <v>512.52753609725244</v>
      </c>
      <c r="J664" s="10">
        <f t="shared" ca="1" si="93"/>
        <v>2185.4359339970838</v>
      </c>
      <c r="K664" s="12">
        <f t="array" aca="1" ref="K664:L664" ca="1">Opt3Spd(H664:J664,$E$3:$G$3,$K$3:$M$3,$N$3:$P$3,$H$3,$I$3,$Q$3,$J$3)</f>
        <v>224.50530839556268</v>
      </c>
      <c r="L664" s="12">
        <f ca="1"/>
        <v>8.6047253698779969E-3</v>
      </c>
      <c r="M664" s="12">
        <f t="array" aca="1" ref="M664:N664" ca="1">Opt3Spd(H664:J664,$E$3:$G$3,$K$3:$M$3,$N$3:$P$3,$H$4,$I$3,$Q$3,$J$3)</f>
        <v>0.22614597991233154</v>
      </c>
      <c r="N664" s="12">
        <f ca="1"/>
        <v>175.72944230971953</v>
      </c>
      <c r="O664" s="12">
        <f t="shared" ca="1" si="94"/>
        <v>0.23475070528220954</v>
      </c>
    </row>
    <row r="665" spans="2:15" x14ac:dyDescent="0.15">
      <c r="B665" s="6">
        <f t="shared" ca="1" si="87"/>
        <v>1.2393630536251063</v>
      </c>
      <c r="C665" s="6">
        <f t="shared" ca="1" si="87"/>
        <v>-0.15192003153045608</v>
      </c>
      <c r="D665" s="6">
        <f t="shared" ca="1" si="87"/>
        <v>-0.11702114624653659</v>
      </c>
      <c r="E665" s="8">
        <f t="shared" ca="1" si="88"/>
        <v>2.8218312700680519E-2</v>
      </c>
      <c r="F665" s="8">
        <f t="shared" ca="1" si="89"/>
        <v>4.2479921233676082E-2</v>
      </c>
      <c r="G665" s="8">
        <f t="shared" ca="1" si="90"/>
        <v>4.3844531051323438E-2</v>
      </c>
      <c r="H665" s="10">
        <f t="shared" ca="1" si="91"/>
        <v>4129.3247438059334</v>
      </c>
      <c r="I665" s="10">
        <f t="shared" ca="1" si="92"/>
        <v>567.10907715111989</v>
      </c>
      <c r="J665" s="10">
        <f t="shared" ca="1" si="93"/>
        <v>2334.0363714307591</v>
      </c>
      <c r="K665" s="12">
        <f t="array" aca="1" ref="K665:L665" ca="1">Opt3Spd(H665:J665,$E$3:$G$3,$K$3:$M$3,$N$3:$P$3,$H$3,$I$3,$Q$3,$J$3)</f>
        <v>229.94018371574361</v>
      </c>
      <c r="L665" s="12">
        <f ca="1"/>
        <v>8.1490669815593719E-3</v>
      </c>
      <c r="M665" s="12">
        <f t="array" aca="1" ref="M665:N665" ca="1">Opt3Spd(H665:J665,$E$3:$G$3,$K$3:$M$3,$N$3:$P$3,$H$4,$I$3,$Q$3,$J$3)</f>
        <v>0.31470655989937768</v>
      </c>
      <c r="N665" s="12">
        <f ca="1"/>
        <v>170.38267191113732</v>
      </c>
      <c r="O665" s="12">
        <f t="shared" ca="1" si="94"/>
        <v>0.32285562688093705</v>
      </c>
    </row>
    <row r="666" spans="2:15" x14ac:dyDescent="0.15">
      <c r="B666" s="6">
        <f t="shared" ca="1" si="87"/>
        <v>0.75964105096091694</v>
      </c>
      <c r="C666" s="6">
        <f t="shared" ca="1" si="87"/>
        <v>1.4296110964742608</v>
      </c>
      <c r="D666" s="6">
        <f t="shared" ca="1" si="87"/>
        <v>9.4970840327362804E-2</v>
      </c>
      <c r="E666" s="8">
        <f t="shared" ca="1" si="88"/>
        <v>1.7295810661443867E-2</v>
      </c>
      <c r="F666" s="8">
        <f t="shared" ca="1" si="89"/>
        <v>6.1042368781712597E-2</v>
      </c>
      <c r="G666" s="8">
        <f t="shared" ca="1" si="90"/>
        <v>3.3069825796230259E-2</v>
      </c>
      <c r="H666" s="10">
        <f t="shared" ca="1" si="91"/>
        <v>4085.4599756163584</v>
      </c>
      <c r="I666" s="10">
        <f t="shared" ca="1" si="92"/>
        <v>577.20704861725164</v>
      </c>
      <c r="J666" s="10">
        <f t="shared" ca="1" si="93"/>
        <v>2309.9441304803709</v>
      </c>
      <c r="K666" s="12">
        <f t="array" aca="1" ref="K666:L666" ca="1">Opt3Spd(H666:J666,$E$3:$G$3,$K$3:$M$3,$N$3:$P$3,$H$3,$I$3,$Q$3,$J$3)</f>
        <v>182.04233180208689</v>
      </c>
      <c r="L666" s="12">
        <f ca="1"/>
        <v>8.5699213516818418E-2</v>
      </c>
      <c r="M666" s="12">
        <f t="array" aca="1" ref="M666:N666" ca="1">Opt3Spd(H666:J666,$E$3:$G$3,$K$3:$M$3,$N$3:$P$3,$H$4,$I$3,$Q$3,$J$3)</f>
        <v>3.7803416363218822E-2</v>
      </c>
      <c r="N666" s="12">
        <f ca="1"/>
        <v>218.08117082779316</v>
      </c>
      <c r="O666" s="12">
        <f t="shared" ca="1" si="94"/>
        <v>0.12350262988003724</v>
      </c>
    </row>
    <row r="667" spans="2:15" x14ac:dyDescent="0.15">
      <c r="B667" s="6">
        <f t="shared" ca="1" si="87"/>
        <v>-0.98757644991926563</v>
      </c>
      <c r="C667" s="6">
        <f t="shared" ca="1" si="87"/>
        <v>-0.7014978580812653</v>
      </c>
      <c r="D667" s="6">
        <f t="shared" ca="1" si="87"/>
        <v>-0.88271867796027281</v>
      </c>
      <c r="E667" s="8">
        <f t="shared" ca="1" si="88"/>
        <v>-2.248553480607425E-2</v>
      </c>
      <c r="F667" s="8">
        <f t="shared" ca="1" si="89"/>
        <v>-5.2759065280915091E-2</v>
      </c>
      <c r="G667" s="8">
        <f t="shared" ca="1" si="90"/>
        <v>-4.7722030694006635E-2</v>
      </c>
      <c r="H667" s="10">
        <f t="shared" ca="1" si="91"/>
        <v>3925.6980922188059</v>
      </c>
      <c r="I667" s="10">
        <f t="shared" ca="1" si="92"/>
        <v>515.29906848718213</v>
      </c>
      <c r="J667" s="10">
        <f t="shared" ca="1" si="93"/>
        <v>2129.2935393682014</v>
      </c>
      <c r="K667" s="12">
        <f t="array" aca="1" ref="K667:L667" ca="1">Opt3Spd(H667:J667,$E$3:$G$3,$K$3:$M$3,$N$3:$P$3,$H$3,$I$3,$Q$3,$J$3)</f>
        <v>211.58876331633792</v>
      </c>
      <c r="L667" s="12">
        <f ca="1"/>
        <v>1.5950361124168921E-2</v>
      </c>
      <c r="M667" s="12">
        <f t="array" aca="1" ref="M667:N667" ca="1">Opt3Spd(H667:J667,$E$3:$G$3,$K$3:$M$3,$N$3:$P$3,$H$4,$I$3,$Q$3,$J$3)</f>
        <v>0.12458960369548677</v>
      </c>
      <c r="N667" s="12">
        <f ca="1"/>
        <v>188.55177664848173</v>
      </c>
      <c r="O667" s="12">
        <f t="shared" ca="1" si="94"/>
        <v>0.14053996481965569</v>
      </c>
    </row>
    <row r="668" spans="2:15" x14ac:dyDescent="0.15">
      <c r="B668" s="6">
        <f t="shared" ca="1" si="87"/>
        <v>-0.37564483460569376</v>
      </c>
      <c r="C668" s="6">
        <f t="shared" ca="1" si="87"/>
        <v>0.87932276134204079</v>
      </c>
      <c r="D668" s="6">
        <f t="shared" ca="1" si="87"/>
        <v>-0.604415528307229</v>
      </c>
      <c r="E668" s="8">
        <f t="shared" ca="1" si="88"/>
        <v>-8.5528315341448641E-3</v>
      </c>
      <c r="F668" s="8">
        <f t="shared" ca="1" si="89"/>
        <v>6.2803207287494131E-3</v>
      </c>
      <c r="G668" s="8">
        <f t="shared" ca="1" si="90"/>
        <v>-1.7686803451542794E-2</v>
      </c>
      <c r="H668" s="10">
        <f t="shared" ca="1" si="91"/>
        <v>3981.6518285588741</v>
      </c>
      <c r="I668" s="10">
        <f t="shared" ca="1" si="92"/>
        <v>547.41649447643965</v>
      </c>
      <c r="J668" s="10">
        <f t="shared" ca="1" si="93"/>
        <v>2196.4523074823501</v>
      </c>
      <c r="K668" s="12">
        <f t="array" aca="1" ref="K668:L668" ca="1">Opt3Spd(H668:J668,$E$3:$G$3,$K$3:$M$3,$N$3:$P$3,$H$3,$I$3,$Q$3,$J$3)</f>
        <v>182.63239259446914</v>
      </c>
      <c r="L668" s="12">
        <f ca="1"/>
        <v>7.3108939073563306E-2</v>
      </c>
      <c r="M668" s="12">
        <f t="array" aca="1" ref="M668:N668" ca="1">Opt3Spd(H668:J668,$E$3:$G$3,$K$3:$M$3,$N$3:$P$3,$H$4,$I$3,$Q$3,$J$3)</f>
        <v>3.4243049724369978E-2</v>
      </c>
      <c r="N668" s="12">
        <f ca="1"/>
        <v>217.47495939432881</v>
      </c>
      <c r="O668" s="12">
        <f t="shared" ca="1" si="94"/>
        <v>0.10735198879793328</v>
      </c>
    </row>
    <row r="669" spans="2:15" x14ac:dyDescent="0.15">
      <c r="B669" s="6">
        <f t="shared" ca="1" si="87"/>
        <v>-1.0213754422713803</v>
      </c>
      <c r="C669" s="6">
        <f t="shared" ca="1" si="87"/>
        <v>-0.47196533457970063</v>
      </c>
      <c r="D669" s="6">
        <f t="shared" ca="1" si="87"/>
        <v>0.49863917654866796</v>
      </c>
      <c r="E669" s="8">
        <f t="shared" ca="1" si="88"/>
        <v>-2.3255083754923564E-2</v>
      </c>
      <c r="F669" s="8">
        <f t="shared" ca="1" si="89"/>
        <v>-4.873618102046922E-2</v>
      </c>
      <c r="G669" s="8">
        <f t="shared" ca="1" si="90"/>
        <v>-3.3581744135261285E-2</v>
      </c>
      <c r="H669" s="10">
        <f t="shared" ca="1" si="91"/>
        <v>3922.6075836402269</v>
      </c>
      <c r="I669" s="10">
        <f t="shared" ca="1" si="92"/>
        <v>517.48751752486476</v>
      </c>
      <c r="J669" s="10">
        <f t="shared" ca="1" si="93"/>
        <v>2160.9112201135558</v>
      </c>
      <c r="K669" s="12">
        <f t="array" aca="1" ref="K669:L669" ca="1">Opt3Spd(H669:J669,$E$3:$G$3,$K$3:$M$3,$N$3:$P$3,$H$3,$I$3,$Q$3,$J$3)</f>
        <v>189.22267373956697</v>
      </c>
      <c r="L669" s="12">
        <f ca="1"/>
        <v>5.0728195901456274E-2</v>
      </c>
      <c r="M669" s="12">
        <f t="array" aca="1" ref="M669:N669" ca="1">Opt3Spd(H669:J669,$E$3:$G$3,$K$3:$M$3,$N$3:$P$3,$H$4,$I$3,$Q$3,$J$3)</f>
        <v>4.5300029942217712E-2</v>
      </c>
      <c r="N669" s="12">
        <f ca="1"/>
        <v>210.8733544862767</v>
      </c>
      <c r="O669" s="12">
        <f t="shared" ca="1" si="94"/>
        <v>9.6028225843673987E-2</v>
      </c>
    </row>
    <row r="670" spans="2:15" x14ac:dyDescent="0.15">
      <c r="B670" s="6">
        <f t="shared" ca="1" si="87"/>
        <v>-1.6720254203675688</v>
      </c>
      <c r="C670" s="6">
        <f t="shared" ca="1" si="87"/>
        <v>0.6167051687877847</v>
      </c>
      <c r="D670" s="6">
        <f t="shared" ca="1" si="87"/>
        <v>1.5889560785436729</v>
      </c>
      <c r="E670" s="8">
        <f t="shared" ca="1" si="88"/>
        <v>-3.8069342165246448E-2</v>
      </c>
      <c r="F670" s="8">
        <f t="shared" ca="1" si="89"/>
        <v>-4.7844178278783775E-2</v>
      </c>
      <c r="G670" s="8">
        <f t="shared" ca="1" si="90"/>
        <v>-4.2709982203644581E-2</v>
      </c>
      <c r="H670" s="10">
        <f t="shared" ca="1" si="91"/>
        <v>3863.1135218643699</v>
      </c>
      <c r="I670" s="10">
        <f t="shared" ca="1" si="92"/>
        <v>517.97276701634166</v>
      </c>
      <c r="J670" s="10">
        <f t="shared" ca="1" si="93"/>
        <v>2140.5004797926508</v>
      </c>
      <c r="K670" s="12">
        <f t="array" aca="1" ref="K670:L670" ca="1">Opt3Spd(H670:J670,$E$3:$G$3,$K$3:$M$3,$N$3:$P$3,$H$3,$I$3,$Q$3,$J$3)</f>
        <v>139.56008704563624</v>
      </c>
      <c r="L670" s="12">
        <f ca="1"/>
        <v>0.45323230373833212</v>
      </c>
      <c r="M670" s="12">
        <f t="array" aca="1" ref="M670:N670" ca="1">Opt3Spd(H670:J670,$E$3:$G$3,$K$3:$M$3,$N$3:$P$3,$H$4,$I$3,$Q$3,$J$3)</f>
        <v>3.0266494111789721E-3</v>
      </c>
      <c r="N670" s="12">
        <f ca="1"/>
        <v>260.89617190751329</v>
      </c>
      <c r="O670" s="12">
        <f t="shared" ca="1" si="94"/>
        <v>0.45625895314951109</v>
      </c>
    </row>
    <row r="671" spans="2:15" x14ac:dyDescent="0.15">
      <c r="B671" s="6">
        <f t="shared" ca="1" si="87"/>
        <v>0.45339285128051826</v>
      </c>
      <c r="C671" s="6">
        <f t="shared" ca="1" si="87"/>
        <v>1.1053478856858205</v>
      </c>
      <c r="D671" s="6">
        <f t="shared" ca="1" si="87"/>
        <v>-0.70011859636514007</v>
      </c>
      <c r="E671" s="8">
        <f t="shared" ca="1" si="88"/>
        <v>1.0323029411167877E-2</v>
      </c>
      <c r="F671" s="8">
        <f t="shared" ca="1" si="89"/>
        <v>4.2228222106317721E-2</v>
      </c>
      <c r="G671" s="8">
        <f t="shared" ca="1" si="90"/>
        <v>1.2407307300217031E-2</v>
      </c>
      <c r="H671" s="10">
        <f t="shared" ca="1" si="91"/>
        <v>4057.4572861152501</v>
      </c>
      <c r="I671" s="10">
        <f t="shared" ca="1" si="92"/>
        <v>566.97215282583682</v>
      </c>
      <c r="J671" s="10">
        <f t="shared" ca="1" si="93"/>
        <v>2263.7427391232854</v>
      </c>
      <c r="K671" s="12">
        <f t="array" aca="1" ref="K671:L671" ca="1">Opt3Spd(H671:J671,$E$3:$G$3,$K$3:$M$3,$N$3:$P$3,$H$3,$I$3,$Q$3,$J$3)</f>
        <v>193.47795024205129</v>
      </c>
      <c r="L671" s="12">
        <f ca="1"/>
        <v>4.7478209782639169E-2</v>
      </c>
      <c r="M671" s="12">
        <f t="array" aca="1" ref="M671:N671" ca="1">Opt3Spd(H671:J671,$E$3:$G$3,$K$3:$M$3,$N$3:$P$3,$H$4,$I$3,$Q$3,$J$3)</f>
        <v>6.2003981647787754E-2</v>
      </c>
      <c r="N671" s="12">
        <f ca="1"/>
        <v>206.63153194937914</v>
      </c>
      <c r="O671" s="12">
        <f t="shared" ca="1" si="94"/>
        <v>0.10948219143042692</v>
      </c>
    </row>
    <row r="672" spans="2:15" x14ac:dyDescent="0.15">
      <c r="B672" s="6">
        <f t="shared" ca="1" si="87"/>
        <v>-1.5311151167526302</v>
      </c>
      <c r="C672" s="6">
        <f t="shared" ca="1" si="87"/>
        <v>9.3365939771396539E-2</v>
      </c>
      <c r="D672" s="6">
        <f t="shared" ca="1" si="87"/>
        <v>0.95416255876950262</v>
      </c>
      <c r="E672" s="8">
        <f t="shared" ca="1" si="88"/>
        <v>-3.4861040127741189E-2</v>
      </c>
      <c r="F672" s="8">
        <f t="shared" ca="1" si="89"/>
        <v>-5.4648101903571653E-2</v>
      </c>
      <c r="G672" s="8">
        <f t="shared" ca="1" si="90"/>
        <v>-4.5814895232838049E-2</v>
      </c>
      <c r="H672" s="10">
        <f t="shared" ca="1" si="91"/>
        <v>3875.9980628469916</v>
      </c>
      <c r="I672" s="10">
        <f t="shared" ca="1" si="92"/>
        <v>514.27143256445709</v>
      </c>
      <c r="J672" s="10">
        <f t="shared" ca="1" si="93"/>
        <v>2133.5578942593738</v>
      </c>
      <c r="K672" s="12">
        <f t="array" aca="1" ref="K672:L672" ca="1">Opt3Spd(H672:J672,$E$3:$G$3,$K$3:$M$3,$N$3:$P$3,$H$3,$I$3,$Q$3,$J$3)</f>
        <v>161.56202772577058</v>
      </c>
      <c r="L672" s="12">
        <f ca="1"/>
        <v>0.17720411159712057</v>
      </c>
      <c r="M672" s="12">
        <f t="array" aca="1" ref="M672:N672" ca="1">Opt3Spd(H672:J672,$E$3:$G$3,$K$3:$M$3,$N$3:$P$3,$H$4,$I$3,$Q$3,$J$3)</f>
        <v>1.0574425189778802E-2</v>
      </c>
      <c r="N672" s="12">
        <f ca="1"/>
        <v>238.62575081101633</v>
      </c>
      <c r="O672" s="12">
        <f t="shared" ca="1" si="94"/>
        <v>0.18777853678689937</v>
      </c>
    </row>
    <row r="673" spans="2:15" x14ac:dyDescent="0.15">
      <c r="B673" s="6">
        <f t="shared" ca="1" si="87"/>
        <v>-0.51607994022530401</v>
      </c>
      <c r="C673" s="6">
        <f t="shared" ca="1" si="87"/>
        <v>1.0371417361847086</v>
      </c>
      <c r="D673" s="6">
        <f t="shared" ca="1" si="87"/>
        <v>-0.70051481522148373</v>
      </c>
      <c r="E673" s="8">
        <f t="shared" ca="1" si="88"/>
        <v>-1.1750314074015682E-2</v>
      </c>
      <c r="F673" s="8">
        <f t="shared" ca="1" si="89"/>
        <v>4.6991098067573137E-3</v>
      </c>
      <c r="G673" s="8">
        <f t="shared" ca="1" si="90"/>
        <v>-2.3411767892785054E-2</v>
      </c>
      <c r="H673" s="10">
        <f t="shared" ca="1" si="91"/>
        <v>3968.8107386787528</v>
      </c>
      <c r="I673" s="10">
        <f t="shared" ca="1" si="92"/>
        <v>546.55631573487597</v>
      </c>
      <c r="J673" s="10">
        <f t="shared" ca="1" si="93"/>
        <v>2183.6512869917324</v>
      </c>
      <c r="K673" s="12">
        <f t="array" aca="1" ref="K673:L673" ca="1">Opt3Spd(H673:J673,$E$3:$G$3,$K$3:$M$3,$N$3:$P$3,$H$3,$I$3,$Q$3,$J$3)</f>
        <v>177.58628925207267</v>
      </c>
      <c r="L673" s="12">
        <f ca="1"/>
        <v>9.1299244987567363E-2</v>
      </c>
      <c r="M673" s="12">
        <f t="array" aca="1" ref="M673:N673" ca="1">Opt3Spd(H673:J673,$E$3:$G$3,$K$3:$M$3,$N$3:$P$3,$H$4,$I$3,$Q$3,$J$3)</f>
        <v>2.6256737146958642E-2</v>
      </c>
      <c r="N673" s="12">
        <f ca="1"/>
        <v>222.53126673006184</v>
      </c>
      <c r="O673" s="12">
        <f t="shared" ca="1" si="94"/>
        <v>0.117555982134526</v>
      </c>
    </row>
    <row r="674" spans="2:15" x14ac:dyDescent="0.15">
      <c r="B674" s="6">
        <f t="shared" ca="1" si="87"/>
        <v>-0.49398016426343794</v>
      </c>
      <c r="C674" s="6">
        <f t="shared" ca="1" si="87"/>
        <v>0.54409090539537741</v>
      </c>
      <c r="D674" s="6">
        <f t="shared" ca="1" si="87"/>
        <v>0.84925306784864552</v>
      </c>
      <c r="E674" s="8">
        <f t="shared" ca="1" si="88"/>
        <v>-1.1247137553719349E-2</v>
      </c>
      <c r="F674" s="8">
        <f t="shared" ca="1" si="89"/>
        <v>-5.8156293842967768E-3</v>
      </c>
      <c r="G674" s="8">
        <f t="shared" ca="1" si="90"/>
        <v>-7.5214087424115622E-3</v>
      </c>
      <c r="H674" s="10">
        <f t="shared" ca="1" si="91"/>
        <v>3970.8314955842634</v>
      </c>
      <c r="I674" s="10">
        <f t="shared" ca="1" si="92"/>
        <v>540.83629761494251</v>
      </c>
      <c r="J674" s="10">
        <f t="shared" ca="1" si="93"/>
        <v>2219.1821300519678</v>
      </c>
      <c r="K674" s="12">
        <f t="array" aca="1" ref="K674:L674" ca="1">Opt3Spd(H674:J674,$E$3:$G$3,$K$3:$M$3,$N$3:$P$3,$H$3,$I$3,$Q$3,$J$3)</f>
        <v>171.02879517606175</v>
      </c>
      <c r="L674" s="12">
        <f ca="1"/>
        <v>0.12644080169025074</v>
      </c>
      <c r="M674" s="12">
        <f t="array" aca="1" ref="M674:N674" ca="1">Opt3Spd(H674:J674,$E$3:$G$3,$K$3:$M$3,$N$3:$P$3,$H$4,$I$3,$Q$3,$J$3)</f>
        <v>1.9430315931477704E-2</v>
      </c>
      <c r="N674" s="12">
        <f ca="1"/>
        <v>229.11707594155999</v>
      </c>
      <c r="O674" s="12">
        <f t="shared" ca="1" si="94"/>
        <v>0.14587111762172844</v>
      </c>
    </row>
    <row r="675" spans="2:15" x14ac:dyDescent="0.15">
      <c r="B675" s="6">
        <f t="shared" ca="1" si="87"/>
        <v>9.0347064840444843E-2</v>
      </c>
      <c r="C675" s="6">
        <f t="shared" ca="1" si="87"/>
        <v>-4.0256948347154951E-2</v>
      </c>
      <c r="D675" s="6">
        <f t="shared" ca="1" si="87"/>
        <v>-1.6244668668963727</v>
      </c>
      <c r="E675" s="8">
        <f t="shared" ca="1" si="88"/>
        <v>2.0570580346084043E-3</v>
      </c>
      <c r="F675" s="8">
        <f t="shared" ca="1" si="89"/>
        <v>2.4258436401009189E-3</v>
      </c>
      <c r="G675" s="8">
        <f t="shared" ca="1" si="90"/>
        <v>-1.4103194378396407E-2</v>
      </c>
      <c r="H675" s="10">
        <f t="shared" ca="1" si="91"/>
        <v>4024.2611450669874</v>
      </c>
      <c r="I675" s="10">
        <f t="shared" ca="1" si="92"/>
        <v>545.31965894021494</v>
      </c>
      <c r="J675" s="10">
        <f t="shared" ca="1" si="93"/>
        <v>2204.4652573699059</v>
      </c>
      <c r="K675" s="12">
        <f t="array" aca="1" ref="K675:L675" ca="1">Opt3Spd(H675:J675,$E$3:$G$3,$K$3:$M$3,$N$3:$P$3,$H$3,$I$3,$Q$3,$J$3)</f>
        <v>224.52606555641592</v>
      </c>
      <c r="L675" s="12">
        <f ca="1"/>
        <v>9.0034787251624948E-3</v>
      </c>
      <c r="M675" s="12">
        <f t="array" aca="1" ref="M675:N675" ca="1">Opt3Spd(H675:J675,$E$3:$G$3,$K$3:$M$3,$N$3:$P$3,$H$4,$I$3,$Q$3,$J$3)</f>
        <v>0.23035471847010314</v>
      </c>
      <c r="N675" s="12">
        <f ca="1"/>
        <v>175.71329264077934</v>
      </c>
      <c r="O675" s="12">
        <f t="shared" ca="1" si="94"/>
        <v>0.23935819719526563</v>
      </c>
    </row>
    <row r="676" spans="2:15" x14ac:dyDescent="0.15">
      <c r="B676" s="6">
        <f t="shared" ca="1" si="87"/>
        <v>-0.25981741372006173</v>
      </c>
      <c r="C676" s="6">
        <f t="shared" ca="1" si="87"/>
        <v>-0.25252639924612807</v>
      </c>
      <c r="D676" s="6">
        <f t="shared" ca="1" si="87"/>
        <v>-1.7943492944324151</v>
      </c>
      <c r="E676" s="8">
        <f t="shared" ca="1" si="88"/>
        <v>-5.9156265825336726E-3</v>
      </c>
      <c r="F676" s="8">
        <f t="shared" ca="1" si="89"/>
        <v>-1.5442744043404092E-2</v>
      </c>
      <c r="G676" s="8">
        <f t="shared" ca="1" si="90"/>
        <v>-2.939364665228298E-2</v>
      </c>
      <c r="H676" s="10">
        <f t="shared" ca="1" si="91"/>
        <v>3992.2428436445448</v>
      </c>
      <c r="I676" s="10">
        <f t="shared" ca="1" si="92"/>
        <v>535.59914724038822</v>
      </c>
      <c r="J676" s="10">
        <f t="shared" ca="1" si="93"/>
        <v>2170.2758060854953</v>
      </c>
      <c r="K676" s="12">
        <f t="array" aca="1" ref="K676:L676" ca="1">Opt3Spd(H676:J676,$E$3:$G$3,$K$3:$M$3,$N$3:$P$3,$H$3,$I$3,$Q$3,$J$3)</f>
        <v>225.15457211731359</v>
      </c>
      <c r="L676" s="12">
        <f ca="1"/>
        <v>8.2671001375729247E-3</v>
      </c>
      <c r="M676" s="12">
        <f t="array" aca="1" ref="M676:N676" ca="1">Opt3Spd(H676:J676,$E$3:$G$3,$K$3:$M$3,$N$3:$P$3,$H$4,$I$3,$Q$3,$J$3)</f>
        <v>0.23051257236776124</v>
      </c>
      <c r="N676" s="12">
        <f ca="1"/>
        <v>175.08420755519174</v>
      </c>
      <c r="O676" s="12">
        <f t="shared" ca="1" si="94"/>
        <v>0.23877967250533416</v>
      </c>
    </row>
    <row r="677" spans="2:15" x14ac:dyDescent="0.15">
      <c r="B677" s="6">
        <f t="shared" ca="1" si="87"/>
        <v>0.34901650077053048</v>
      </c>
      <c r="C677" s="6">
        <f t="shared" ca="1" si="87"/>
        <v>0.90730003482267363</v>
      </c>
      <c r="D677" s="6">
        <f t="shared" ca="1" si="87"/>
        <v>-2.0582979671903727</v>
      </c>
      <c r="E677" s="8">
        <f t="shared" ca="1" si="88"/>
        <v>7.946547000600877E-3</v>
      </c>
      <c r="F677" s="8">
        <f t="shared" ca="1" si="89"/>
        <v>3.3803713729207319E-2</v>
      </c>
      <c r="G677" s="8">
        <f t="shared" ca="1" si="90"/>
        <v>-6.4709959166985975E-3</v>
      </c>
      <c r="H677" s="10">
        <f t="shared" ca="1" si="91"/>
        <v>4047.9133327544127</v>
      </c>
      <c r="I677" s="10">
        <f t="shared" ca="1" si="92"/>
        <v>562.38922026868875</v>
      </c>
      <c r="J677" s="10">
        <f t="shared" ca="1" si="93"/>
        <v>2221.5308531302617</v>
      </c>
      <c r="K677" s="12">
        <f t="array" aca="1" ref="K677:L677" ca="1">Opt3Spd(H677:J677,$E$3:$G$3,$K$3:$M$3,$N$3:$P$3,$H$3,$I$3,$Q$3,$J$3)</f>
        <v>212.34285516444743</v>
      </c>
      <c r="L677" s="12">
        <f ca="1"/>
        <v>1.7701405067782616E-2</v>
      </c>
      <c r="M677" s="12">
        <f t="array" aca="1" ref="M677:N677" ca="1">Opt3Spd(H677:J677,$E$3:$G$3,$K$3:$M$3,$N$3:$P$3,$H$4,$I$3,$Q$3,$J$3)</f>
        <v>0.13980845652809215</v>
      </c>
      <c r="N677" s="12">
        <f ca="1"/>
        <v>187.81465469714846</v>
      </c>
      <c r="O677" s="12">
        <f t="shared" ca="1" si="94"/>
        <v>0.15750986159587477</v>
      </c>
    </row>
    <row r="678" spans="2:15" x14ac:dyDescent="0.15">
      <c r="B678" s="6">
        <f t="shared" ca="1" si="87"/>
        <v>-0.87057604471934125</v>
      </c>
      <c r="C678" s="6">
        <f t="shared" ca="1" si="87"/>
        <v>0.85521180581405298</v>
      </c>
      <c r="D678" s="6">
        <f t="shared" ca="1" si="87"/>
        <v>-0.38508559840621132</v>
      </c>
      <c r="E678" s="8">
        <f t="shared" ca="1" si="88"/>
        <v>-1.982162287939479E-2</v>
      </c>
      <c r="F678" s="8">
        <f t="shared" ca="1" si="89"/>
        <v>-1.2632693136355061E-2</v>
      </c>
      <c r="G678" s="8">
        <f t="shared" ca="1" si="90"/>
        <v>-3.3603230977073517E-2</v>
      </c>
      <c r="H678" s="10">
        <f t="shared" ca="1" si="91"/>
        <v>3936.3963625163506</v>
      </c>
      <c r="I678" s="10">
        <f t="shared" ca="1" si="92"/>
        <v>537.12781493382283</v>
      </c>
      <c r="J678" s="10">
        <f t="shared" ca="1" si="93"/>
        <v>2160.8631755352635</v>
      </c>
      <c r="K678" s="12">
        <f t="array" aca="1" ref="K678:L678" ca="1">Opt3Spd(H678:J678,$E$3:$G$3,$K$3:$M$3,$N$3:$P$3,$H$3,$I$3,$Q$3,$J$3)</f>
        <v>171.6768280418039</v>
      </c>
      <c r="L678" s="12">
        <f ca="1"/>
        <v>0.1165571872018063</v>
      </c>
      <c r="M678" s="12">
        <f t="array" aca="1" ref="M678:N678" ca="1">Opt3Spd(H678:J678,$E$3:$G$3,$K$3:$M$3,$N$3:$P$3,$H$4,$I$3,$Q$3,$J$3)</f>
        <v>1.8849990338011935E-2</v>
      </c>
      <c r="N678" s="12">
        <f ca="1"/>
        <v>228.45857913573593</v>
      </c>
      <c r="O678" s="12">
        <f t="shared" ca="1" si="94"/>
        <v>0.13540717753981824</v>
      </c>
    </row>
    <row r="679" spans="2:15" x14ac:dyDescent="0.15">
      <c r="B679" s="6">
        <f t="shared" ca="1" si="87"/>
        <v>-0.30977233000209037</v>
      </c>
      <c r="C679" s="6">
        <f t="shared" ca="1" si="87"/>
        <v>-0.46120613488996831</v>
      </c>
      <c r="D679" s="6">
        <f t="shared" ca="1" si="87"/>
        <v>-0.91600501005261181</v>
      </c>
      <c r="E679" s="8">
        <f t="shared" ca="1" si="88"/>
        <v>-7.0530200561082059E-3</v>
      </c>
      <c r="F679" s="8">
        <f t="shared" ca="1" si="89"/>
        <v>-2.2092981080029956E-2</v>
      </c>
      <c r="G679" s="8">
        <f t="shared" ca="1" si="90"/>
        <v>-2.2477650813641222E-2</v>
      </c>
      <c r="H679" s="10">
        <f t="shared" ca="1" si="91"/>
        <v>3987.6750714546697</v>
      </c>
      <c r="I679" s="10">
        <f t="shared" ca="1" si="92"/>
        <v>531.98141829246367</v>
      </c>
      <c r="J679" s="10">
        <f t="shared" ca="1" si="93"/>
        <v>2185.7399727806983</v>
      </c>
      <c r="K679" s="12">
        <f t="array" aca="1" ref="K679:L679" ca="1">Opt3Spd(H679:J679,$E$3:$G$3,$K$3:$M$3,$N$3:$P$3,$H$3,$I$3,$Q$3,$J$3)</f>
        <v>218.64671105612365</v>
      </c>
      <c r="L679" s="12">
        <f ca="1"/>
        <v>1.189525974496064E-2</v>
      </c>
      <c r="M679" s="12">
        <f t="array" aca="1" ref="M679:N679" ca="1">Opt3Spd(H679:J679,$E$3:$G$3,$K$3:$M$3,$N$3:$P$3,$H$4,$I$3,$Q$3,$J$3)</f>
        <v>0.17704987520843218</v>
      </c>
      <c r="N679" s="12">
        <f ca="1"/>
        <v>181.54223407882975</v>
      </c>
      <c r="O679" s="12">
        <f t="shared" ca="1" si="94"/>
        <v>0.18894513495339282</v>
      </c>
    </row>
    <row r="680" spans="2:15" x14ac:dyDescent="0.15">
      <c r="B680" s="6">
        <f t="shared" ca="1" si="87"/>
        <v>-0.98387956395200193</v>
      </c>
      <c r="C680" s="6">
        <f t="shared" ca="1" si="87"/>
        <v>-0.31709721325621815</v>
      </c>
      <c r="D680" s="6">
        <f t="shared" ca="1" si="87"/>
        <v>-1.053209313714734</v>
      </c>
      <c r="E680" s="8">
        <f t="shared" ca="1" si="88"/>
        <v>-2.2401362630747677E-2</v>
      </c>
      <c r="F680" s="8">
        <f t="shared" ca="1" si="89"/>
        <v>-4.3785141660756394E-2</v>
      </c>
      <c r="G680" s="8">
        <f t="shared" ca="1" si="90"/>
        <v>-4.828655524623493E-2</v>
      </c>
      <c r="H680" s="10">
        <f t="shared" ca="1" si="91"/>
        <v>3926.0361276749172</v>
      </c>
      <c r="I680" s="10">
        <f t="shared" ca="1" si="92"/>
        <v>520.18088293654853</v>
      </c>
      <c r="J680" s="10">
        <f t="shared" ca="1" si="93"/>
        <v>2128.0312624694188</v>
      </c>
      <c r="K680" s="12">
        <f t="array" aca="1" ref="K680:L680" ca="1">Opt3Spd(H680:J680,$E$3:$G$3,$K$3:$M$3,$N$3:$P$3,$H$3,$I$3,$Q$3,$J$3)</f>
        <v>204.75379494452363</v>
      </c>
      <c r="L680" s="12">
        <f ca="1"/>
        <v>2.2711202793288976E-2</v>
      </c>
      <c r="M680" s="12">
        <f t="array" aca="1" ref="M680:N680" ca="1">Opt3Spd(H680:J680,$E$3:$G$3,$K$3:$M$3,$N$3:$P$3,$H$4,$I$3,$Q$3,$J$3)</f>
        <v>9.1525166641915234E-2</v>
      </c>
      <c r="N680" s="12">
        <f ca="1"/>
        <v>195.36044142491158</v>
      </c>
      <c r="O680" s="12">
        <f t="shared" ca="1" si="94"/>
        <v>0.11423636943520421</v>
      </c>
    </row>
    <row r="681" spans="2:15" x14ac:dyDescent="0.15">
      <c r="B681" s="6">
        <f t="shared" ca="1" si="87"/>
        <v>-3.2283589510493663E-2</v>
      </c>
      <c r="C681" s="6">
        <f t="shared" ca="1" si="87"/>
        <v>0.33146946450809733</v>
      </c>
      <c r="D681" s="6">
        <f t="shared" ca="1" si="87"/>
        <v>-0.15466797658785092</v>
      </c>
      <c r="E681" s="8">
        <f t="shared" ca="1" si="88"/>
        <v>-7.350456520733784E-4</v>
      </c>
      <c r="F681" s="8">
        <f t="shared" ca="1" si="89"/>
        <v>6.4224729565566891E-3</v>
      </c>
      <c r="G681" s="8">
        <f t="shared" ca="1" si="90"/>
        <v>-1.8714867364100721E-3</v>
      </c>
      <c r="H681" s="10">
        <f t="shared" ca="1" si="91"/>
        <v>4013.0480566612732</v>
      </c>
      <c r="I681" s="10">
        <f t="shared" ca="1" si="92"/>
        <v>547.49382528836691</v>
      </c>
      <c r="J681" s="10">
        <f t="shared" ca="1" si="93"/>
        <v>2231.815355657387</v>
      </c>
      <c r="K681" s="12">
        <f t="array" aca="1" ref="K681:L681" ca="1">Opt3Spd(H681:J681,$E$3:$G$3,$K$3:$M$3,$N$3:$P$3,$H$3,$I$3,$Q$3,$J$3)</f>
        <v>196.18986695318699</v>
      </c>
      <c r="L681" s="12">
        <f ca="1"/>
        <v>3.9608581994343695E-2</v>
      </c>
      <c r="M681" s="12">
        <f t="array" aca="1" ref="M681:N681" ca="1">Opt3Spd(H681:J681,$E$3:$G$3,$K$3:$M$3,$N$3:$P$3,$H$4,$I$3,$Q$3,$J$3)</f>
        <v>6.7787620542900662E-2</v>
      </c>
      <c r="N681" s="12">
        <f ca="1"/>
        <v>203.91752924935025</v>
      </c>
      <c r="O681" s="12">
        <f t="shared" ca="1" si="94"/>
        <v>0.10739620253724436</v>
      </c>
    </row>
    <row r="682" spans="2:15" x14ac:dyDescent="0.15">
      <c r="B682" s="6">
        <f t="shared" ca="1" si="87"/>
        <v>0.85634317594879505</v>
      </c>
      <c r="C682" s="6">
        <f t="shared" ca="1" si="87"/>
        <v>-0.33480376373695098</v>
      </c>
      <c r="D682" s="6">
        <f t="shared" ca="1" si="87"/>
        <v>-0.66857521374627038</v>
      </c>
      <c r="E682" s="8">
        <f t="shared" ca="1" si="88"/>
        <v>1.9497563242131706E-2</v>
      </c>
      <c r="F682" s="8">
        <f t="shared" ca="1" si="89"/>
        <v>2.4068144755681739E-2</v>
      </c>
      <c r="G682" s="8">
        <f t="shared" ca="1" si="90"/>
        <v>2.3366361995146599E-2</v>
      </c>
      <c r="H682" s="10">
        <f t="shared" ca="1" si="91"/>
        <v>4094.3022139804011</v>
      </c>
      <c r="I682" s="10">
        <f t="shared" ca="1" si="92"/>
        <v>557.09307074709079</v>
      </c>
      <c r="J682" s="10">
        <f t="shared" ca="1" si="93"/>
        <v>2288.2471854211476</v>
      </c>
      <c r="K682" s="12">
        <f t="array" aca="1" ref="K682:L682" ca="1">Opt3Spd(H682:J682,$E$3:$G$3,$K$3:$M$3,$N$3:$P$3,$H$3,$I$3,$Q$3,$J$3)</f>
        <v>233.83586053643808</v>
      </c>
      <c r="L682" s="12">
        <f ca="1"/>
        <v>6.1524619557076221E-3</v>
      </c>
      <c r="M682" s="12">
        <f t="array" aca="1" ref="M682:N682" ca="1">Opt3Spd(H682:J682,$E$3:$G$3,$K$3:$M$3,$N$3:$P$3,$H$4,$I$3,$Q$3,$J$3)</f>
        <v>0.3553490141864053</v>
      </c>
      <c r="N682" s="12">
        <f ca="1"/>
        <v>166.52564093970403</v>
      </c>
      <c r="O682" s="12">
        <f t="shared" ca="1" si="94"/>
        <v>0.36150147614211292</v>
      </c>
    </row>
    <row r="683" spans="2:15" x14ac:dyDescent="0.15">
      <c r="B683" s="6">
        <f t="shared" ca="1" si="87"/>
        <v>0.94772123340843817</v>
      </c>
      <c r="C683" s="6">
        <f t="shared" ca="1" si="87"/>
        <v>0.33180950967445072</v>
      </c>
      <c r="D683" s="6">
        <f t="shared" ca="1" si="87"/>
        <v>0.88536307898486344</v>
      </c>
      <c r="E683" s="8">
        <f t="shared" ca="1" si="88"/>
        <v>2.1578095328218031E-2</v>
      </c>
      <c r="F683" s="8">
        <f t="shared" ca="1" si="89"/>
        <v>4.278211559761004E-2</v>
      </c>
      <c r="G683" s="8">
        <f t="shared" ca="1" si="90"/>
        <v>4.5212791286051102E-2</v>
      </c>
      <c r="H683" s="10">
        <f t="shared" ca="1" si="91"/>
        <v>4102.6576308381236</v>
      </c>
      <c r="I683" s="10">
        <f t="shared" ca="1" si="92"/>
        <v>567.27347088509987</v>
      </c>
      <c r="J683" s="10">
        <f t="shared" ca="1" si="93"/>
        <v>2337.0958013156105</v>
      </c>
      <c r="K683" s="12">
        <f t="array" aca="1" ref="K683:L683" ca="1">Opt3Spd(H683:J683,$E$3:$G$3,$K$3:$M$3,$N$3:$P$3,$H$3,$I$3,$Q$3,$J$3)</f>
        <v>201.50694409714629</v>
      </c>
      <c r="L683" s="12">
        <f ca="1"/>
        <v>3.4767332987712507E-2</v>
      </c>
      <c r="M683" s="12">
        <f t="array" aca="1" ref="M683:N683" ca="1">Opt3Spd(H683:J683,$E$3:$G$3,$K$3:$M$3,$N$3:$P$3,$H$4,$I$3,$Q$3,$J$3)</f>
        <v>9.5266813511678095E-2</v>
      </c>
      <c r="N683" s="12">
        <f ca="1"/>
        <v>198.6230900493531</v>
      </c>
      <c r="O683" s="12">
        <f t="shared" ca="1" si="94"/>
        <v>0.1300341464993906</v>
      </c>
    </row>
    <row r="684" spans="2:15" x14ac:dyDescent="0.15">
      <c r="B684" s="6">
        <f t="shared" ca="1" si="87"/>
        <v>-0.53312427867204448</v>
      </c>
      <c r="C684" s="6">
        <f t="shared" ca="1" si="87"/>
        <v>-0.7079907820361645</v>
      </c>
      <c r="D684" s="6">
        <f t="shared" ca="1" si="87"/>
        <v>-0.30623479487422273</v>
      </c>
      <c r="E684" s="8">
        <f t="shared" ca="1" si="88"/>
        <v>-1.2138386375073511E-2</v>
      </c>
      <c r="F684" s="8">
        <f t="shared" ca="1" si="89"/>
        <v>-3.6051098525737096E-2</v>
      </c>
      <c r="G684" s="8">
        <f t="shared" ca="1" si="90"/>
        <v>-2.4903731575961041E-2</v>
      </c>
      <c r="H684" s="10">
        <f t="shared" ca="1" si="91"/>
        <v>3967.2522403177049</v>
      </c>
      <c r="I684" s="10">
        <f t="shared" ca="1" si="92"/>
        <v>524.38820240199902</v>
      </c>
      <c r="J684" s="10">
        <f t="shared" ca="1" si="93"/>
        <v>2180.315256196151</v>
      </c>
      <c r="K684" s="12">
        <f t="array" aca="1" ref="K684:L684" ca="1">Opt3Spd(H684:J684,$E$3:$G$3,$K$3:$M$3,$N$3:$P$3,$H$3,$I$3,$Q$3,$J$3)</f>
        <v>213.08922023226523</v>
      </c>
      <c r="L684" s="12">
        <f ca="1"/>
        <v>1.5731855834246744E-2</v>
      </c>
      <c r="M684" s="12">
        <f t="array" aca="1" ref="M684:N684" ca="1">Opt3Spd(H684:J684,$E$3:$G$3,$K$3:$M$3,$N$3:$P$3,$H$4,$I$3,$Q$3,$J$3)</f>
        <v>0.138531065587431</v>
      </c>
      <c r="N684" s="12">
        <f ca="1"/>
        <v>187.06504268915646</v>
      </c>
      <c r="O684" s="12">
        <f t="shared" ca="1" si="94"/>
        <v>0.15426292142167775</v>
      </c>
    </row>
    <row r="685" spans="2:15" x14ac:dyDescent="0.15">
      <c r="B685" s="6">
        <f t="shared" ca="1" si="87"/>
        <v>-0.21635318524234393</v>
      </c>
      <c r="C685" s="6">
        <f t="shared" ca="1" si="87"/>
        <v>-0.97753662112134732</v>
      </c>
      <c r="D685" s="6">
        <f t="shared" ca="1" si="87"/>
        <v>-0.38762988135679022</v>
      </c>
      <c r="E685" s="8">
        <f t="shared" ca="1" si="88"/>
        <v>-4.9260156796665745E-3</v>
      </c>
      <c r="F685" s="8">
        <f t="shared" ca="1" si="89"/>
        <v>-3.0497398347614352E-2</v>
      </c>
      <c r="G685" s="8">
        <f t="shared" ca="1" si="90"/>
        <v>-1.4915666749655221E-2</v>
      </c>
      <c r="H685" s="10">
        <f t="shared" ca="1" si="91"/>
        <v>3996.2171210304591</v>
      </c>
      <c r="I685" s="10">
        <f t="shared" ca="1" si="92"/>
        <v>527.40941529889778</v>
      </c>
      <c r="J685" s="10">
        <f t="shared" ca="1" si="93"/>
        <v>2202.648569147771</v>
      </c>
      <c r="K685" s="12">
        <f t="array" aca="1" ref="K685:L685" ca="1">Opt3Spd(H685:J685,$E$3:$G$3,$K$3:$M$3,$N$3:$P$3,$H$3,$I$3,$Q$3,$J$3)</f>
        <v>226.04593547466629</v>
      </c>
      <c r="L685" s="12">
        <f ca="1"/>
        <v>8.1634963294163754E-3</v>
      </c>
      <c r="M685" s="12">
        <f t="array" aca="1" ref="M685:N685" ca="1">Opt3Spd(H685:J685,$E$3:$G$3,$K$3:$M$3,$N$3:$P$3,$H$4,$I$3,$Q$3,$J$3)</f>
        <v>0.24418214530557236</v>
      </c>
      <c r="N685" s="12">
        <f ca="1"/>
        <v>174.20641016696868</v>
      </c>
      <c r="O685" s="12">
        <f t="shared" ca="1" si="94"/>
        <v>0.25234564163498874</v>
      </c>
    </row>
    <row r="686" spans="2:15" x14ac:dyDescent="0.15">
      <c r="B686" s="6">
        <f t="shared" ca="1" si="87"/>
        <v>1.128967891631272</v>
      </c>
      <c r="C686" s="6">
        <f t="shared" ca="1" si="87"/>
        <v>0.96212149669257707</v>
      </c>
      <c r="D686" s="6">
        <f t="shared" ca="1" si="87"/>
        <v>1.6379286752619937</v>
      </c>
      <c r="E686" s="8">
        <f t="shared" ca="1" si="88"/>
        <v>2.5704791587821362E-2</v>
      </c>
      <c r="F686" s="8">
        <f t="shared" ca="1" si="89"/>
        <v>6.3995116887726397E-2</v>
      </c>
      <c r="G686" s="8">
        <f t="shared" ca="1" si="90"/>
        <v>6.171839833339178E-2</v>
      </c>
      <c r="H686" s="10">
        <f t="shared" ca="1" si="91"/>
        <v>4119.2304430166914</v>
      </c>
      <c r="I686" s="10">
        <f t="shared" ca="1" si="92"/>
        <v>578.81334358692311</v>
      </c>
      <c r="J686" s="10">
        <f t="shared" ca="1" si="93"/>
        <v>2374.0023386734638</v>
      </c>
      <c r="K686" s="12">
        <f t="array" aca="1" ref="K686:L686" ca="1">Opt3Spd(H686:J686,$E$3:$G$3,$K$3:$M$3,$N$3:$P$3,$H$3,$I$3,$Q$3,$J$3)</f>
        <v>181.22238389407471</v>
      </c>
      <c r="L686" s="12">
        <f ca="1"/>
        <v>9.445995319197209E-2</v>
      </c>
      <c r="M686" s="12">
        <f t="array" aca="1" ref="M686:N686" ca="1">Opt3Spd(H686:J686,$E$3:$G$3,$K$3:$M$3,$N$3:$P$3,$H$4,$I$3,$Q$3,$J$3)</f>
        <v>3.8699192918468128E-2</v>
      </c>
      <c r="N686" s="12">
        <f ca="1"/>
        <v>218.91077525203573</v>
      </c>
      <c r="O686" s="12">
        <f t="shared" ca="1" si="94"/>
        <v>0.13315914611044022</v>
      </c>
    </row>
    <row r="687" spans="2:15" x14ac:dyDescent="0.15">
      <c r="B687" s="6">
        <f t="shared" ca="1" si="87"/>
        <v>-1.0627850639261993</v>
      </c>
      <c r="C687" s="6">
        <f t="shared" ca="1" si="87"/>
        <v>-1.3022289505045599</v>
      </c>
      <c r="D687" s="6">
        <f t="shared" ca="1" si="87"/>
        <v>-1.471408366595347</v>
      </c>
      <c r="E687" s="8">
        <f t="shared" ca="1" si="88"/>
        <v>-2.4197914549543988E-2</v>
      </c>
      <c r="F687" s="8">
        <f t="shared" ca="1" si="89"/>
        <v>-6.9358722269858147E-2</v>
      </c>
      <c r="G687" s="8">
        <f t="shared" ca="1" si="90"/>
        <v>-5.8500321006662317E-2</v>
      </c>
      <c r="H687" s="10">
        <f t="shared" ca="1" si="91"/>
        <v>3918.8211751690314</v>
      </c>
      <c r="I687" s="10">
        <f t="shared" ca="1" si="92"/>
        <v>506.26885508519717</v>
      </c>
      <c r="J687" s="10">
        <f t="shared" ca="1" si="93"/>
        <v>2105.1932822291028</v>
      </c>
      <c r="K687" s="12">
        <f t="array" aca="1" ref="K687:L687" ca="1">Opt3Spd(H687:J687,$E$3:$G$3,$K$3:$M$3,$N$3:$P$3,$H$3,$I$3,$Q$3,$J$3)</f>
        <v>231.1997309589442</v>
      </c>
      <c r="L687" s="12">
        <f ca="1"/>
        <v>5.3650407794521016E-3</v>
      </c>
      <c r="M687" s="12">
        <f t="array" aca="1" ref="M687:N687" ca="1">Opt3Spd(H687:J687,$E$3:$G$3,$K$3:$M$3,$N$3:$P$3,$H$4,$I$3,$Q$3,$J$3)</f>
        <v>0.28267973847751904</v>
      </c>
      <c r="N687" s="12">
        <f ca="1"/>
        <v>169.08831382031278</v>
      </c>
      <c r="O687" s="12">
        <f t="shared" ca="1" si="94"/>
        <v>0.28804477925697114</v>
      </c>
    </row>
    <row r="688" spans="2:15" x14ac:dyDescent="0.15">
      <c r="B688" s="6">
        <f t="shared" ca="1" si="87"/>
        <v>-0.42748404065517925</v>
      </c>
      <c r="C688" s="6">
        <f t="shared" ca="1" si="87"/>
        <v>2.272770574918483</v>
      </c>
      <c r="D688" s="6">
        <f t="shared" ca="1" si="87"/>
        <v>7.8389669088307593E-2</v>
      </c>
      <c r="E688" s="8">
        <f t="shared" ca="1" si="88"/>
        <v>-9.7331272692651703E-3</v>
      </c>
      <c r="F688" s="8">
        <f t="shared" ca="1" si="89"/>
        <v>3.6390693314517837E-2</v>
      </c>
      <c r="G688" s="8">
        <f t="shared" ca="1" si="90"/>
        <v>-8.2721922405253612E-3</v>
      </c>
      <c r="H688" s="10">
        <f t="shared" ca="1" si="91"/>
        <v>3976.9117608866313</v>
      </c>
      <c r="I688" s="10">
        <f t="shared" ca="1" si="92"/>
        <v>563.79653716309781</v>
      </c>
      <c r="J688" s="10">
        <f t="shared" ca="1" si="93"/>
        <v>2217.5033781501852</v>
      </c>
      <c r="K688" s="12">
        <f t="array" aca="1" ref="K688:L688" ca="1">Opt3Spd(H688:J688,$E$3:$G$3,$K$3:$M$3,$N$3:$P$3,$H$3,$I$3,$Q$3,$J$3)</f>
        <v>141.53637354648799</v>
      </c>
      <c r="L688" s="12">
        <f ca="1"/>
        <v>0.45076119590567032</v>
      </c>
      <c r="M688" s="12">
        <f t="array" aca="1" ref="M688:N688" ca="1">Opt3Spd(H688:J688,$E$3:$G$3,$K$3:$M$3,$N$3:$P$3,$H$4,$I$3,$Q$3,$J$3)</f>
        <v>3.8962889074040108E-3</v>
      </c>
      <c r="N688" s="12">
        <f ca="1"/>
        <v>258.91828393832509</v>
      </c>
      <c r="O688" s="12">
        <f t="shared" ca="1" si="94"/>
        <v>0.45465748481307433</v>
      </c>
    </row>
    <row r="689" spans="2:15" x14ac:dyDescent="0.15">
      <c r="B689" s="6">
        <f t="shared" ca="1" si="87"/>
        <v>0.6641116140972847</v>
      </c>
      <c r="C689" s="6">
        <f t="shared" ca="1" si="87"/>
        <v>0.5293837241596302</v>
      </c>
      <c r="D689" s="6">
        <f t="shared" ca="1" si="87"/>
        <v>-0.77717306023872845</v>
      </c>
      <c r="E689" s="8">
        <f t="shared" ca="1" si="88"/>
        <v>1.5120758312051091E-2</v>
      </c>
      <c r="F689" s="8">
        <f t="shared" ca="1" si="89"/>
        <v>3.6803971636820559E-2</v>
      </c>
      <c r="G689" s="8">
        <f t="shared" ca="1" si="90"/>
        <v>1.7655899381920106E-2</v>
      </c>
      <c r="H689" s="10">
        <f t="shared" ca="1" si="91"/>
        <v>4076.7249653811973</v>
      </c>
      <c r="I689" s="10">
        <f t="shared" ca="1" si="92"/>
        <v>564.02136057043037</v>
      </c>
      <c r="J689" s="10">
        <f t="shared" ca="1" si="93"/>
        <v>2275.478591017973</v>
      </c>
      <c r="K689" s="12">
        <f t="array" aca="1" ref="K689:L689" ca="1">Opt3Spd(H689:J689,$E$3:$G$3,$K$3:$M$3,$N$3:$P$3,$H$3,$I$3,$Q$3,$J$3)</f>
        <v>211.5711245071775</v>
      </c>
      <c r="L689" s="12">
        <f ca="1"/>
        <v>1.9631547655308168E-2</v>
      </c>
      <c r="M689" s="12">
        <f t="array" aca="1" ref="M689:N689" ca="1">Opt3Spd(H689:J689,$E$3:$G$3,$K$3:$M$3,$N$3:$P$3,$H$4,$I$3,$Q$3,$J$3)</f>
        <v>0.14097857854897278</v>
      </c>
      <c r="N689" s="12">
        <f ca="1"/>
        <v>188.58948561902679</v>
      </c>
      <c r="O689" s="12">
        <f t="shared" ca="1" si="94"/>
        <v>0.16061012620428095</v>
      </c>
    </row>
    <row r="690" spans="2:15" x14ac:dyDescent="0.15">
      <c r="B690" s="6">
        <f t="shared" ca="1" si="87"/>
        <v>1.07146468335343</v>
      </c>
      <c r="C690" s="6">
        <f t="shared" ca="1" si="87"/>
        <v>0.29392373027093066</v>
      </c>
      <c r="D690" s="6">
        <f t="shared" ca="1" si="87"/>
        <v>0.77933916256588287</v>
      </c>
      <c r="E690" s="8">
        <f t="shared" ca="1" si="88"/>
        <v>2.4395535589161153E-2</v>
      </c>
      <c r="F690" s="8">
        <f t="shared" ca="1" si="89"/>
        <v>4.6501258225221512E-2</v>
      </c>
      <c r="G690" s="8">
        <f t="shared" ca="1" si="90"/>
        <v>4.8519464541395288E-2</v>
      </c>
      <c r="H690" s="10">
        <f t="shared" ca="1" si="91"/>
        <v>4113.9724709260718</v>
      </c>
      <c r="I690" s="10">
        <f t="shared" ca="1" si="92"/>
        <v>569.29668447452048</v>
      </c>
      <c r="J690" s="10">
        <f t="shared" ca="1" si="93"/>
        <v>2344.4895227145598</v>
      </c>
      <c r="K690" s="12">
        <f t="array" aca="1" ref="K690:L690" ca="1">Opt3Spd(H690:J690,$E$3:$G$3,$K$3:$M$3,$N$3:$P$3,$H$3,$I$3,$Q$3,$J$3)</f>
        <v>205.88136608129025</v>
      </c>
      <c r="L690" s="12">
        <f ca="1"/>
        <v>2.8351671731343231E-2</v>
      </c>
      <c r="M690" s="12">
        <f t="array" aca="1" ref="M690:N690" ca="1">Opt3Spd(H690:J690,$E$3:$G$3,$K$3:$M$3,$N$3:$P$3,$H$4,$I$3,$Q$3,$J$3)</f>
        <v>0.11640701050195723</v>
      </c>
      <c r="N690" s="12">
        <f ca="1"/>
        <v>194.26339260094304</v>
      </c>
      <c r="O690" s="12">
        <f t="shared" ca="1" si="94"/>
        <v>0.14475868223330046</v>
      </c>
    </row>
    <row r="691" spans="2:15" x14ac:dyDescent="0.15">
      <c r="B691" s="6">
        <f t="shared" ca="1" si="87"/>
        <v>-0.3637260900966241</v>
      </c>
      <c r="C691" s="6">
        <f t="shared" ca="1" si="87"/>
        <v>6.2232489475964506E-2</v>
      </c>
      <c r="D691" s="6">
        <f t="shared" ca="1" si="87"/>
        <v>0.88682341990194891</v>
      </c>
      <c r="E691" s="8">
        <f t="shared" ca="1" si="88"/>
        <v>-8.2814608017572084E-3</v>
      </c>
      <c r="F691" s="8">
        <f t="shared" ca="1" si="89"/>
        <v>-1.2061248484219167E-2</v>
      </c>
      <c r="G691" s="8">
        <f t="shared" ca="1" si="90"/>
        <v>-3.7346678312044053E-3</v>
      </c>
      <c r="H691" s="10">
        <f t="shared" ca="1" si="91"/>
        <v>3982.7416534201434</v>
      </c>
      <c r="I691" s="10">
        <f t="shared" ca="1" si="92"/>
        <v>537.43868082458471</v>
      </c>
      <c r="J691" s="10">
        <f t="shared" ca="1" si="93"/>
        <v>2227.6492827294269</v>
      </c>
      <c r="K691" s="12">
        <f t="array" aca="1" ref="K691:L691" ca="1">Opt3Spd(H691:J691,$E$3:$G$3,$K$3:$M$3,$N$3:$P$3,$H$3,$I$3,$Q$3,$J$3)</f>
        <v>184.08496005842517</v>
      </c>
      <c r="L691" s="12">
        <f ca="1"/>
        <v>6.9837322330840834E-2</v>
      </c>
      <c r="M691" s="12">
        <f t="array" aca="1" ref="M691:N691" ca="1">Opt3Spd(H691:J691,$E$3:$G$3,$K$3:$M$3,$N$3:$P$3,$H$4,$I$3,$Q$3,$J$3)</f>
        <v>3.7754729888877847E-2</v>
      </c>
      <c r="N691" s="12">
        <f ca="1"/>
        <v>216.02263199379456</v>
      </c>
      <c r="O691" s="12">
        <f t="shared" ca="1" si="94"/>
        <v>0.10759205221971868</v>
      </c>
    </row>
    <row r="692" spans="2:15" x14ac:dyDescent="0.15">
      <c r="B692" s="6">
        <f t="shared" ca="1" si="87"/>
        <v>0.44228312249692592</v>
      </c>
      <c r="C692" s="6">
        <f t="shared" ca="1" si="87"/>
        <v>-1.4339413948113212E-3</v>
      </c>
      <c r="D692" s="6">
        <f t="shared" ca="1" si="87"/>
        <v>-0.80382758201457449</v>
      </c>
      <c r="E692" s="8">
        <f t="shared" ca="1" si="88"/>
        <v>1.0070078671739114E-2</v>
      </c>
      <c r="F692" s="8">
        <f t="shared" ca="1" si="89"/>
        <v>1.6372872345078331E-2</v>
      </c>
      <c r="G692" s="8">
        <f t="shared" ca="1" si="90"/>
        <v>7.6813810401594835E-3</v>
      </c>
      <c r="H692" s="10">
        <f t="shared" ca="1" si="91"/>
        <v>4056.4414359457046</v>
      </c>
      <c r="I692" s="10">
        <f t="shared" ca="1" si="92"/>
        <v>552.90684255572251</v>
      </c>
      <c r="J692" s="10">
        <f t="shared" ca="1" si="93"/>
        <v>2253.1755680057968</v>
      </c>
      <c r="K692" s="12">
        <f t="array" aca="1" ref="K692:L692" ca="1">Opt3Spd(H692:J692,$E$3:$G$3,$K$3:$M$3,$N$3:$P$3,$H$3,$I$3,$Q$3,$J$3)</f>
        <v>220.21480903883594</v>
      </c>
      <c r="L692" s="12">
        <f ca="1"/>
        <v>1.2105185185646405E-2</v>
      </c>
      <c r="M692" s="12">
        <f t="array" aca="1" ref="M692:N692" ca="1">Opt3Spd(H692:J692,$E$3:$G$3,$K$3:$M$3,$N$3:$P$3,$H$4,$I$3,$Q$3,$J$3)</f>
        <v>0.19954175631093563</v>
      </c>
      <c r="N692" s="12">
        <f ca="1"/>
        <v>179.99683790266064</v>
      </c>
      <c r="O692" s="12">
        <f t="shared" ca="1" si="94"/>
        <v>0.21164694149658203</v>
      </c>
    </row>
    <row r="693" spans="2:15" x14ac:dyDescent="0.15">
      <c r="B693" s="6">
        <f t="shared" ca="1" si="87"/>
        <v>-0.91026161229254932</v>
      </c>
      <c r="C693" s="6">
        <f t="shared" ca="1" si="87"/>
        <v>0.52722440688510253</v>
      </c>
      <c r="D693" s="6">
        <f t="shared" ca="1" si="87"/>
        <v>0.52509424086713619</v>
      </c>
      <c r="E693" s="8">
        <f t="shared" ca="1" si="88"/>
        <v>-2.0725199722523371E-2</v>
      </c>
      <c r="F693" s="8">
        <f t="shared" ca="1" si="89"/>
        <v>-2.164470778679467E-2</v>
      </c>
      <c r="G693" s="8">
        <f t="shared" ca="1" si="90"/>
        <v>-2.6317156743372823E-2</v>
      </c>
      <c r="H693" s="10">
        <f t="shared" ca="1" si="91"/>
        <v>3932.767597914346</v>
      </c>
      <c r="I693" s="10">
        <f t="shared" ca="1" si="92"/>
        <v>532.22527896398367</v>
      </c>
      <c r="J693" s="10">
        <f t="shared" ca="1" si="93"/>
        <v>2177.1548375218181</v>
      </c>
      <c r="K693" s="12">
        <f t="array" aca="1" ref="K693:L693" ca="1">Opt3Spd(H693:J693,$E$3:$G$3,$K$3:$M$3,$N$3:$P$3,$H$3,$I$3,$Q$3,$J$3)</f>
        <v>167.77024905182179</v>
      </c>
      <c r="L693" s="12">
        <f ca="1"/>
        <v>0.14051624075864311</v>
      </c>
      <c r="M693" s="12">
        <f t="array" aca="1" ref="M693:N693" ca="1">Opt3Spd(H693:J693,$E$3:$G$3,$K$3:$M$3,$N$3:$P$3,$H$4,$I$3,$Q$3,$J$3)</f>
        <v>1.5599449623564521E-2</v>
      </c>
      <c r="N693" s="12">
        <f ca="1"/>
        <v>232.3858666385604</v>
      </c>
      <c r="O693" s="12">
        <f t="shared" ca="1" si="94"/>
        <v>0.15611569038220763</v>
      </c>
    </row>
    <row r="694" spans="2:15" x14ac:dyDescent="0.15">
      <c r="B694" s="6">
        <f t="shared" ca="1" si="87"/>
        <v>2.1541742046107313</v>
      </c>
      <c r="C694" s="6">
        <f t="shared" ca="1" si="87"/>
        <v>0.14495469573375594</v>
      </c>
      <c r="D694" s="6">
        <f t="shared" ca="1" si="87"/>
        <v>0.98917692277417379</v>
      </c>
      <c r="E694" s="8">
        <f t="shared" ca="1" si="88"/>
        <v>4.9047098136130826E-2</v>
      </c>
      <c r="F694" s="8">
        <f t="shared" ca="1" si="89"/>
        <v>8.3238187986035328E-2</v>
      </c>
      <c r="G694" s="8">
        <f t="shared" ca="1" si="90"/>
        <v>9.0099411928970891E-2</v>
      </c>
      <c r="H694" s="10">
        <f t="shared" ca="1" si="91"/>
        <v>4212.9731461147012</v>
      </c>
      <c r="I694" s="10">
        <f t="shared" ca="1" si="92"/>
        <v>589.28157426440316</v>
      </c>
      <c r="J694" s="10">
        <f t="shared" ca="1" si="93"/>
        <v>2437.4622850731789</v>
      </c>
      <c r="K694" s="12">
        <f t="array" aca="1" ref="K694:L694" ca="1">Opt3Spd(H694:J694,$E$3:$G$3,$K$3:$M$3,$N$3:$P$3,$H$3,$I$3,$Q$3,$J$3)</f>
        <v>226.4030078298556</v>
      </c>
      <c r="L694" s="12">
        <f ca="1"/>
        <v>1.1523074788783561E-2</v>
      </c>
      <c r="M694" s="12">
        <f t="array" aca="1" ref="M694:N694" ca="1">Opt3Spd(H694:J694,$E$3:$G$3,$K$3:$M$3,$N$3:$P$3,$H$4,$I$3,$Q$3,$J$3)</f>
        <v>0.29541753623034595</v>
      </c>
      <c r="N694" s="12">
        <f ca="1"/>
        <v>173.90393278116352</v>
      </c>
      <c r="O694" s="12">
        <f t="shared" ca="1" si="94"/>
        <v>0.30694061101912951</v>
      </c>
    </row>
    <row r="695" spans="2:15" x14ac:dyDescent="0.15">
      <c r="B695" s="6">
        <f t="shared" ca="1" si="87"/>
        <v>0.25482400735293059</v>
      </c>
      <c r="C695" s="6">
        <f t="shared" ca="1" si="87"/>
        <v>1.0907049372047692</v>
      </c>
      <c r="D695" s="6">
        <f t="shared" ca="1" si="87"/>
        <v>1.0161804258928151</v>
      </c>
      <c r="E695" s="8">
        <f t="shared" ca="1" si="88"/>
        <v>5.8019347132326378E-3</v>
      </c>
      <c r="F695" s="8">
        <f t="shared" ca="1" si="89"/>
        <v>3.4525985948561128E-2</v>
      </c>
      <c r="G695" s="8">
        <f t="shared" ca="1" si="90"/>
        <v>2.3353529649404303E-2</v>
      </c>
      <c r="H695" s="10">
        <f t="shared" ca="1" si="91"/>
        <v>4039.3005698083421</v>
      </c>
      <c r="I695" s="10">
        <f t="shared" ca="1" si="92"/>
        <v>562.7821363560173</v>
      </c>
      <c r="J695" s="10">
        <f t="shared" ca="1" si="93"/>
        <v>2288.2184922960678</v>
      </c>
      <c r="K695" s="12">
        <f t="array" aca="1" ref="K695:L695" ca="1">Opt3Spd(H695:J695,$E$3:$G$3,$K$3:$M$3,$N$3:$P$3,$H$3,$I$3,$Q$3,$J$3)</f>
        <v>169.8832209528216</v>
      </c>
      <c r="L695" s="12">
        <f ca="1"/>
        <v>0.14331546214111768</v>
      </c>
      <c r="M695" s="12">
        <f t="array" aca="1" ref="M695:N695" ca="1">Opt3Spd(H695:J695,$E$3:$G$3,$K$3:$M$3,$N$3:$P$3,$H$4,$I$3,$Q$3,$J$3)</f>
        <v>1.9968240607298515E-2</v>
      </c>
      <c r="N695" s="12">
        <f ca="1"/>
        <v>230.28006274992683</v>
      </c>
      <c r="O695" s="12">
        <f t="shared" ca="1" si="94"/>
        <v>0.16328370274841619</v>
      </c>
    </row>
    <row r="696" spans="2:15" x14ac:dyDescent="0.15">
      <c r="B696" s="6">
        <f t="shared" ca="1" si="87"/>
        <v>0.21304048417907062</v>
      </c>
      <c r="C696" s="6">
        <f t="shared" ca="1" si="87"/>
        <v>-1.2479025235325536</v>
      </c>
      <c r="D696" s="6">
        <f t="shared" ca="1" si="87"/>
        <v>1.8114889661736446</v>
      </c>
      <c r="E696" s="8">
        <f t="shared" ca="1" si="88"/>
        <v>4.8505907795826971E-3</v>
      </c>
      <c r="F696" s="8">
        <f t="shared" ca="1" si="89"/>
        <v>-2.0784982760976574E-2</v>
      </c>
      <c r="G696" s="8">
        <f t="shared" ca="1" si="90"/>
        <v>2.3502026697132437E-2</v>
      </c>
      <c r="H696" s="10">
        <f t="shared" ca="1" si="91"/>
        <v>4035.479972570804</v>
      </c>
      <c r="I696" s="10">
        <f t="shared" ca="1" si="92"/>
        <v>532.69296937802869</v>
      </c>
      <c r="J696" s="10">
        <f t="shared" ca="1" si="93"/>
        <v>2288.5505316947879</v>
      </c>
      <c r="K696" s="12">
        <f t="array" aca="1" ref="K696:L696" ca="1">Opt3Spd(H696:J696,$E$3:$G$3,$K$3:$M$3,$N$3:$P$3,$H$3,$I$3,$Q$3,$J$3)</f>
        <v>213.91315443859958</v>
      </c>
      <c r="L696" s="12">
        <f ca="1"/>
        <v>1.7198720035366932E-2</v>
      </c>
      <c r="M696" s="12">
        <f t="array" aca="1" ref="M696:N696" ca="1">Opt3Spd(H696:J696,$E$3:$G$3,$K$3:$M$3,$N$3:$P$3,$H$4,$I$3,$Q$3,$J$3)</f>
        <v>0.15593168452200068</v>
      </c>
      <c r="N696" s="12">
        <f ca="1"/>
        <v>186.25997596595778</v>
      </c>
      <c r="O696" s="12">
        <f t="shared" ca="1" si="94"/>
        <v>0.17313040455736761</v>
      </c>
    </row>
    <row r="697" spans="2:15" x14ac:dyDescent="0.15">
      <c r="B697" s="6">
        <f t="shared" ca="1" si="87"/>
        <v>0.65914049607406955</v>
      </c>
      <c r="C697" s="6">
        <f t="shared" ca="1" si="87"/>
        <v>1.3171035516282013</v>
      </c>
      <c r="D697" s="6">
        <f t="shared" ca="1" si="87"/>
        <v>0.48761229247599674</v>
      </c>
      <c r="E697" s="8">
        <f t="shared" ca="1" si="88"/>
        <v>1.5007573912660801E-2</v>
      </c>
      <c r="F697" s="8">
        <f t="shared" ca="1" si="89"/>
        <v>5.4728070374080909E-2</v>
      </c>
      <c r="G697" s="8">
        <f t="shared" ca="1" si="90"/>
        <v>3.3233823458283872E-2</v>
      </c>
      <c r="H697" s="10">
        <f t="shared" ca="1" si="91"/>
        <v>4076.2704168332452</v>
      </c>
      <c r="I697" s="10">
        <f t="shared" ca="1" si="92"/>
        <v>573.77207028350006</v>
      </c>
      <c r="J697" s="10">
        <f t="shared" ca="1" si="93"/>
        <v>2310.3108292527227</v>
      </c>
      <c r="K697" s="12">
        <f t="array" aca="1" ref="K697:L697" ca="1">Opt3Spd(H697:J697,$E$3:$G$3,$K$3:$M$3,$N$3:$P$3,$H$3,$I$3,$Q$3,$J$3)</f>
        <v>178.18152154880022</v>
      </c>
      <c r="L697" s="12">
        <f ca="1"/>
        <v>0.10183179551631838</v>
      </c>
      <c r="M697" s="12">
        <f t="array" aca="1" ref="M697:N697" ca="1">Opt3Spd(H697:J697,$E$3:$G$3,$K$3:$M$3,$N$3:$P$3,$H$4,$I$3,$Q$3,$J$3)</f>
        <v>3.1236901587188726E-2</v>
      </c>
      <c r="N697" s="12">
        <f ca="1"/>
        <v>221.95154714830329</v>
      </c>
      <c r="O697" s="12">
        <f t="shared" ca="1" si="94"/>
        <v>0.13306869710350711</v>
      </c>
    </row>
    <row r="698" spans="2:15" x14ac:dyDescent="0.15">
      <c r="B698" s="6">
        <f t="shared" ca="1" si="87"/>
        <v>-2.6775816427679926</v>
      </c>
      <c r="C698" s="6">
        <f t="shared" ca="1" si="87"/>
        <v>0.30001179495795943</v>
      </c>
      <c r="D698" s="6">
        <f t="shared" ca="1" si="87"/>
        <v>0.16879875731306007</v>
      </c>
      <c r="E698" s="8">
        <f t="shared" ca="1" si="88"/>
        <v>-6.0964247607855647E-2</v>
      </c>
      <c r="F698" s="8">
        <f t="shared" ca="1" si="89"/>
        <v>-9.2424099775705884E-2</v>
      </c>
      <c r="G698" s="8">
        <f t="shared" ca="1" si="90"/>
        <v>-9.5700847373931863E-2</v>
      </c>
      <c r="H698" s="10">
        <f t="shared" ca="1" si="91"/>
        <v>3771.1675816068514</v>
      </c>
      <c r="I698" s="10">
        <f t="shared" ca="1" si="92"/>
        <v>493.72128972201602</v>
      </c>
      <c r="J698" s="10">
        <f t="shared" ca="1" si="93"/>
        <v>2022.0129052718885</v>
      </c>
      <c r="K698" s="12">
        <f t="array" aca="1" ref="K698:L698" ca="1">Opt3Spd(H698:J698,$E$3:$G$3,$K$3:$M$3,$N$3:$P$3,$H$3,$I$3,$Q$3,$J$3)</f>
        <v>145.53143046420132</v>
      </c>
      <c r="L698" s="12">
        <f ca="1"/>
        <v>0.32436504851989412</v>
      </c>
      <c r="M698" s="12">
        <f t="array" aca="1" ref="M698:N698" ca="1">Opt3Spd(H698:J698,$E$3:$G$3,$K$3:$M$3,$N$3:$P$3,$H$4,$I$3,$Q$3,$J$3)</f>
        <v>3.6696949793102451E-3</v>
      </c>
      <c r="N698" s="12">
        <f ca="1"/>
        <v>254.7966042792979</v>
      </c>
      <c r="O698" s="12">
        <f t="shared" ca="1" si="94"/>
        <v>0.32803474349920436</v>
      </c>
    </row>
    <row r="699" spans="2:15" x14ac:dyDescent="0.15">
      <c r="B699" s="6">
        <f t="shared" ca="1" si="87"/>
        <v>-0.91597063319674354</v>
      </c>
      <c r="C699" s="6">
        <f t="shared" ca="1" si="87"/>
        <v>-7.1216645595928954E-2</v>
      </c>
      <c r="D699" s="6">
        <f t="shared" ca="1" si="87"/>
        <v>0.28777016591870441</v>
      </c>
      <c r="E699" s="8">
        <f t="shared" ca="1" si="88"/>
        <v>-2.0855184989244099E-2</v>
      </c>
      <c r="F699" s="8">
        <f t="shared" ca="1" si="89"/>
        <v>-3.5613735864075229E-2</v>
      </c>
      <c r="G699" s="8">
        <f t="shared" ca="1" si="90"/>
        <v>-3.0792380118717141E-2</v>
      </c>
      <c r="H699" s="10">
        <f t="shared" ca="1" si="91"/>
        <v>3932.2455770831957</v>
      </c>
      <c r="I699" s="10">
        <f t="shared" ca="1" si="92"/>
        <v>524.62612768994302</v>
      </c>
      <c r="J699" s="10">
        <f t="shared" ca="1" si="93"/>
        <v>2167.1482380545485</v>
      </c>
      <c r="K699" s="12">
        <f t="array" aca="1" ref="K699:L699" ca="1">Opt3Spd(H699:J699,$E$3:$G$3,$K$3:$M$3,$N$3:$P$3,$H$3,$I$3,$Q$3,$J$3)</f>
        <v>184.33435281259563</v>
      </c>
      <c r="L699" s="12">
        <f ca="1"/>
        <v>6.4699060582825041E-2</v>
      </c>
      <c r="M699" s="12">
        <f t="array" aca="1" ref="M699:N699" ca="1">Opt3Spd(H699:J699,$E$3:$G$3,$K$3:$M$3,$N$3:$P$3,$H$4,$I$3,$Q$3,$J$3)</f>
        <v>3.5916488562869997E-2</v>
      </c>
      <c r="N699" s="12">
        <f ca="1"/>
        <v>215.76626273655006</v>
      </c>
      <c r="O699" s="12">
        <f t="shared" ca="1" si="94"/>
        <v>0.10061554914569504</v>
      </c>
    </row>
    <row r="700" spans="2:15" x14ac:dyDescent="0.15">
      <c r="B700" s="6">
        <f t="shared" ca="1" si="87"/>
        <v>-0.66888052433357992</v>
      </c>
      <c r="C700" s="6">
        <f t="shared" ca="1" si="87"/>
        <v>1.2478952103032652</v>
      </c>
      <c r="D700" s="6">
        <f t="shared" ca="1" si="87"/>
        <v>0.53869592201156047</v>
      </c>
      <c r="E700" s="8">
        <f t="shared" ca="1" si="88"/>
        <v>-1.52293387638369E-2</v>
      </c>
      <c r="F700" s="8">
        <f t="shared" ca="1" si="89"/>
        <v>3.8761043831452993E-3</v>
      </c>
      <c r="G700" s="8">
        <f t="shared" ca="1" si="90"/>
        <v>-1.5212222296237156E-2</v>
      </c>
      <c r="H700" s="10">
        <f t="shared" ca="1" si="91"/>
        <v>3954.8389755244311</v>
      </c>
      <c r="I700" s="10">
        <f t="shared" ca="1" si="92"/>
        <v>546.10860078443102</v>
      </c>
      <c r="J700" s="10">
        <f t="shared" ca="1" si="93"/>
        <v>2201.9854709456135</v>
      </c>
      <c r="K700" s="12">
        <f t="array" aca="1" ref="K700:L700" ca="1">Opt3Spd(H700:J700,$E$3:$G$3,$K$3:$M$3,$N$3:$P$3,$H$3,$I$3,$Q$3,$J$3)</f>
        <v>155.32120061436945</v>
      </c>
      <c r="L700" s="12">
        <f ca="1"/>
        <v>0.24872181783462111</v>
      </c>
      <c r="M700" s="12">
        <f t="array" aca="1" ref="M700:N700" ca="1">Opt3Spd(H700:J700,$E$3:$G$3,$K$3:$M$3,$N$3:$P$3,$H$4,$I$3,$Q$3,$J$3)</f>
        <v>8.2475339805840875E-3</v>
      </c>
      <c r="N700" s="12">
        <f ca="1"/>
        <v>244.93576873744576</v>
      </c>
      <c r="O700" s="12">
        <f t="shared" ca="1" si="94"/>
        <v>0.25696935181520519</v>
      </c>
    </row>
    <row r="701" spans="2:15" x14ac:dyDescent="0.15">
      <c r="B701" s="6">
        <f t="shared" ca="1" si="87"/>
        <v>0.19937321718950035</v>
      </c>
      <c r="C701" s="6">
        <f t="shared" ca="1" si="87"/>
        <v>-1.5089525898842824</v>
      </c>
      <c r="D701" s="6">
        <f t="shared" ca="1" si="87"/>
        <v>-0.63809953085088134</v>
      </c>
      <c r="E701" s="8">
        <f t="shared" ca="1" si="88"/>
        <v>4.5394089894306381E-3</v>
      </c>
      <c r="F701" s="8">
        <f t="shared" ca="1" si="89"/>
        <v>-2.7293098460198249E-2</v>
      </c>
      <c r="G701" s="8">
        <f t="shared" ca="1" si="90"/>
        <v>-3.8535066711088647E-3</v>
      </c>
      <c r="H701" s="10">
        <f t="shared" ca="1" si="91"/>
        <v>4034.2302665015532</v>
      </c>
      <c r="I701" s="10">
        <f t="shared" ca="1" si="92"/>
        <v>529.15255443765216</v>
      </c>
      <c r="J701" s="10">
        <f t="shared" ca="1" si="93"/>
        <v>2227.3835590834005</v>
      </c>
      <c r="K701" s="12">
        <f t="array" aca="1" ref="K701:L701" ca="1">Opt3Spd(H701:J701,$E$3:$G$3,$K$3:$M$3,$N$3:$P$3,$H$3,$I$3,$Q$3,$J$3)</f>
        <v>248.89677454581306</v>
      </c>
      <c r="L701" s="12">
        <f ca="1"/>
        <v>2.374686203438614E-3</v>
      </c>
      <c r="M701" s="12">
        <f t="array" aca="1" ref="M701:N701" ca="1">Opt3Spd(H701:J701,$E$3:$G$3,$K$3:$M$3,$N$3:$P$3,$H$4,$I$3,$Q$3,$J$3)</f>
        <v>0.60657094297775416</v>
      </c>
      <c r="N701" s="12">
        <f ca="1"/>
        <v>151.71217108336813</v>
      </c>
      <c r="O701" s="12">
        <f t="shared" ca="1" si="94"/>
        <v>0.60894562918119277</v>
      </c>
    </row>
    <row r="702" spans="2:15" x14ac:dyDescent="0.15">
      <c r="B702" s="6">
        <f t="shared" ca="1" si="87"/>
        <v>-0.99464499346536095</v>
      </c>
      <c r="C702" s="6">
        <f t="shared" ca="1" si="87"/>
        <v>-0.98860671322625804</v>
      </c>
      <c r="D702" s="6">
        <f t="shared" ca="1" si="87"/>
        <v>1.796884201849648</v>
      </c>
      <c r="E702" s="8">
        <f t="shared" ca="1" si="88"/>
        <v>-2.2646474226963607E-2</v>
      </c>
      <c r="F702" s="8">
        <f t="shared" ca="1" si="89"/>
        <v>-5.9621463511430411E-2</v>
      </c>
      <c r="G702" s="8">
        <f t="shared" ca="1" si="90"/>
        <v>-2.0269230949806753E-2</v>
      </c>
      <c r="H702" s="10">
        <f t="shared" ca="1" si="91"/>
        <v>3925.0517595045139</v>
      </c>
      <c r="I702" s="10">
        <f t="shared" ca="1" si="92"/>
        <v>511.56592384978188</v>
      </c>
      <c r="J702" s="10">
        <f t="shared" ca="1" si="93"/>
        <v>2190.677999596232</v>
      </c>
      <c r="K702" s="12">
        <f t="array" aca="1" ref="K702:L702" ca="1">Opt3Spd(H702:J702,$E$3:$G$3,$K$3:$M$3,$N$3:$P$3,$H$3,$I$3,$Q$3,$J$3)</f>
        <v>186.26728072587639</v>
      </c>
      <c r="L702" s="12">
        <f ca="1"/>
        <v>5.9999179129363256E-2</v>
      </c>
      <c r="M702" s="12">
        <f t="array" aca="1" ref="M702:N702" ca="1">Opt3Spd(H702:J702,$E$3:$G$3,$K$3:$M$3,$N$3:$P$3,$H$4,$I$3,$Q$3,$J$3)</f>
        <v>4.0298926968550752E-2</v>
      </c>
      <c r="N702" s="12">
        <f ca="1"/>
        <v>213.83301738022152</v>
      </c>
      <c r="O702" s="12">
        <f t="shared" ca="1" si="94"/>
        <v>0.10029810609791401</v>
      </c>
    </row>
    <row r="703" spans="2:15" x14ac:dyDescent="0.15">
      <c r="B703" s="6">
        <f t="shared" ca="1" si="87"/>
        <v>-0.52829565798651545</v>
      </c>
      <c r="C703" s="6">
        <f t="shared" ca="1" si="87"/>
        <v>0.44478354911202267</v>
      </c>
      <c r="D703" s="6">
        <f t="shared" ca="1" si="87"/>
        <v>-1.2399397329099149</v>
      </c>
      <c r="E703" s="8">
        <f t="shared" ca="1" si="88"/>
        <v>-1.202844641194593E-2</v>
      </c>
      <c r="F703" s="8">
        <f t="shared" ca="1" si="89"/>
        <v>-9.3714386067593244E-3</v>
      </c>
      <c r="G703" s="8">
        <f t="shared" ca="1" si="90"/>
        <v>-3.1326675053288393E-2</v>
      </c>
      <c r="H703" s="10">
        <f t="shared" ca="1" si="91"/>
        <v>3967.6937592096251</v>
      </c>
      <c r="I703" s="10">
        <f t="shared" ca="1" si="92"/>
        <v>538.90193739792289</v>
      </c>
      <c r="J703" s="10">
        <f t="shared" ca="1" si="93"/>
        <v>2165.9535545808471</v>
      </c>
      <c r="K703" s="12">
        <f t="array" aca="1" ref="K703:L703" ca="1">Opt3Spd(H703:J703,$E$3:$G$3,$K$3:$M$3,$N$3:$P$3,$H$3,$I$3,$Q$3,$J$3)</f>
        <v>197.50832303964808</v>
      </c>
      <c r="L703" s="12">
        <f ca="1"/>
        <v>3.4440957123251792E-2</v>
      </c>
      <c r="M703" s="12">
        <f t="array" aca="1" ref="M703:N703" ca="1">Opt3Spd(H703:J703,$E$3:$G$3,$K$3:$M$3,$N$3:$P$3,$H$4,$I$3,$Q$3,$J$3)</f>
        <v>6.787170347418936E-2</v>
      </c>
      <c r="N703" s="12">
        <f ca="1"/>
        <v>202.59398962094937</v>
      </c>
      <c r="O703" s="12">
        <f t="shared" ca="1" si="94"/>
        <v>0.10231266059744115</v>
      </c>
    </row>
    <row r="704" spans="2:15" x14ac:dyDescent="0.15">
      <c r="B704" s="6">
        <f t="shared" ref="B704:D767" ca="1" si="95">NORMINV(RAND(),0,1)</f>
        <v>-1.7913424663807855</v>
      </c>
      <c r="C704" s="6">
        <f t="shared" ca="1" si="95"/>
        <v>-1.602273105034739</v>
      </c>
      <c r="D704" s="6">
        <f t="shared" ca="1" si="95"/>
        <v>0.69699666730332177</v>
      </c>
      <c r="E704" s="8">
        <f t="shared" ca="1" si="88"/>
        <v>-4.0786000294657565E-2</v>
      </c>
      <c r="F704" s="8">
        <f t="shared" ca="1" si="89"/>
        <v>-0.10328104281296417</v>
      </c>
      <c r="G704" s="8">
        <f t="shared" ca="1" si="90"/>
        <v>-6.3037217887910391E-2</v>
      </c>
      <c r="H704" s="10">
        <f t="shared" ca="1" si="91"/>
        <v>3852.2034228166549</v>
      </c>
      <c r="I704" s="10">
        <f t="shared" ca="1" si="92"/>
        <v>487.8151127097475</v>
      </c>
      <c r="J704" s="10">
        <f t="shared" ca="1" si="93"/>
        <v>2095.0487808026323</v>
      </c>
      <c r="K704" s="12">
        <f t="array" aca="1" ref="K704:L704" ca="1">Opt3Spd(H704:J704,$E$3:$G$3,$K$3:$M$3,$N$3:$P$3,$H$3,$I$3,$Q$3,$J$3)</f>
        <v>199.2035925722862</v>
      </c>
      <c r="L704" s="12">
        <f ca="1"/>
        <v>2.8740492543647633E-2</v>
      </c>
      <c r="M704" s="12">
        <f t="array" aca="1" ref="M704:N704" ca="1">Opt3Spd(H704:J704,$E$3:$G$3,$K$3:$M$3,$N$3:$P$3,$H$4,$I$3,$Q$3,$J$3)</f>
        <v>6.8810311139073654E-2</v>
      </c>
      <c r="N704" s="12">
        <f ca="1"/>
        <v>200.89395823139651</v>
      </c>
      <c r="O704" s="12">
        <f t="shared" ca="1" si="94"/>
        <v>9.7550803682721288E-2</v>
      </c>
    </row>
    <row r="705" spans="2:15" x14ac:dyDescent="0.15">
      <c r="B705" s="6">
        <f t="shared" ca="1" si="95"/>
        <v>0.88721198052777062</v>
      </c>
      <c r="C705" s="6">
        <f t="shared" ca="1" si="95"/>
        <v>-0.10821877527649115</v>
      </c>
      <c r="D705" s="6">
        <f t="shared" ca="1" si="95"/>
        <v>-1.4787177012660351</v>
      </c>
      <c r="E705" s="8">
        <f t="shared" ca="1" si="88"/>
        <v>2.0200396506168328E-2</v>
      </c>
      <c r="F705" s="8">
        <f t="shared" ca="1" si="89"/>
        <v>3.0422025637140263E-2</v>
      </c>
      <c r="G705" s="8">
        <f t="shared" ca="1" si="90"/>
        <v>1.6527709329049577E-2</v>
      </c>
      <c r="H705" s="10">
        <f t="shared" ca="1" si="91"/>
        <v>4097.1247923687724</v>
      </c>
      <c r="I705" s="10">
        <f t="shared" ca="1" si="92"/>
        <v>560.54958194660435</v>
      </c>
      <c r="J705" s="10">
        <f t="shared" ca="1" si="93"/>
        <v>2272.9559580597552</v>
      </c>
      <c r="K705" s="12">
        <f t="array" aca="1" ref="K705:L705" ca="1">Opt3Spd(H705:J705,$E$3:$G$3,$K$3:$M$3,$N$3:$P$3,$H$3,$I$3,$Q$3,$J$3)</f>
        <v>238.77210106653251</v>
      </c>
      <c r="L705" s="12">
        <f ca="1"/>
        <v>4.6188422045361222E-3</v>
      </c>
      <c r="M705" s="12">
        <f t="array" aca="1" ref="M705:N705" ca="1">Opt3Spd(H705:J705,$E$3:$G$3,$K$3:$M$3,$N$3:$P$3,$H$4,$I$3,$Q$3,$J$3)</f>
        <v>0.42694554869640911</v>
      </c>
      <c r="N705" s="12">
        <f ca="1"/>
        <v>161.65946332436843</v>
      </c>
      <c r="O705" s="12">
        <f t="shared" ca="1" si="94"/>
        <v>0.43156439090094523</v>
      </c>
    </row>
    <row r="706" spans="2:15" x14ac:dyDescent="0.15">
      <c r="B706" s="6">
        <f t="shared" ca="1" si="95"/>
        <v>0.25853916520798659</v>
      </c>
      <c r="C706" s="6">
        <f t="shared" ca="1" si="95"/>
        <v>-4.8786896594286269E-2</v>
      </c>
      <c r="D706" s="6">
        <f t="shared" ca="1" si="95"/>
        <v>1.0227583481650742</v>
      </c>
      <c r="E706" s="8">
        <f t="shared" ca="1" si="88"/>
        <v>5.886522910193745E-3</v>
      </c>
      <c r="F706" s="8">
        <f t="shared" ca="1" si="89"/>
        <v>8.4685894758320633E-3</v>
      </c>
      <c r="G706" s="8">
        <f t="shared" ca="1" si="90"/>
        <v>2.0252181845767415E-2</v>
      </c>
      <c r="H706" s="10">
        <f t="shared" ca="1" si="91"/>
        <v>4039.6402760073379</v>
      </c>
      <c r="I706" s="10">
        <f t="shared" ca="1" si="92"/>
        <v>548.60691267485265</v>
      </c>
      <c r="J706" s="10">
        <f t="shared" ca="1" si="93"/>
        <v>2281.2838786071361</v>
      </c>
      <c r="K706" s="12">
        <f t="array" aca="1" ref="K706:L706" ca="1">Opt3Spd(H706:J706,$E$3:$G$3,$K$3:$M$3,$N$3:$P$3,$H$3,$I$3,$Q$3,$J$3)</f>
        <v>196.26883170585143</v>
      </c>
      <c r="L706" s="12">
        <f ca="1"/>
        <v>4.1555281845830905E-2</v>
      </c>
      <c r="M706" s="12">
        <f t="array" aca="1" ref="M706:N706" ca="1">Opt3Spd(H706:J706,$E$3:$G$3,$K$3:$M$3,$N$3:$P$3,$H$4,$I$3,$Q$3,$J$3)</f>
        <v>7.1052605216761933E-2</v>
      </c>
      <c r="N706" s="12">
        <f ca="1"/>
        <v>203.84377618121115</v>
      </c>
      <c r="O706" s="12">
        <f t="shared" ca="1" si="94"/>
        <v>0.11260788706259284</v>
      </c>
    </row>
    <row r="707" spans="2:15" x14ac:dyDescent="0.15">
      <c r="B707" s="6">
        <f t="shared" ca="1" si="95"/>
        <v>1.8571330787031219</v>
      </c>
      <c r="C707" s="6">
        <f t="shared" ca="1" si="95"/>
        <v>0.70901356526595638</v>
      </c>
      <c r="D707" s="6">
        <f t="shared" ca="1" si="95"/>
        <v>-1.1101143973327672</v>
      </c>
      <c r="E707" s="8">
        <f t="shared" ca="1" si="88"/>
        <v>4.2283947216546769E-2</v>
      </c>
      <c r="F707" s="8">
        <f t="shared" ca="1" si="89"/>
        <v>8.518675364597339E-2</v>
      </c>
      <c r="G707" s="8">
        <f t="shared" ca="1" si="90"/>
        <v>5.8460185909473772E-2</v>
      </c>
      <c r="H707" s="10">
        <f t="shared" ca="1" si="91"/>
        <v>4185.8123320216519</v>
      </c>
      <c r="I707" s="10">
        <f t="shared" ca="1" si="92"/>
        <v>590.34159398340955</v>
      </c>
      <c r="J707" s="10">
        <f t="shared" ca="1" si="93"/>
        <v>2366.7169756935832</v>
      </c>
      <c r="K707" s="12">
        <f t="array" aca="1" ref="K707:L707" ca="1">Opt3Spd(H707:J707,$E$3:$G$3,$K$3:$M$3,$N$3:$P$3,$H$3,$I$3,$Q$3,$J$3)</f>
        <v>232.91479151226827</v>
      </c>
      <c r="L707" s="12">
        <f ca="1"/>
        <v>7.4977108631628653E-3</v>
      </c>
      <c r="M707" s="12">
        <f t="array" aca="1" ref="M707:N707" ca="1">Opt3Spd(H707:J707,$E$3:$G$3,$K$3:$M$3,$N$3:$P$3,$H$4,$I$3,$Q$3,$J$3)</f>
        <v>0.36453052262234564</v>
      </c>
      <c r="N707" s="12">
        <f ca="1"/>
        <v>167.45723672121724</v>
      </c>
      <c r="O707" s="12">
        <f t="shared" ca="1" si="94"/>
        <v>0.37202823348550851</v>
      </c>
    </row>
    <row r="708" spans="2:15" x14ac:dyDescent="0.15">
      <c r="B708" s="6">
        <f t="shared" ca="1" si="95"/>
        <v>0.44485264732375285</v>
      </c>
      <c r="C708" s="6">
        <f t="shared" ca="1" si="95"/>
        <v>-7.7502912544208102E-3</v>
      </c>
      <c r="D708" s="6">
        <f t="shared" ca="1" si="95"/>
        <v>-1.2977675919395795</v>
      </c>
      <c r="E708" s="8">
        <f t="shared" ca="1" si="88"/>
        <v>1.0128582638630399E-2</v>
      </c>
      <c r="F708" s="8">
        <f t="shared" ca="1" si="89"/>
        <v>1.632298166722634E-2</v>
      </c>
      <c r="G708" s="8">
        <f t="shared" ca="1" si="90"/>
        <v>2.4954752390036732E-3</v>
      </c>
      <c r="H708" s="10">
        <f t="shared" ca="1" si="91"/>
        <v>4056.6763878767397</v>
      </c>
      <c r="I708" s="10">
        <f t="shared" ca="1" si="92"/>
        <v>552.87970202697113</v>
      </c>
      <c r="J708" s="10">
        <f t="shared" ca="1" si="93"/>
        <v>2241.5798826344121</v>
      </c>
      <c r="K708" s="12">
        <f t="array" aca="1" ref="K708:L708" ca="1">Opt3Spd(H708:J708,$E$3:$G$3,$K$3:$M$3,$N$3:$P$3,$H$3,$I$3,$Q$3,$J$3)</f>
        <v>226.28757564114539</v>
      </c>
      <c r="L708" s="12">
        <f ca="1"/>
        <v>8.6523247659897606E-3</v>
      </c>
      <c r="M708" s="12">
        <f t="array" aca="1" ref="M708:N708" ca="1">Opt3Spd(H708:J708,$E$3:$G$3,$K$3:$M$3,$N$3:$P$3,$H$4,$I$3,$Q$3,$J$3)</f>
        <v>0.25449245577555857</v>
      </c>
      <c r="N708" s="12">
        <f ca="1"/>
        <v>173.97556913939616</v>
      </c>
      <c r="O708" s="12">
        <f t="shared" ca="1" si="94"/>
        <v>0.26314478054154833</v>
      </c>
    </row>
    <row r="709" spans="2:15" x14ac:dyDescent="0.15">
      <c r="B709" s="6">
        <f t="shared" ca="1" si="95"/>
        <v>-8.6956108686832706E-2</v>
      </c>
      <c r="C709" s="6">
        <f t="shared" ca="1" si="95"/>
        <v>1.5979842148605756</v>
      </c>
      <c r="D709" s="6">
        <f t="shared" ca="1" si="95"/>
        <v>0.60559390505641242</v>
      </c>
      <c r="E709" s="8">
        <f t="shared" ref="E709:E772" ca="1" si="96">B709*$U$3*$C$6</f>
        <v>-1.979851391391921E-3</v>
      </c>
      <c r="F709" s="8">
        <f t="shared" ref="F709:F772" ca="1" si="97">($N$3*B709+C709*SQRT(1-$N$3^2))*$V$3*$C$6</f>
        <v>3.3509747635009857E-2</v>
      </c>
      <c r="G709" s="8">
        <f t="shared" ref="G709:G772" ca="1" si="98">(D709/$T$3+($P$3-$N$3*$O$3)*C709+$O$3*B709*SQRT(1/(1-$N$3^2)))*$W$3*$C$6</f>
        <v>7.8957004393308706E-3</v>
      </c>
      <c r="H709" s="10">
        <f t="shared" ref="H709:H772" ca="1" si="99">B$3*(1+E709)</f>
        <v>4008.0489168121703</v>
      </c>
      <c r="I709" s="10">
        <f t="shared" ref="I709:I772" ca="1" si="100">C$3*(1+F709)</f>
        <v>562.22930271344535</v>
      </c>
      <c r="J709" s="10">
        <f t="shared" ref="J709:J772" ca="1" si="101">D$3*(1+G709)</f>
        <v>2253.6547861823442</v>
      </c>
      <c r="K709" s="12">
        <f t="array" aca="1" ref="K709:L709" ca="1">Opt3Spd(H709:J709,$E$3:$G$3,$K$3:$M$3,$N$3:$P$3,$H$3,$I$3,$Q$3,$J$3)</f>
        <v>156.89911341039647</v>
      </c>
      <c r="L709" s="12">
        <f ca="1"/>
        <v>0.2444740309106237</v>
      </c>
      <c r="M709" s="12">
        <f t="array" aca="1" ref="M709:N709" ca="1">Opt3Spd(H709:J709,$E$3:$G$3,$K$3:$M$3,$N$3:$P$3,$H$4,$I$3,$Q$3,$J$3)</f>
        <v>9.6749708530388112E-3</v>
      </c>
      <c r="N709" s="12">
        <f ca="1"/>
        <v>243.3550355913672</v>
      </c>
      <c r="O709" s="12">
        <f t="shared" ca="1" si="94"/>
        <v>0.25414900176366251</v>
      </c>
    </row>
    <row r="710" spans="2:15" x14ac:dyDescent="0.15">
      <c r="B710" s="6">
        <f t="shared" ca="1" si="95"/>
        <v>0.46762108325935692</v>
      </c>
      <c r="C710" s="6">
        <f t="shared" ca="1" si="95"/>
        <v>-0.29803472423369542</v>
      </c>
      <c r="D710" s="6">
        <f t="shared" ca="1" si="95"/>
        <v>-1.0024670734107419</v>
      </c>
      <c r="E710" s="8">
        <f t="shared" ca="1" si="96"/>
        <v>1.0646983476106575E-2</v>
      </c>
      <c r="F710" s="8">
        <f t="shared" ca="1" si="97"/>
        <v>1.0494340179055846E-2</v>
      </c>
      <c r="G710" s="8">
        <f t="shared" ca="1" si="98"/>
        <v>5.6351157710344268E-3</v>
      </c>
      <c r="H710" s="10">
        <f t="shared" ca="1" si="99"/>
        <v>4058.7582856400436</v>
      </c>
      <c r="I710" s="10">
        <f t="shared" ca="1" si="100"/>
        <v>549.70892105740631</v>
      </c>
      <c r="J710" s="10">
        <f t="shared" ca="1" si="101"/>
        <v>2248.600118864033</v>
      </c>
      <c r="K710" s="12">
        <f t="array" aca="1" ref="K710:L710" ca="1">Opt3Spd(H710:J710,$E$3:$G$3,$K$3:$M$3,$N$3:$P$3,$H$3,$I$3,$Q$3,$J$3)</f>
        <v>229.93110892038294</v>
      </c>
      <c r="L710" s="12">
        <f ca="1"/>
        <v>7.1564042059435451E-3</v>
      </c>
      <c r="M710" s="12">
        <f t="array" aca="1" ref="M710:N710" ca="1">Opt3Spd(H710:J710,$E$3:$G$3,$K$3:$M$3,$N$3:$P$3,$H$4,$I$3,$Q$3,$J$3)</f>
        <v>0.29611556789287619</v>
      </c>
      <c r="N710" s="12">
        <f ca="1"/>
        <v>170.37216305171589</v>
      </c>
      <c r="O710" s="12">
        <f t="shared" ca="1" si="94"/>
        <v>0.30327197209881973</v>
      </c>
    </row>
    <row r="711" spans="2:15" x14ac:dyDescent="0.15">
      <c r="B711" s="6">
        <f t="shared" ca="1" si="95"/>
        <v>1.335071638367104</v>
      </c>
      <c r="C711" s="6">
        <f t="shared" ca="1" si="95"/>
        <v>1.5605157125461546</v>
      </c>
      <c r="D711" s="6">
        <f t="shared" ca="1" si="95"/>
        <v>-0.29788251414906569</v>
      </c>
      <c r="E711" s="8">
        <f t="shared" ca="1" si="96"/>
        <v>3.0397443960475373E-2</v>
      </c>
      <c r="F711" s="8">
        <f t="shared" ca="1" si="97"/>
        <v>8.5396413421414435E-2</v>
      </c>
      <c r="G711" s="8">
        <f t="shared" ca="1" si="98"/>
        <v>5.0405133944171586E-2</v>
      </c>
      <c r="H711" s="10">
        <f t="shared" ca="1" si="99"/>
        <v>4138.0761349452687</v>
      </c>
      <c r="I711" s="10">
        <f t="shared" ca="1" si="100"/>
        <v>590.45564890124945</v>
      </c>
      <c r="J711" s="10">
        <f t="shared" ca="1" si="101"/>
        <v>2348.7058794991676</v>
      </c>
      <c r="K711" s="12">
        <f t="array" aca="1" ref="K711:L711" ca="1">Opt3Spd(H711:J711,$E$3:$G$3,$K$3:$M$3,$N$3:$P$3,$H$3,$I$3,$Q$3,$J$3)</f>
        <v>194.04582397625722</v>
      </c>
      <c r="L711" s="12">
        <f ca="1"/>
        <v>5.1667022571564303E-2</v>
      </c>
      <c r="M711" s="12">
        <f t="array" aca="1" ref="M711:N711" ca="1">Opt3Spd(H711:J711,$E$3:$G$3,$K$3:$M$3,$N$3:$P$3,$H$4,$I$3,$Q$3,$J$3)</f>
        <v>6.9633148729789873E-2</v>
      </c>
      <c r="N711" s="12">
        <f ca="1"/>
        <v>206.07547619504413</v>
      </c>
      <c r="O711" s="12">
        <f t="shared" ca="1" si="94"/>
        <v>0.12130017130135418</v>
      </c>
    </row>
    <row r="712" spans="2:15" x14ac:dyDescent="0.15">
      <c r="B712" s="6">
        <f t="shared" ca="1" si="95"/>
        <v>1.0638725524032409</v>
      </c>
      <c r="C712" s="6">
        <f t="shared" ca="1" si="95"/>
        <v>-0.32354621996065258</v>
      </c>
      <c r="D712" s="6">
        <f t="shared" ca="1" si="95"/>
        <v>-0.31560143690207776</v>
      </c>
      <c r="E712" s="8">
        <f t="shared" ca="1" si="96"/>
        <v>2.4222674921263794E-2</v>
      </c>
      <c r="F712" s="8">
        <f t="shared" ca="1" si="97"/>
        <v>3.2024933212320902E-2</v>
      </c>
      <c r="G712" s="8">
        <f t="shared" ca="1" si="98"/>
        <v>3.4783582958379855E-2</v>
      </c>
      <c r="H712" s="10">
        <f t="shared" ca="1" si="99"/>
        <v>4113.2782624837955</v>
      </c>
      <c r="I712" s="10">
        <f t="shared" ca="1" si="100"/>
        <v>561.42156366750248</v>
      </c>
      <c r="J712" s="10">
        <f t="shared" ca="1" si="101"/>
        <v>2313.7760914949372</v>
      </c>
      <c r="K712" s="12">
        <f t="array" aca="1" ref="K712:L712" ca="1">Opt3Spd(H712:J712,$E$3:$G$3,$K$3:$M$3,$N$3:$P$3,$H$3,$I$3,$Q$3,$J$3)</f>
        <v>233.12236275248029</v>
      </c>
      <c r="L712" s="12">
        <f ca="1"/>
        <v>6.6478841570187797E-3</v>
      </c>
      <c r="M712" s="12">
        <f t="array" aca="1" ref="M712:N712" ca="1">Opt3Spd(H712:J712,$E$3:$G$3,$K$3:$M$3,$N$3:$P$3,$H$4,$I$3,$Q$3,$J$3)</f>
        <v>0.35154674378795292</v>
      </c>
      <c r="N712" s="12">
        <f ca="1"/>
        <v>167.2358318754647</v>
      </c>
      <c r="O712" s="12">
        <f t="shared" ca="1" si="94"/>
        <v>0.3581946279449717</v>
      </c>
    </row>
    <row r="713" spans="2:15" x14ac:dyDescent="0.15">
      <c r="B713" s="6">
        <f t="shared" ca="1" si="95"/>
        <v>1.1351277639003656</v>
      </c>
      <c r="C713" s="6">
        <f t="shared" ca="1" si="95"/>
        <v>-1.396933751185307</v>
      </c>
      <c r="D713" s="6">
        <f t="shared" ca="1" si="95"/>
        <v>-0.88856002351873198</v>
      </c>
      <c r="E713" s="8">
        <f t="shared" ca="1" si="96"/>
        <v>2.5845042018376889E-2</v>
      </c>
      <c r="F713" s="8">
        <f t="shared" ca="1" si="97"/>
        <v>9.992473434009462E-3</v>
      </c>
      <c r="G713" s="8">
        <f t="shared" ca="1" si="98"/>
        <v>2.8181611814003867E-2</v>
      </c>
      <c r="H713" s="10">
        <f t="shared" ca="1" si="99"/>
        <v>4119.7936887458018</v>
      </c>
      <c r="I713" s="10">
        <f t="shared" ca="1" si="100"/>
        <v>549.43590554810123</v>
      </c>
      <c r="J713" s="10">
        <f t="shared" ca="1" si="101"/>
        <v>2299.014084016113</v>
      </c>
      <c r="K713" s="12">
        <f t="array" aca="1" ref="K713:L713" ca="1">Opt3Spd(H713:J713,$E$3:$G$3,$K$3:$M$3,$N$3:$P$3,$H$3,$I$3,$Q$3,$J$3)</f>
        <v>266.19018475381085</v>
      </c>
      <c r="L713" s="12">
        <f ca="1"/>
        <v>9.8689302762977604E-4</v>
      </c>
      <c r="M713" s="12">
        <f t="array" aca="1" ref="M713:N713" ca="1">Opt3Spd(H713:J713,$E$3:$G$3,$K$3:$M$3,$N$3:$P$3,$H$4,$I$3,$Q$3,$J$3)</f>
        <v>1.1640521970988829</v>
      </c>
      <c r="N713" s="12">
        <f ca="1"/>
        <v>134.97485433631567</v>
      </c>
      <c r="O713" s="12">
        <f t="shared" ca="1" si="94"/>
        <v>1.1650390901265126</v>
      </c>
    </row>
    <row r="714" spans="2:15" x14ac:dyDescent="0.15">
      <c r="B714" s="6">
        <f t="shared" ca="1" si="95"/>
        <v>-0.12153890772317455</v>
      </c>
      <c r="C714" s="6">
        <f t="shared" ca="1" si="95"/>
        <v>-0.23777468576686386</v>
      </c>
      <c r="D714" s="6">
        <f t="shared" ca="1" si="95"/>
        <v>0.27293172679362987</v>
      </c>
      <c r="E714" s="8">
        <f t="shared" ca="1" si="96"/>
        <v>-2.767246363686679E-3</v>
      </c>
      <c r="F714" s="8">
        <f t="shared" ca="1" si="97"/>
        <v>-9.9743882139801971E-3</v>
      </c>
      <c r="G714" s="8">
        <f t="shared" ca="1" si="98"/>
        <v>-2.2478382857245654E-3</v>
      </c>
      <c r="H714" s="10">
        <f t="shared" ca="1" si="99"/>
        <v>4004.8867386034344</v>
      </c>
      <c r="I714" s="10">
        <f t="shared" ca="1" si="100"/>
        <v>538.57393281159477</v>
      </c>
      <c r="J714" s="10">
        <f t="shared" ca="1" si="101"/>
        <v>2230.9738335931197</v>
      </c>
      <c r="K714" s="12">
        <f t="array" aca="1" ref="K714:L714" ca="1">Opt3Spd(H714:J714,$E$3:$G$3,$K$3:$M$3,$N$3:$P$3,$H$3,$I$3,$Q$3,$J$3)</f>
        <v>202.71003424944706</v>
      </c>
      <c r="L714" s="12">
        <f ca="1"/>
        <v>2.850494112431079E-2</v>
      </c>
      <c r="M714" s="12">
        <f t="array" aca="1" ref="M714:N714" ca="1">Opt3Spd(H714:J714,$E$3:$G$3,$K$3:$M$3,$N$3:$P$3,$H$4,$I$3,$Q$3,$J$3)</f>
        <v>9.1101616089039439E-2</v>
      </c>
      <c r="N714" s="12">
        <f ca="1"/>
        <v>197.4095723077663</v>
      </c>
      <c r="O714" s="12">
        <f t="shared" ca="1" si="94"/>
        <v>0.11960655721335023</v>
      </c>
    </row>
    <row r="715" spans="2:15" x14ac:dyDescent="0.15">
      <c r="B715" s="6">
        <f t="shared" ca="1" si="95"/>
        <v>0.61395460213842956</v>
      </c>
      <c r="C715" s="6">
        <f t="shared" ca="1" si="95"/>
        <v>-1.057805668307916</v>
      </c>
      <c r="D715" s="6">
        <f t="shared" ca="1" si="95"/>
        <v>-0.76935632413990951</v>
      </c>
      <c r="E715" s="8">
        <f t="shared" ca="1" si="96"/>
        <v>1.3978763443439434E-2</v>
      </c>
      <c r="F715" s="8">
        <f t="shared" ca="1" si="97"/>
        <v>-1.543627119913611E-3</v>
      </c>
      <c r="G715" s="8">
        <f t="shared" ca="1" si="98"/>
        <v>1.1288919837048347E-2</v>
      </c>
      <c r="H715" s="10">
        <f t="shared" ca="1" si="99"/>
        <v>4072.1387139888525</v>
      </c>
      <c r="I715" s="10">
        <f t="shared" ca="1" si="100"/>
        <v>543.16026684676694</v>
      </c>
      <c r="J715" s="10">
        <f t="shared" ca="1" si="101"/>
        <v>2261.2420247556402</v>
      </c>
      <c r="K715" s="12">
        <f t="array" aca="1" ref="K715:L715" ca="1">Opt3Spd(H715:J715,$E$3:$G$3,$K$3:$M$3,$N$3:$P$3,$H$3,$I$3,$Q$3,$J$3)</f>
        <v>247.46401607653866</v>
      </c>
      <c r="L715" s="12">
        <f ca="1"/>
        <v>2.7414203334501508E-3</v>
      </c>
      <c r="M715" s="12">
        <f t="array" aca="1" ref="M715:N715" ca="1">Opt3Spd(H715:J715,$E$3:$G$3,$K$3:$M$3,$N$3:$P$3,$H$4,$I$3,$Q$3,$J$3)</f>
        <v>0.58690554758696578</v>
      </c>
      <c r="N715" s="12">
        <f ca="1"/>
        <v>153.12563089138177</v>
      </c>
      <c r="O715" s="12">
        <f t="shared" ref="O715:O778" ca="1" si="102">L715+M715</f>
        <v>0.58964696792041593</v>
      </c>
    </row>
    <row r="716" spans="2:15" x14ac:dyDescent="0.15">
      <c r="B716" s="6">
        <f t="shared" ca="1" si="95"/>
        <v>-2.606775384226387</v>
      </c>
      <c r="C716" s="6">
        <f t="shared" ca="1" si="95"/>
        <v>-5.3986855055151379E-3</v>
      </c>
      <c r="D716" s="6">
        <f t="shared" ca="1" si="95"/>
        <v>-0.58383043604142926</v>
      </c>
      <c r="E716" s="8">
        <f t="shared" ca="1" si="96"/>
        <v>-5.9352102450834825E-2</v>
      </c>
      <c r="F716" s="8">
        <f t="shared" ca="1" si="97"/>
        <v>-9.6818574575699617E-2</v>
      </c>
      <c r="G716" s="8">
        <f t="shared" ca="1" si="98"/>
        <v>-0.10200393803928409</v>
      </c>
      <c r="H716" s="10">
        <f t="shared" ca="1" si="99"/>
        <v>3777.6419565574474</v>
      </c>
      <c r="I716" s="10">
        <f t="shared" ca="1" si="100"/>
        <v>491.33069543081939</v>
      </c>
      <c r="J716" s="10">
        <f t="shared" ca="1" si="101"/>
        <v>2007.9191945441607</v>
      </c>
      <c r="K716" s="12">
        <f t="array" aca="1" ref="K716:L716" ca="1">Opt3Spd(H716:J716,$E$3:$G$3,$K$3:$M$3,$N$3:$P$3,$H$3,$I$3,$Q$3,$J$3)</f>
        <v>162.70468069100571</v>
      </c>
      <c r="L716" s="12">
        <f ca="1"/>
        <v>0.15143409494976368</v>
      </c>
      <c r="M716" s="12">
        <f t="array" aca="1" ref="M716:N716" ca="1">Opt3Spd(H716:J716,$E$3:$G$3,$K$3:$M$3,$N$3:$P$3,$H$4,$I$3,$Q$3,$J$3)</f>
        <v>9.7103180575637271E-3</v>
      </c>
      <c r="N716" s="12">
        <f ca="1"/>
        <v>237.45646372200162</v>
      </c>
      <c r="O716" s="12">
        <f t="shared" ca="1" si="102"/>
        <v>0.1611444130073274</v>
      </c>
    </row>
    <row r="717" spans="2:15" x14ac:dyDescent="0.15">
      <c r="B717" s="6">
        <f t="shared" ca="1" si="95"/>
        <v>0.30080583665068295</v>
      </c>
      <c r="C717" s="6">
        <f t="shared" ca="1" si="95"/>
        <v>-0.22810003032723952</v>
      </c>
      <c r="D717" s="6">
        <f t="shared" ca="1" si="95"/>
        <v>-0.58225347494650026</v>
      </c>
      <c r="E717" s="8">
        <f t="shared" ca="1" si="96"/>
        <v>6.848867356478737E-3</v>
      </c>
      <c r="F717" s="8">
        <f t="shared" ca="1" si="97"/>
        <v>5.9142695105345467E-3</v>
      </c>
      <c r="G717" s="8">
        <f t="shared" ca="1" si="98"/>
        <v>4.1861715839852463E-3</v>
      </c>
      <c r="H717" s="10">
        <f t="shared" ca="1" si="99"/>
        <v>4043.505051303619</v>
      </c>
      <c r="I717" s="10">
        <f t="shared" ca="1" si="100"/>
        <v>547.21736261373076</v>
      </c>
      <c r="J717" s="10">
        <f t="shared" ca="1" si="101"/>
        <v>2245.3602796617911</v>
      </c>
      <c r="K717" s="12">
        <f t="array" aca="1" ref="K717:L717" ca="1">Opt3Spd(H717:J717,$E$3:$G$3,$K$3:$M$3,$N$3:$P$3,$H$3,$I$3,$Q$3,$J$3)</f>
        <v>220.28901049316596</v>
      </c>
      <c r="L717" s="12">
        <f ca="1"/>
        <v>1.1879202411819278E-2</v>
      </c>
      <c r="M717" s="12">
        <f t="array" aca="1" ref="M717:N717" ca="1">Opt3Spd(H717:J717,$E$3:$G$3,$K$3:$M$3,$N$3:$P$3,$H$4,$I$3,$Q$3,$J$3)</f>
        <v>0.19872894040587852</v>
      </c>
      <c r="N717" s="12">
        <f ca="1"/>
        <v>179.92159764965174</v>
      </c>
      <c r="O717" s="12">
        <f t="shared" ca="1" si="102"/>
        <v>0.2106081428176978</v>
      </c>
    </row>
    <row r="718" spans="2:15" x14ac:dyDescent="0.15">
      <c r="B718" s="6">
        <f t="shared" ca="1" si="95"/>
        <v>-0.9551363315904231</v>
      </c>
      <c r="C718" s="6">
        <f t="shared" ca="1" si="95"/>
        <v>8.5742333191677803E-2</v>
      </c>
      <c r="D718" s="6">
        <f t="shared" ca="1" si="95"/>
        <v>0.2120367808311181</v>
      </c>
      <c r="E718" s="8">
        <f t="shared" ca="1" si="96"/>
        <v>-2.1746925243385722E-2</v>
      </c>
      <c r="F718" s="8">
        <f t="shared" ca="1" si="97"/>
        <v>-3.3458278329071563E-2</v>
      </c>
      <c r="G718" s="8">
        <f t="shared" ca="1" si="98"/>
        <v>-3.2582408708574817E-2</v>
      </c>
      <c r="H718" s="10">
        <f t="shared" ca="1" si="99"/>
        <v>3928.6643482225627</v>
      </c>
      <c r="I718" s="10">
        <f t="shared" ca="1" si="100"/>
        <v>525.79869658898508</v>
      </c>
      <c r="J718" s="10">
        <f t="shared" ca="1" si="101"/>
        <v>2163.1457341276264</v>
      </c>
      <c r="K718" s="12">
        <f t="array" aca="1" ref="K718:L718" ca="1">Opt3Spd(H718:J718,$E$3:$G$3,$K$3:$M$3,$N$3:$P$3,$H$3,$I$3,$Q$3,$J$3)</f>
        <v>180.8894341032958</v>
      </c>
      <c r="L718" s="12">
        <f ca="1"/>
        <v>7.5867486922334137E-2</v>
      </c>
      <c r="M718" s="12">
        <f t="array" aca="1" ref="M718:N718" ca="1">Opt3Spd(H718:J718,$E$3:$G$3,$K$3:$M$3,$N$3:$P$3,$H$4,$I$3,$Q$3,$J$3)</f>
        <v>3.014377591856876E-2</v>
      </c>
      <c r="N718" s="12">
        <f ca="1"/>
        <v>219.2165771595451</v>
      </c>
      <c r="O718" s="12">
        <f t="shared" ca="1" si="102"/>
        <v>0.1060112628409029</v>
      </c>
    </row>
    <row r="719" spans="2:15" x14ac:dyDescent="0.15">
      <c r="B719" s="6">
        <f t="shared" ca="1" si="95"/>
        <v>1.8020446686877269</v>
      </c>
      <c r="C719" s="6">
        <f t="shared" ca="1" si="95"/>
        <v>1.1712542074642045</v>
      </c>
      <c r="D719" s="6">
        <f t="shared" ca="1" si="95"/>
        <v>-1.1604906443635248</v>
      </c>
      <c r="E719" s="8">
        <f t="shared" ca="1" si="96"/>
        <v>4.102967230860044E-2</v>
      </c>
      <c r="F719" s="8">
        <f t="shared" ca="1" si="97"/>
        <v>9.3769548448678519E-2</v>
      </c>
      <c r="G719" s="8">
        <f t="shared" ca="1" si="98"/>
        <v>5.7241537541770013E-2</v>
      </c>
      <c r="H719" s="10">
        <f t="shared" ca="1" si="99"/>
        <v>4180.7751639913386</v>
      </c>
      <c r="I719" s="10">
        <f t="shared" ca="1" si="100"/>
        <v>595.01063435608103</v>
      </c>
      <c r="J719" s="10">
        <f t="shared" ca="1" si="101"/>
        <v>2363.9920779433978</v>
      </c>
      <c r="K719" s="12">
        <f t="array" aca="1" ref="K719:L719" ca="1">Opt3Spd(H719:J719,$E$3:$G$3,$K$3:$M$3,$N$3:$P$3,$H$3,$I$3,$Q$3,$J$3)</f>
        <v>221.77558225509938</v>
      </c>
      <c r="L719" s="12">
        <f ca="1"/>
        <v>1.3472205189373199E-2</v>
      </c>
      <c r="M719" s="12">
        <f t="array" aca="1" ref="M719:N719" ca="1">Opt3Spd(H719:J719,$E$3:$G$3,$K$3:$M$3,$N$3:$P$3,$H$4,$I$3,$Q$3,$J$3)</f>
        <v>0.23423832760027352</v>
      </c>
      <c r="N719" s="12">
        <f ca="1"/>
        <v>178.47212827769027</v>
      </c>
      <c r="O719" s="12">
        <f t="shared" ca="1" si="102"/>
        <v>0.24771053278964672</v>
      </c>
    </row>
    <row r="720" spans="2:15" x14ac:dyDescent="0.15">
      <c r="B720" s="6">
        <f t="shared" ca="1" si="95"/>
        <v>0.7324256140952291</v>
      </c>
      <c r="C720" s="6">
        <f t="shared" ca="1" si="95"/>
        <v>-0.17419544607637455</v>
      </c>
      <c r="D720" s="6">
        <f t="shared" ca="1" si="95"/>
        <v>0.29562616621323284</v>
      </c>
      <c r="E720" s="8">
        <f t="shared" ca="1" si="96"/>
        <v>1.6676158731756839E-2</v>
      </c>
      <c r="F720" s="8">
        <f t="shared" ca="1" si="97"/>
        <v>2.316375042275625E-2</v>
      </c>
      <c r="G720" s="8">
        <f t="shared" ca="1" si="98"/>
        <v>2.9551763292327615E-2</v>
      </c>
      <c r="H720" s="10">
        <f t="shared" ca="1" si="99"/>
        <v>4082.9714534667351</v>
      </c>
      <c r="I720" s="10">
        <f t="shared" ca="1" si="100"/>
        <v>556.6010802299794</v>
      </c>
      <c r="J720" s="10">
        <f t="shared" ca="1" si="101"/>
        <v>2302.0777427216449</v>
      </c>
      <c r="K720" s="12">
        <f t="array" aca="1" ref="K720:L720" ca="1">Opt3Spd(H720:J720,$E$3:$G$3,$K$3:$M$3,$N$3:$P$3,$H$3,$I$3,$Q$3,$J$3)</f>
        <v>216.38656935294193</v>
      </c>
      <c r="L720" s="12">
        <f ca="1"/>
        <v>1.5715614996452132E-2</v>
      </c>
      <c r="M720" s="12">
        <f t="array" aca="1" ref="M720:N720" ca="1">Opt3Spd(H720:J720,$E$3:$G$3,$K$3:$M$3,$N$3:$P$3,$H$4,$I$3,$Q$3,$J$3)</f>
        <v>0.17615305614579313</v>
      </c>
      <c r="N720" s="12">
        <f ca="1"/>
        <v>183.8052993182003</v>
      </c>
      <c r="O720" s="12">
        <f t="shared" ca="1" si="102"/>
        <v>0.19186867114224526</v>
      </c>
    </row>
    <row r="721" spans="2:15" x14ac:dyDescent="0.15">
      <c r="B721" s="6">
        <f t="shared" ca="1" si="95"/>
        <v>2.0248889737201936</v>
      </c>
      <c r="C721" s="6">
        <f t="shared" ca="1" si="95"/>
        <v>0.30120977758663026</v>
      </c>
      <c r="D721" s="6">
        <f t="shared" ca="1" si="95"/>
        <v>1.2239508306706814</v>
      </c>
      <c r="E721" s="8">
        <f t="shared" ca="1" si="96"/>
        <v>4.6103480394599841E-2</v>
      </c>
      <c r="F721" s="8">
        <f t="shared" ca="1" si="97"/>
        <v>8.2034613581841123E-2</v>
      </c>
      <c r="G721" s="8">
        <f t="shared" ca="1" si="98"/>
        <v>8.8304345953653274E-2</v>
      </c>
      <c r="H721" s="10">
        <f t="shared" ca="1" si="99"/>
        <v>4201.1515772647135</v>
      </c>
      <c r="I721" s="10">
        <f t="shared" ca="1" si="100"/>
        <v>588.62682978852149</v>
      </c>
      <c r="J721" s="10">
        <f t="shared" ca="1" si="101"/>
        <v>2433.4485175523687</v>
      </c>
      <c r="K721" s="12">
        <f t="array" aca="1" ref="K721:L721" ca="1">Opt3Spd(H721:J721,$E$3:$G$3,$K$3:$M$3,$N$3:$P$3,$H$3,$I$3,$Q$3,$J$3)</f>
        <v>217.64228396814815</v>
      </c>
      <c r="L721" s="12">
        <f ca="1"/>
        <v>1.7893141253352951E-2</v>
      </c>
      <c r="M721" s="12">
        <f t="array" aca="1" ref="M721:N721" ca="1">Opt3Spd(H721:J721,$E$3:$G$3,$K$3:$M$3,$N$3:$P$3,$H$4,$I$3,$Q$3,$J$3)</f>
        <v>0.20696238662526767</v>
      </c>
      <c r="N721" s="12">
        <f ca="1"/>
        <v>182.58257155973047</v>
      </c>
      <c r="O721" s="12">
        <f t="shared" ca="1" si="102"/>
        <v>0.22485552787862062</v>
      </c>
    </row>
    <row r="722" spans="2:15" x14ac:dyDescent="0.15">
      <c r="B722" s="6">
        <f t="shared" ca="1" si="95"/>
        <v>-0.45755693840022316</v>
      </c>
      <c r="C722" s="6">
        <f t="shared" ca="1" si="95"/>
        <v>0.72347554751739884</v>
      </c>
      <c r="D722" s="6">
        <f t="shared" ca="1" si="95"/>
        <v>0.52664324569389231</v>
      </c>
      <c r="E722" s="8">
        <f t="shared" ca="1" si="96"/>
        <v>-1.0417839008818068E-2</v>
      </c>
      <c r="F722" s="8">
        <f t="shared" ca="1" si="97"/>
        <v>-3.407805087952208E-4</v>
      </c>
      <c r="G722" s="8">
        <f t="shared" ca="1" si="98"/>
        <v>-9.0993102398568421E-3</v>
      </c>
      <c r="H722" s="10">
        <f t="shared" ca="1" si="99"/>
        <v>3974.1619585405865</v>
      </c>
      <c r="I722" s="10">
        <f t="shared" ca="1" si="100"/>
        <v>543.81461540321538</v>
      </c>
      <c r="J722" s="10">
        <f t="shared" ca="1" si="101"/>
        <v>2215.6539423036802</v>
      </c>
      <c r="K722" s="12">
        <f t="array" aca="1" ref="K722:L722" ca="1">Opt3Spd(H722:J722,$E$3:$G$3,$K$3:$M$3,$N$3:$P$3,$H$3,$I$3,$Q$3,$J$3)</f>
        <v>171.35606628338223</v>
      </c>
      <c r="L722" s="12">
        <f ca="1"/>
        <v>0.12446353978043589</v>
      </c>
      <c r="M722" s="12">
        <f t="array" aca="1" ref="M722:N722" ca="1">Opt3Spd(H722:J722,$E$3:$G$3,$K$3:$M$3,$N$3:$P$3,$H$4,$I$3,$Q$3,$J$3)</f>
        <v>1.971589385177408E-2</v>
      </c>
      <c r="N722" s="12">
        <f ca="1"/>
        <v>228.78811315024998</v>
      </c>
      <c r="O722" s="12">
        <f t="shared" ca="1" si="102"/>
        <v>0.14417943363220997</v>
      </c>
    </row>
    <row r="723" spans="2:15" x14ac:dyDescent="0.15">
      <c r="B723" s="6">
        <f t="shared" ca="1" si="95"/>
        <v>-2.0908900440963603</v>
      </c>
      <c r="C723" s="6">
        <f t="shared" ca="1" si="95"/>
        <v>0.16447410601574738</v>
      </c>
      <c r="D723" s="6">
        <f t="shared" ca="1" si="95"/>
        <v>-0.54354655632918403</v>
      </c>
      <c r="E723" s="8">
        <f t="shared" ca="1" si="96"/>
        <v>-4.7606219109463666E-2</v>
      </c>
      <c r="F723" s="8">
        <f t="shared" ca="1" si="97"/>
        <v>-7.377745278612452E-2</v>
      </c>
      <c r="G723" s="8">
        <f t="shared" ca="1" si="98"/>
        <v>-8.2128867454957052E-2</v>
      </c>
      <c r="H723" s="10">
        <f t="shared" ca="1" si="99"/>
        <v>3824.8134240563936</v>
      </c>
      <c r="I723" s="10">
        <f t="shared" ca="1" si="100"/>
        <v>503.86506568434822</v>
      </c>
      <c r="J723" s="10">
        <f t="shared" ca="1" si="101"/>
        <v>2052.359852370716</v>
      </c>
      <c r="K723" s="12">
        <f t="array" aca="1" ref="K723:L723" ca="1">Opt3Spd(H723:J723,$E$3:$G$3,$K$3:$M$3,$N$3:$P$3,$H$3,$I$3,$Q$3,$J$3)</f>
        <v>167.57565827122949</v>
      </c>
      <c r="L723" s="12">
        <f ca="1"/>
        <v>0.12626549515130137</v>
      </c>
      <c r="M723" s="12">
        <f t="array" aca="1" ref="M723:N723" ca="1">Opt3Spd(H723:J723,$E$3:$G$3,$K$3:$M$3,$N$3:$P$3,$H$4,$I$3,$Q$3,$J$3)</f>
        <v>1.3348979162637997E-2</v>
      </c>
      <c r="N723" s="12">
        <f ca="1"/>
        <v>232.56395620308444</v>
      </c>
      <c r="O723" s="12">
        <f t="shared" ca="1" si="102"/>
        <v>0.13961447431393936</v>
      </c>
    </row>
    <row r="724" spans="2:15" x14ac:dyDescent="0.15">
      <c r="B724" s="6">
        <f t="shared" ca="1" si="95"/>
        <v>-0.10791015640676527</v>
      </c>
      <c r="C724" s="6">
        <f t="shared" ca="1" si="95"/>
        <v>0.49603363267949391</v>
      </c>
      <c r="D724" s="6">
        <f t="shared" ca="1" si="95"/>
        <v>2.2102067238627137</v>
      </c>
      <c r="E724" s="8">
        <f t="shared" ca="1" si="96"/>
        <v>-2.4569415137548046E-3</v>
      </c>
      <c r="F724" s="8">
        <f t="shared" ca="1" si="97"/>
        <v>7.4003005218834916E-3</v>
      </c>
      <c r="G724" s="8">
        <f t="shared" ca="1" si="98"/>
        <v>2.1020979950824695E-2</v>
      </c>
      <c r="H724" s="10">
        <f t="shared" ca="1" si="99"/>
        <v>4006.1329228807608</v>
      </c>
      <c r="I724" s="10">
        <f t="shared" ca="1" si="100"/>
        <v>548.0257634839046</v>
      </c>
      <c r="J724" s="10">
        <f t="shared" ca="1" si="101"/>
        <v>2283.0029111700442</v>
      </c>
      <c r="K724" s="12">
        <f t="array" aca="1" ref="K724:L724" ca="1">Opt3Spd(H724:J724,$E$3:$G$3,$K$3:$M$3,$N$3:$P$3,$H$3,$I$3,$Q$3,$J$3)</f>
        <v>162.98104761910122</v>
      </c>
      <c r="L724" s="12">
        <f ca="1"/>
        <v>0.19080189760984467</v>
      </c>
      <c r="M724" s="12">
        <f t="array" aca="1" ref="M724:N724" ca="1">Opt3Spd(H724:J724,$E$3:$G$3,$K$3:$M$3,$N$3:$P$3,$H$4,$I$3,$Q$3,$J$3)</f>
        <v>1.3731711884990894E-2</v>
      </c>
      <c r="N724" s="12">
        <f ca="1"/>
        <v>237.22348599039361</v>
      </c>
      <c r="O724" s="12">
        <f t="shared" ca="1" si="102"/>
        <v>0.20453360949483557</v>
      </c>
    </row>
    <row r="725" spans="2:15" x14ac:dyDescent="0.15">
      <c r="B725" s="6">
        <f t="shared" ca="1" si="95"/>
        <v>-0.33771741778713182</v>
      </c>
      <c r="C725" s="6">
        <f t="shared" ca="1" si="95"/>
        <v>-1.0030974376177857</v>
      </c>
      <c r="D725" s="6">
        <f t="shared" ca="1" si="95"/>
        <v>1.1788093715627401</v>
      </c>
      <c r="E725" s="8">
        <f t="shared" ca="1" si="96"/>
        <v>-7.6892849691695877E-3</v>
      </c>
      <c r="F725" s="8">
        <f t="shared" ca="1" si="97"/>
        <v>-3.5586829321600608E-2</v>
      </c>
      <c r="G725" s="8">
        <f t="shared" ca="1" si="98"/>
        <v>-2.7612310546290394E-3</v>
      </c>
      <c r="H725" s="10">
        <f t="shared" ca="1" si="99"/>
        <v>3985.1198315638153</v>
      </c>
      <c r="I725" s="10">
        <f t="shared" ca="1" si="100"/>
        <v>524.64076484904922</v>
      </c>
      <c r="J725" s="10">
        <f t="shared" ca="1" si="101"/>
        <v>2229.8258873618497</v>
      </c>
      <c r="K725" s="12">
        <f t="array" aca="1" ref="K725:L725" ca="1">Opt3Spd(H725:J725,$E$3:$G$3,$K$3:$M$3,$N$3:$P$3,$H$3,$I$3,$Q$3,$J$3)</f>
        <v>205.80582052624254</v>
      </c>
      <c r="L725" s="12">
        <f ca="1"/>
        <v>2.4156401830850882E-2</v>
      </c>
      <c r="M725" s="12">
        <f t="array" aca="1" ref="M725:N725" ca="1">Opt3Spd(H725:J725,$E$3:$G$3,$K$3:$M$3,$N$3:$P$3,$H$4,$I$3,$Q$3,$J$3)</f>
        <v>0.10430373371977986</v>
      </c>
      <c r="N725" s="12">
        <f ca="1"/>
        <v>194.32263960930808</v>
      </c>
      <c r="O725" s="12">
        <f t="shared" ca="1" si="102"/>
        <v>0.12846013555063074</v>
      </c>
    </row>
    <row r="726" spans="2:15" x14ac:dyDescent="0.15">
      <c r="B726" s="6">
        <f t="shared" ca="1" si="95"/>
        <v>0.12784290235245158</v>
      </c>
      <c r="C726" s="6">
        <f t="shared" ca="1" si="95"/>
        <v>-0.89561088001723499</v>
      </c>
      <c r="D726" s="6">
        <f t="shared" ca="1" si="95"/>
        <v>0.10776194187698701</v>
      </c>
      <c r="E726" s="8">
        <f t="shared" ca="1" si="96"/>
        <v>2.9107782296657653E-3</v>
      </c>
      <c r="F726" s="8">
        <f t="shared" ca="1" si="97"/>
        <v>-1.584660527327621E-2</v>
      </c>
      <c r="G726" s="8">
        <f t="shared" ca="1" si="98"/>
        <v>3.244801843283135E-3</v>
      </c>
      <c r="H726" s="10">
        <f t="shared" ca="1" si="99"/>
        <v>4027.6896853703379</v>
      </c>
      <c r="I726" s="10">
        <f t="shared" ca="1" si="100"/>
        <v>535.37944673133779</v>
      </c>
      <c r="J726" s="10">
        <f t="shared" ca="1" si="101"/>
        <v>2243.255376921581</v>
      </c>
      <c r="K726" s="12">
        <f t="array" aca="1" ref="K726:L726" ca="1">Opt3Spd(H726:J726,$E$3:$G$3,$K$3:$M$3,$N$3:$P$3,$H$3,$I$3,$Q$3,$J$3)</f>
        <v>224.46428988745743</v>
      </c>
      <c r="L726" s="12">
        <f ca="1"/>
        <v>9.4077480505347921E-3</v>
      </c>
      <c r="M726" s="12">
        <f t="array" aca="1" ref="M726:N726" ca="1">Opt3Spd(H726:J726,$E$3:$G$3,$K$3:$M$3,$N$3:$P$3,$H$4,$I$3,$Q$3,$J$3)</f>
        <v>0.2354339873318132</v>
      </c>
      <c r="N726" s="12">
        <f ca="1"/>
        <v>175.78055184792493</v>
      </c>
      <c r="O726" s="12">
        <f t="shared" ca="1" si="102"/>
        <v>0.24484173538234799</v>
      </c>
    </row>
    <row r="727" spans="2:15" x14ac:dyDescent="0.15">
      <c r="B727" s="6">
        <f t="shared" ca="1" si="95"/>
        <v>-1.140853435935842</v>
      </c>
      <c r="C727" s="6">
        <f t="shared" ca="1" si="95"/>
        <v>-0.12868167409232906</v>
      </c>
      <c r="D727" s="6">
        <f t="shared" ca="1" si="95"/>
        <v>0.98693899403909735</v>
      </c>
      <c r="E727" s="8">
        <f t="shared" ca="1" si="96"/>
        <v>-2.5975406404701001E-2</v>
      </c>
      <c r="F727" s="8">
        <f t="shared" ca="1" si="97"/>
        <v>-4.5276464562385321E-2</v>
      </c>
      <c r="G727" s="8">
        <f t="shared" ca="1" si="98"/>
        <v>-3.1772744342868496E-2</v>
      </c>
      <c r="H727" s="10">
        <f t="shared" ca="1" si="99"/>
        <v>3911.6827678787208</v>
      </c>
      <c r="I727" s="10">
        <f t="shared" ca="1" si="100"/>
        <v>519.36960327806241</v>
      </c>
      <c r="J727" s="10">
        <f t="shared" ca="1" si="101"/>
        <v>2164.9561436493459</v>
      </c>
      <c r="K727" s="12">
        <f t="array" aca="1" ref="K727:L727" ca="1">Opt3Spd(H727:J727,$E$3:$G$3,$K$3:$M$3,$N$3:$P$3,$H$3,$I$3,$Q$3,$J$3)</f>
        <v>173.3208561156514</v>
      </c>
      <c r="L727" s="12">
        <f ca="1"/>
        <v>0.1075253065034758</v>
      </c>
      <c r="M727" s="12">
        <f t="array" aca="1" ref="M727:N727" ca="1">Opt3Spd(H727:J727,$E$3:$G$3,$K$3:$M$3,$N$3:$P$3,$H$4,$I$3,$Q$3,$J$3)</f>
        <v>2.0497501823321773E-2</v>
      </c>
      <c r="N727" s="12">
        <f ca="1"/>
        <v>226.80716669267539</v>
      </c>
      <c r="O727" s="12">
        <f t="shared" ca="1" si="102"/>
        <v>0.12802280832679758</v>
      </c>
    </row>
    <row r="728" spans="2:15" x14ac:dyDescent="0.15">
      <c r="B728" s="6">
        <f t="shared" ca="1" si="95"/>
        <v>-0.69828287737477035</v>
      </c>
      <c r="C728" s="6">
        <f t="shared" ca="1" si="95"/>
        <v>-0.75194120406158105</v>
      </c>
      <c r="D728" s="6">
        <f t="shared" ca="1" si="95"/>
        <v>-1.2896192084835554</v>
      </c>
      <c r="E728" s="8">
        <f t="shared" ca="1" si="96"/>
        <v>-1.5898783273922391E-2</v>
      </c>
      <c r="F728" s="8">
        <f t="shared" ca="1" si="97"/>
        <v>-4.3187765957089008E-2</v>
      </c>
      <c r="G728" s="8">
        <f t="shared" ca="1" si="98"/>
        <v>-4.1575024336215696E-2</v>
      </c>
      <c r="H728" s="10">
        <f t="shared" ca="1" si="99"/>
        <v>3952.1504863719279</v>
      </c>
      <c r="I728" s="10">
        <f t="shared" ca="1" si="100"/>
        <v>520.5058553193436</v>
      </c>
      <c r="J728" s="10">
        <f t="shared" ca="1" si="101"/>
        <v>2143.0382455842214</v>
      </c>
      <c r="K728" s="12">
        <f t="array" aca="1" ref="K728:L728" ca="1">Opt3Spd(H728:J728,$E$3:$G$3,$K$3:$M$3,$N$3:$P$3,$H$3,$I$3,$Q$3,$J$3)</f>
        <v>222.83095801048194</v>
      </c>
      <c r="L728" s="12">
        <f ca="1"/>
        <v>8.9629416145271534E-3</v>
      </c>
      <c r="M728" s="12">
        <f t="array" aca="1" ref="M728:N728" ca="1">Opt3Spd(H728:J728,$E$3:$G$3,$K$3:$M$3,$N$3:$P$3,$H$4,$I$3,$Q$3,$J$3)</f>
        <v>0.20483929194752548</v>
      </c>
      <c r="N728" s="12">
        <f ca="1"/>
        <v>177.38284422308013</v>
      </c>
      <c r="O728" s="12">
        <f t="shared" ca="1" si="102"/>
        <v>0.21380223356205263</v>
      </c>
    </row>
    <row r="729" spans="2:15" x14ac:dyDescent="0.15">
      <c r="B729" s="6">
        <f t="shared" ca="1" si="95"/>
        <v>-1.4757102126519108</v>
      </c>
      <c r="C729" s="6">
        <f t="shared" ca="1" si="95"/>
        <v>-0.29915701265712752</v>
      </c>
      <c r="D729" s="6">
        <f t="shared" ca="1" si="95"/>
        <v>6.3782356485769812E-2</v>
      </c>
      <c r="E729" s="8">
        <f t="shared" ca="1" si="96"/>
        <v>-3.3599559156130554E-2</v>
      </c>
      <c r="F729" s="8">
        <f t="shared" ca="1" si="97"/>
        <v>-6.1616451916824355E-2</v>
      </c>
      <c r="G729" s="8">
        <f t="shared" ca="1" si="98"/>
        <v>-5.4404160573491546E-2</v>
      </c>
      <c r="H729" s="10">
        <f t="shared" ca="1" si="99"/>
        <v>3881.0641704289797</v>
      </c>
      <c r="I729" s="10">
        <f t="shared" ca="1" si="100"/>
        <v>510.48065015724757</v>
      </c>
      <c r="J729" s="10">
        <f t="shared" ca="1" si="101"/>
        <v>2114.3522969576729</v>
      </c>
      <c r="K729" s="12">
        <f t="array" aca="1" ref="K729:L729" ca="1">Opt3Spd(H729:J729,$E$3:$G$3,$K$3:$M$3,$N$3:$P$3,$H$3,$I$3,$Q$3,$J$3)</f>
        <v>182.18671990649068</v>
      </c>
      <c r="L729" s="12">
        <f ca="1"/>
        <v>6.7738207943421003E-2</v>
      </c>
      <c r="M729" s="12">
        <f t="array" aca="1" ref="M729:N729" ca="1">Opt3Spd(H729:J729,$E$3:$G$3,$K$3:$M$3,$N$3:$P$3,$H$4,$I$3,$Q$3,$J$3)</f>
        <v>3.056694421209194E-2</v>
      </c>
      <c r="N729" s="12">
        <f ca="1"/>
        <v>217.91158524566484</v>
      </c>
      <c r="O729" s="12">
        <f t="shared" ca="1" si="102"/>
        <v>9.8305152155512943E-2</v>
      </c>
    </row>
    <row r="730" spans="2:15" x14ac:dyDescent="0.15">
      <c r="B730" s="6">
        <f t="shared" ca="1" si="95"/>
        <v>4.7975818407019692E-2</v>
      </c>
      <c r="C730" s="6">
        <f t="shared" ca="1" si="95"/>
        <v>-0.40790856376017115</v>
      </c>
      <c r="D730" s="6">
        <f t="shared" ca="1" si="95"/>
        <v>0.14917482323617795</v>
      </c>
      <c r="E730" s="8">
        <f t="shared" ca="1" si="96"/>
        <v>1.0923325831930558E-3</v>
      </c>
      <c r="F730" s="8">
        <f t="shared" ca="1" si="97"/>
        <v>-7.597613011224821E-3</v>
      </c>
      <c r="G730" s="8">
        <f t="shared" ca="1" si="98"/>
        <v>2.1675743655744546E-3</v>
      </c>
      <c r="H730" s="10">
        <f t="shared" ca="1" si="99"/>
        <v>4020.3868076541034</v>
      </c>
      <c r="I730" s="10">
        <f t="shared" ca="1" si="100"/>
        <v>539.86689852189363</v>
      </c>
      <c r="J730" s="10">
        <f t="shared" ca="1" si="101"/>
        <v>2240.8466962814246</v>
      </c>
      <c r="K730" s="12">
        <f t="array" aca="1" ref="K730:L730" ca="1">Opt3Spd(H730:J730,$E$3:$G$3,$K$3:$M$3,$N$3:$P$3,$H$3,$I$3,$Q$3,$J$3)</f>
        <v>211.19522566041496</v>
      </c>
      <c r="L730" s="12">
        <f ca="1"/>
        <v>1.8803782053510076E-2</v>
      </c>
      <c r="M730" s="12">
        <f t="array" aca="1" ref="M730:N730" ca="1">Opt3Spd(H730:J730,$E$3:$G$3,$K$3:$M$3,$N$3:$P$3,$H$4,$I$3,$Q$3,$J$3)</f>
        <v>0.13395923912661445</v>
      </c>
      <c r="N730" s="12">
        <f ca="1"/>
        <v>188.95753736076517</v>
      </c>
      <c r="O730" s="12">
        <f t="shared" ca="1" si="102"/>
        <v>0.15276302118012453</v>
      </c>
    </row>
    <row r="731" spans="2:15" x14ac:dyDescent="0.15">
      <c r="B731" s="6">
        <f t="shared" ca="1" si="95"/>
        <v>0.21390772156833276</v>
      </c>
      <c r="C731" s="6">
        <f t="shared" ca="1" si="95"/>
        <v>1.086254375342806</v>
      </c>
      <c r="D731" s="6">
        <f t="shared" ca="1" si="95"/>
        <v>-0.21819469553628487</v>
      </c>
      <c r="E731" s="8">
        <f t="shared" ca="1" si="96"/>
        <v>4.8703363866220064E-3</v>
      </c>
      <c r="F731" s="8">
        <f t="shared" ca="1" si="97"/>
        <v>3.2905945279562657E-2</v>
      </c>
      <c r="G731" s="8">
        <f t="shared" ca="1" si="98"/>
        <v>8.6875467062831266E-3</v>
      </c>
      <c r="H731" s="10">
        <f t="shared" ca="1" si="99"/>
        <v>4035.5592709286743</v>
      </c>
      <c r="I731" s="10">
        <f t="shared" ca="1" si="100"/>
        <v>561.90083423208205</v>
      </c>
      <c r="J731" s="10">
        <f t="shared" ca="1" si="101"/>
        <v>2255.4253544352487</v>
      </c>
      <c r="K731" s="12">
        <f t="array" aca="1" ref="K731:L731" ca="1">Opt3Spd(H731:J731,$E$3:$G$3,$K$3:$M$3,$N$3:$P$3,$H$3,$I$3,$Q$3,$J$3)</f>
        <v>183.87901922221818</v>
      </c>
      <c r="L731" s="12">
        <f ca="1"/>
        <v>7.3760282499733876E-2</v>
      </c>
      <c r="M731" s="12">
        <f t="array" aca="1" ref="M731:N731" ca="1">Opt3Spd(H731:J731,$E$3:$G$3,$K$3:$M$3,$N$3:$P$3,$H$4,$I$3,$Q$3,$J$3)</f>
        <v>3.8831076909790596E-2</v>
      </c>
      <c r="N731" s="12">
        <f ca="1"/>
        <v>216.23357213719135</v>
      </c>
      <c r="O731" s="12">
        <f t="shared" ca="1" si="102"/>
        <v>0.11259135940952447</v>
      </c>
    </row>
    <row r="732" spans="2:15" x14ac:dyDescent="0.15">
      <c r="B732" s="6">
        <f t="shared" ca="1" si="95"/>
        <v>0.96480145488322622</v>
      </c>
      <c r="C732" s="6">
        <f t="shared" ca="1" si="95"/>
        <v>-0.48671854389268315</v>
      </c>
      <c r="D732" s="6">
        <f t="shared" ca="1" si="95"/>
        <v>-0.49104661407779893</v>
      </c>
      <c r="E732" s="8">
        <f t="shared" ca="1" si="96"/>
        <v>2.1966984628381273E-2</v>
      </c>
      <c r="F732" s="8">
        <f t="shared" ca="1" si="97"/>
        <v>2.4598951277476789E-2</v>
      </c>
      <c r="G732" s="8">
        <f t="shared" ca="1" si="98"/>
        <v>2.8801160427283996E-2</v>
      </c>
      <c r="H732" s="10">
        <f t="shared" ca="1" si="99"/>
        <v>4104.2194102675785</v>
      </c>
      <c r="I732" s="10">
        <f t="shared" ca="1" si="100"/>
        <v>557.38182949494728</v>
      </c>
      <c r="J732" s="10">
        <f t="shared" ca="1" si="101"/>
        <v>2300.3993947154072</v>
      </c>
      <c r="K732" s="12">
        <f t="array" aca="1" ref="K732:L732" ca="1">Opt3Spd(H732:J732,$E$3:$G$3,$K$3:$M$3,$N$3:$P$3,$H$3,$I$3,$Q$3,$J$3)</f>
        <v>237.21399086231872</v>
      </c>
      <c r="L732" s="12">
        <f ca="1"/>
        <v>5.2051443592517899E-3</v>
      </c>
      <c r="M732" s="12">
        <f t="array" aca="1" ref="M732:N732" ca="1">Opt3Spd(H732:J732,$E$3:$G$3,$K$3:$M$3,$N$3:$P$3,$H$4,$I$3,$Q$3,$J$3)</f>
        <v>0.40837826395116394</v>
      </c>
      <c r="N732" s="12">
        <f ca="1"/>
        <v>163.19959254599169</v>
      </c>
      <c r="O732" s="12">
        <f t="shared" ca="1" si="102"/>
        <v>0.41358340831041573</v>
      </c>
    </row>
    <row r="733" spans="2:15" x14ac:dyDescent="0.15">
      <c r="B733" s="6">
        <f t="shared" ca="1" si="95"/>
        <v>5.2834608616289663E-2</v>
      </c>
      <c r="C733" s="6">
        <f t="shared" ca="1" si="95"/>
        <v>-0.9371111943664916</v>
      </c>
      <c r="D733" s="6">
        <f t="shared" ca="1" si="95"/>
        <v>1.1218540033498974</v>
      </c>
      <c r="E733" s="8">
        <f t="shared" ca="1" si="96"/>
        <v>1.2029594580794346E-3</v>
      </c>
      <c r="F733" s="8">
        <f t="shared" ca="1" si="97"/>
        <v>-1.9582956545697063E-2</v>
      </c>
      <c r="G733" s="8">
        <f t="shared" ca="1" si="98"/>
        <v>1.1171822781273974E-2</v>
      </c>
      <c r="H733" s="10">
        <f t="shared" ca="1" si="99"/>
        <v>4020.8310851836468</v>
      </c>
      <c r="I733" s="10">
        <f t="shared" ca="1" si="100"/>
        <v>533.34687163914077</v>
      </c>
      <c r="J733" s="10">
        <f t="shared" ca="1" si="101"/>
        <v>2260.9801957389286</v>
      </c>
      <c r="K733" s="12">
        <f t="array" aca="1" ref="K733:L733" ca="1">Opt3Spd(H733:J733,$E$3:$G$3,$K$3:$M$3,$N$3:$P$3,$H$3,$I$3,$Q$3,$J$3)</f>
        <v>212.00436762214918</v>
      </c>
      <c r="L733" s="12">
        <f ca="1"/>
        <v>1.8374930592017336E-2</v>
      </c>
      <c r="M733" s="12">
        <f t="array" aca="1" ref="M733:N733" ca="1">Opt3Spd(H733:J733,$E$3:$G$3,$K$3:$M$3,$N$3:$P$3,$H$4,$I$3,$Q$3,$J$3)</f>
        <v>0.14068735341717264</v>
      </c>
      <c r="N733" s="12">
        <f ca="1"/>
        <v>188.15469466186002</v>
      </c>
      <c r="O733" s="12">
        <f t="shared" ca="1" si="102"/>
        <v>0.15906228400918998</v>
      </c>
    </row>
    <row r="734" spans="2:15" x14ac:dyDescent="0.15">
      <c r="B734" s="6">
        <f t="shared" ca="1" si="95"/>
        <v>-0.28761738056601199</v>
      </c>
      <c r="C734" s="6">
        <f t="shared" ca="1" si="95"/>
        <v>-0.77291311035171517</v>
      </c>
      <c r="D734" s="6">
        <f t="shared" ca="1" si="95"/>
        <v>1.603744687066029</v>
      </c>
      <c r="E734" s="8">
        <f t="shared" ca="1" si="96"/>
        <v>-6.5485873241283368E-3</v>
      </c>
      <c r="F734" s="8">
        <f t="shared" ca="1" si="97"/>
        <v>-2.8436850996309212E-2</v>
      </c>
      <c r="G734" s="8">
        <f t="shared" ca="1" si="98"/>
        <v>4.2744402640514422E-3</v>
      </c>
      <c r="H734" s="10">
        <f t="shared" ca="1" si="99"/>
        <v>3989.7008733063008</v>
      </c>
      <c r="I734" s="10">
        <f t="shared" ca="1" si="100"/>
        <v>528.53035305800779</v>
      </c>
      <c r="J734" s="10">
        <f t="shared" ca="1" si="101"/>
        <v>2245.5576484304192</v>
      </c>
      <c r="K734" s="12">
        <f t="array" aca="1" ref="K734:L734" ca="1">Opt3Spd(H734:J734,$E$3:$G$3,$K$3:$M$3,$N$3:$P$3,$H$3,$I$3,$Q$3,$J$3)</f>
        <v>196.31288523470107</v>
      </c>
      <c r="L734" s="12">
        <f ca="1"/>
        <v>3.9401036422304969E-2</v>
      </c>
      <c r="M734" s="12">
        <f t="array" aca="1" ref="M734:N734" ca="1">Opt3Spd(H734:J734,$E$3:$G$3,$K$3:$M$3,$N$3:$P$3,$H$4,$I$3,$Q$3,$J$3)</f>
        <v>6.8590687246945059E-2</v>
      </c>
      <c r="N734" s="12">
        <f ca="1"/>
        <v>203.79510648896817</v>
      </c>
      <c r="O734" s="12">
        <f t="shared" ca="1" si="102"/>
        <v>0.10799172366925003</v>
      </c>
    </row>
    <row r="735" spans="2:15" x14ac:dyDescent="0.15">
      <c r="B735" s="6">
        <f t="shared" ca="1" si="95"/>
        <v>1.3089192174591635</v>
      </c>
      <c r="C735" s="6">
        <f t="shared" ca="1" si="95"/>
        <v>-6.7435356882834363E-2</v>
      </c>
      <c r="D735" s="6">
        <f t="shared" ca="1" si="95"/>
        <v>-0.88444753552306055</v>
      </c>
      <c r="E735" s="8">
        <f t="shared" ca="1" si="96"/>
        <v>2.9801995202420568E-2</v>
      </c>
      <c r="F735" s="8">
        <f t="shared" ca="1" si="97"/>
        <v>4.7002179676216109E-2</v>
      </c>
      <c r="G735" s="8">
        <f t="shared" ca="1" si="98"/>
        <v>3.8469732892785602E-2</v>
      </c>
      <c r="H735" s="10">
        <f t="shared" ca="1" si="99"/>
        <v>4135.6848127329213</v>
      </c>
      <c r="I735" s="10">
        <f t="shared" ca="1" si="100"/>
        <v>569.56918574386157</v>
      </c>
      <c r="J735" s="10">
        <f t="shared" ca="1" si="101"/>
        <v>2322.0183227482689</v>
      </c>
      <c r="K735" s="12">
        <f t="array" aca="1" ref="K735:L735" ca="1">Opt3Spd(H735:J735,$E$3:$G$3,$K$3:$M$3,$N$3:$P$3,$H$3,$I$3,$Q$3,$J$3)</f>
        <v>238.37006305948012</v>
      </c>
      <c r="L735" s="12">
        <f ca="1"/>
        <v>5.1088908719520987E-3</v>
      </c>
      <c r="M735" s="12">
        <f t="array" aca="1" ref="M735:N735" ca="1">Opt3Spd(H735:J735,$E$3:$G$3,$K$3:$M$3,$N$3:$P$3,$H$4,$I$3,$Q$3,$J$3)</f>
        <v>0.43410464233555501</v>
      </c>
      <c r="N735" s="12">
        <f ca="1"/>
        <v>162.0691504737274</v>
      </c>
      <c r="O735" s="12">
        <f t="shared" ca="1" si="102"/>
        <v>0.43921353320750711</v>
      </c>
    </row>
    <row r="736" spans="2:15" x14ac:dyDescent="0.15">
      <c r="B736" s="6">
        <f t="shared" ca="1" si="95"/>
        <v>-1.7876571807233046</v>
      </c>
      <c r="C736" s="6">
        <f t="shared" ca="1" si="95"/>
        <v>4.362755867242181E-2</v>
      </c>
      <c r="D736" s="6">
        <f t="shared" ca="1" si="95"/>
        <v>-0.89505161907878361</v>
      </c>
      <c r="E736" s="8">
        <f t="shared" ca="1" si="96"/>
        <v>-4.0702092239814434E-2</v>
      </c>
      <c r="F736" s="8">
        <f t="shared" ca="1" si="97"/>
        <v>-6.5307559933648701E-2</v>
      </c>
      <c r="G736" s="8">
        <f t="shared" ca="1" si="98"/>
        <v>-7.5084001734266659E-2</v>
      </c>
      <c r="H736" s="10">
        <f t="shared" ca="1" si="99"/>
        <v>3852.5403975649051</v>
      </c>
      <c r="I736" s="10">
        <f t="shared" ca="1" si="100"/>
        <v>508.47268739609513</v>
      </c>
      <c r="J736" s="10">
        <f t="shared" ca="1" si="101"/>
        <v>2068.1121721221798</v>
      </c>
      <c r="K736" s="12">
        <f t="array" aca="1" ref="K736:L736" ca="1">Opt3Spd(H736:J736,$E$3:$G$3,$K$3:$M$3,$N$3:$P$3,$H$3,$I$3,$Q$3,$J$3)</f>
        <v>179.9999489300817</v>
      </c>
      <c r="L736" s="12">
        <f ca="1"/>
        <v>7.193726001878531E-2</v>
      </c>
      <c r="M736" s="12">
        <f t="array" aca="1" ref="M736:N736" ca="1">Opt3Spd(H736:J736,$E$3:$G$3,$K$3:$M$3,$N$3:$P$3,$H$4,$I$3,$Q$3,$J$3)</f>
        <v>2.6114585970664184E-2</v>
      </c>
      <c r="N736" s="12">
        <f ca="1"/>
        <v>220.09810291590776</v>
      </c>
      <c r="O736" s="12">
        <f t="shared" ca="1" si="102"/>
        <v>9.8051845989449493E-2</v>
      </c>
    </row>
    <row r="737" spans="2:15" x14ac:dyDescent="0.15">
      <c r="B737" s="6">
        <f t="shared" ca="1" si="95"/>
        <v>-0.30941872164184014</v>
      </c>
      <c r="C737" s="6">
        <f t="shared" ca="1" si="95"/>
        <v>8.7163090085804404E-2</v>
      </c>
      <c r="D737" s="6">
        <f t="shared" ca="1" si="95"/>
        <v>-0.45239412355685787</v>
      </c>
      <c r="E737" s="8">
        <f t="shared" ca="1" si="96"/>
        <v>-7.044968959818116E-3</v>
      </c>
      <c r="F737" s="8">
        <f t="shared" ca="1" si="97"/>
        <v>-9.4736801513187578E-3</v>
      </c>
      <c r="G737" s="8">
        <f t="shared" ca="1" si="98"/>
        <v>-1.5933887935549933E-2</v>
      </c>
      <c r="H737" s="10">
        <f t="shared" ca="1" si="99"/>
        <v>3987.7074046573707</v>
      </c>
      <c r="I737" s="10">
        <f t="shared" ca="1" si="100"/>
        <v>538.8463179976826</v>
      </c>
      <c r="J737" s="10">
        <f t="shared" ca="1" si="101"/>
        <v>2200.3718265761104</v>
      </c>
      <c r="K737" s="12">
        <f t="array" aca="1" ref="K737:L737" ca="1">Opt3Spd(H737:J737,$E$3:$G$3,$K$3:$M$3,$N$3:$P$3,$H$3,$I$3,$Q$3,$J$3)</f>
        <v>200.39833255871372</v>
      </c>
      <c r="L737" s="12">
        <f ca="1"/>
        <v>3.0949985690540416E-2</v>
      </c>
      <c r="M737" s="12">
        <f t="array" aca="1" ref="M737:N737" ca="1">Opt3Spd(H737:J737,$E$3:$G$3,$K$3:$M$3,$N$3:$P$3,$H$4,$I$3,$Q$3,$J$3)</f>
        <v>7.9921511544489121E-2</v>
      </c>
      <c r="N737" s="12">
        <f ca="1"/>
        <v>199.71253893852131</v>
      </c>
      <c r="O737" s="12">
        <f t="shared" ca="1" si="102"/>
        <v>0.11087149723502954</v>
      </c>
    </row>
    <row r="738" spans="2:15" x14ac:dyDescent="0.15">
      <c r="B738" s="6">
        <f t="shared" ca="1" si="95"/>
        <v>0.5427049092439864</v>
      </c>
      <c r="C738" s="6">
        <f t="shared" ca="1" si="95"/>
        <v>-0.3211399395874327</v>
      </c>
      <c r="D738" s="6">
        <f t="shared" ca="1" si="95"/>
        <v>-0.61588843914906011</v>
      </c>
      <c r="E738" s="8">
        <f t="shared" ca="1" si="96"/>
        <v>1.2356521996074954E-2</v>
      </c>
      <c r="F738" s="8">
        <f t="shared" ca="1" si="97"/>
        <v>1.2748309174472335E-2</v>
      </c>
      <c r="G738" s="8">
        <f t="shared" ca="1" si="98"/>
        <v>1.2444742879301397E-2</v>
      </c>
      <c r="H738" s="10">
        <f t="shared" ca="1" si="99"/>
        <v>4065.6237923362364</v>
      </c>
      <c r="I738" s="10">
        <f t="shared" ca="1" si="100"/>
        <v>550.93508019091291</v>
      </c>
      <c r="J738" s="10">
        <f t="shared" ca="1" si="101"/>
        <v>2263.8264450781176</v>
      </c>
      <c r="K738" s="12">
        <f t="array" aca="1" ref="K738:L738" ca="1">Opt3Spd(H738:J738,$E$3:$G$3,$K$3:$M$3,$N$3:$P$3,$H$3,$I$3,$Q$3,$J$3)</f>
        <v>227.22289304329161</v>
      </c>
      <c r="L738" s="12">
        <f ca="1"/>
        <v>8.4515515750354098E-3</v>
      </c>
      <c r="M738" s="12">
        <f t="array" aca="1" ref="M738:N738" ca="1">Opt3Spd(H738:J738,$E$3:$G$3,$K$3:$M$3,$N$3:$P$3,$H$4,$I$3,$Q$3,$J$3)</f>
        <v>0.26818628677824208</v>
      </c>
      <c r="N738" s="12">
        <f ca="1"/>
        <v>173.05374479506168</v>
      </c>
      <c r="O738" s="12">
        <f t="shared" ca="1" si="102"/>
        <v>0.27663783835327749</v>
      </c>
    </row>
    <row r="739" spans="2:15" x14ac:dyDescent="0.15">
      <c r="B739" s="6">
        <f t="shared" ca="1" si="95"/>
        <v>-0.19127100956358831</v>
      </c>
      <c r="C739" s="6">
        <f t="shared" ca="1" si="95"/>
        <v>-1.1331580809439843</v>
      </c>
      <c r="D739" s="6">
        <f t="shared" ca="1" si="95"/>
        <v>0.79194582152769433</v>
      </c>
      <c r="E739" s="8">
        <f t="shared" ca="1" si="96"/>
        <v>-4.3549346921816718E-3</v>
      </c>
      <c r="F739" s="8">
        <f t="shared" ca="1" si="97"/>
        <v>-3.3144515720334014E-2</v>
      </c>
      <c r="G739" s="8">
        <f t="shared" ca="1" si="98"/>
        <v>-1.8798688672841792E-3</v>
      </c>
      <c r="H739" s="10">
        <f t="shared" ca="1" si="99"/>
        <v>3998.5105822761984</v>
      </c>
      <c r="I739" s="10">
        <f t="shared" ca="1" si="100"/>
        <v>525.96938344813827</v>
      </c>
      <c r="J739" s="10">
        <f t="shared" ca="1" si="101"/>
        <v>2231.7966132127526</v>
      </c>
      <c r="K739" s="12">
        <f t="array" aca="1" ref="K739:L739" ca="1">Opt3Spd(H739:J739,$E$3:$G$3,$K$3:$M$3,$N$3:$P$3,$H$3,$I$3,$Q$3,$J$3)</f>
        <v>216.07558906634426</v>
      </c>
      <c r="L739" s="12">
        <f ca="1"/>
        <v>1.4326913543300179E-2</v>
      </c>
      <c r="M739" s="12">
        <f t="array" aca="1" ref="M739:N739" ca="1">Opt3Spd(H739:J739,$E$3:$G$3,$K$3:$M$3,$N$3:$P$3,$H$4,$I$3,$Q$3,$J$3)</f>
        <v>0.16385932905889966</v>
      </c>
      <c r="N739" s="12">
        <f ca="1"/>
        <v>184.10259717625794</v>
      </c>
      <c r="O739" s="12">
        <f t="shared" ca="1" si="102"/>
        <v>0.17818624260219984</v>
      </c>
    </row>
    <row r="740" spans="2:15" x14ac:dyDescent="0.15">
      <c r="B740" s="6">
        <f t="shared" ca="1" si="95"/>
        <v>-1.3918151289841207</v>
      </c>
      <c r="C740" s="6">
        <f t="shared" ca="1" si="95"/>
        <v>-0.65482093998586222</v>
      </c>
      <c r="D740" s="6">
        <f t="shared" ca="1" si="95"/>
        <v>1.6682437526971534</v>
      </c>
      <c r="E740" s="8">
        <f t="shared" ca="1" si="96"/>
        <v>-3.1689402404190166E-2</v>
      </c>
      <c r="F740" s="8">
        <f t="shared" ca="1" si="97"/>
        <v>-6.6680667378806041E-2</v>
      </c>
      <c r="G740" s="8">
        <f t="shared" ca="1" si="98"/>
        <v>-3.5262059159398937E-2</v>
      </c>
      <c r="H740" s="10">
        <f t="shared" ca="1" si="99"/>
        <v>3888.7353599447724</v>
      </c>
      <c r="I740" s="10">
        <f t="shared" ca="1" si="100"/>
        <v>507.72571694592949</v>
      </c>
      <c r="J740" s="10">
        <f t="shared" ca="1" si="101"/>
        <v>2157.154035719584</v>
      </c>
      <c r="K740" s="12">
        <f t="array" aca="1" ref="K740:L740" ca="1">Opt3Spd(H740:J740,$E$3:$G$3,$K$3:$M$3,$N$3:$P$3,$H$3,$I$3,$Q$3,$J$3)</f>
        <v>172.90554443187079</v>
      </c>
      <c r="L740" s="12">
        <f ca="1"/>
        <v>0.10834946037766713</v>
      </c>
      <c r="M740" s="12">
        <f t="array" aca="1" ref="M740:N740" ca="1">Opt3Spd(H740:J740,$E$3:$G$3,$K$3:$M$3,$N$3:$P$3,$H$4,$I$3,$Q$3,$J$3)</f>
        <v>1.985218719569426E-2</v>
      </c>
      <c r="N740" s="12">
        <f ca="1"/>
        <v>227.22265721570255</v>
      </c>
      <c r="O740" s="12">
        <f t="shared" ca="1" si="102"/>
        <v>0.12820164757336139</v>
      </c>
    </row>
    <row r="741" spans="2:15" x14ac:dyDescent="0.15">
      <c r="B741" s="6">
        <f t="shared" ca="1" si="95"/>
        <v>-0.59812014112191392</v>
      </c>
      <c r="C741" s="6">
        <f t="shared" ca="1" si="95"/>
        <v>0.72710419378894231</v>
      </c>
      <c r="D741" s="6">
        <f t="shared" ca="1" si="95"/>
        <v>0.72643131191983579</v>
      </c>
      <c r="E741" s="8">
        <f t="shared" ca="1" si="96"/>
        <v>-1.3618238114639426E-2</v>
      </c>
      <c r="F741" s="8">
        <f t="shared" ca="1" si="97"/>
        <v>-5.4713469276533849E-3</v>
      </c>
      <c r="G741" s="8">
        <f t="shared" ca="1" si="98"/>
        <v>-1.2124486733407189E-2</v>
      </c>
      <c r="H741" s="10">
        <f t="shared" ca="1" si="99"/>
        <v>3961.3091557316079</v>
      </c>
      <c r="I741" s="10">
        <f t="shared" ca="1" si="100"/>
        <v>541.02358727135652</v>
      </c>
      <c r="J741" s="10">
        <f t="shared" ca="1" si="101"/>
        <v>2208.8896476641016</v>
      </c>
      <c r="K741" s="12">
        <f t="array" aca="1" ref="K741:L741" ca="1">Opt3Spd(H741:J741,$E$3:$G$3,$K$3:$M$3,$N$3:$P$3,$H$3,$I$3,$Q$3,$J$3)</f>
        <v>166.3808205860214</v>
      </c>
      <c r="L741" s="12">
        <f ca="1"/>
        <v>0.15422832063472924</v>
      </c>
      <c r="M741" s="12">
        <f t="array" aca="1" ref="M741:N741" ca="1">Opt3Spd(H741:J741,$E$3:$G$3,$K$3:$M$3,$N$3:$P$3,$H$4,$I$3,$Q$3,$J$3)</f>
        <v>1.5071940817284801E-2</v>
      </c>
      <c r="N741" s="12">
        <f ca="1"/>
        <v>233.78847967543061</v>
      </c>
      <c r="O741" s="12">
        <f t="shared" ca="1" si="102"/>
        <v>0.16930026145201404</v>
      </c>
    </row>
    <row r="742" spans="2:15" x14ac:dyDescent="0.15">
      <c r="B742" s="6">
        <f t="shared" ca="1" si="95"/>
        <v>0.69762748677342989</v>
      </c>
      <c r="C742" s="6">
        <f t="shared" ca="1" si="95"/>
        <v>-0.16997626717910461</v>
      </c>
      <c r="D742" s="6">
        <f t="shared" ca="1" si="95"/>
        <v>-0.18206098638164661</v>
      </c>
      <c r="E742" s="8">
        <f t="shared" ca="1" si="96"/>
        <v>1.5883861079109808E-2</v>
      </c>
      <c r="F742" s="8">
        <f t="shared" ca="1" si="97"/>
        <v>2.1969958078929146E-2</v>
      </c>
      <c r="G742" s="8">
        <f t="shared" ca="1" si="98"/>
        <v>2.3196757625438234E-2</v>
      </c>
      <c r="H742" s="10">
        <f t="shared" ca="1" si="99"/>
        <v>4079.7895860937051</v>
      </c>
      <c r="I742" s="10">
        <f t="shared" ca="1" si="100"/>
        <v>555.95165719493752</v>
      </c>
      <c r="J742" s="10">
        <f t="shared" ca="1" si="101"/>
        <v>2287.8679500504795</v>
      </c>
      <c r="K742" s="12">
        <f t="array" aca="1" ref="K742:L742" ca="1">Opt3Spd(H742:J742,$E$3:$G$3,$K$3:$M$3,$N$3:$P$3,$H$3,$I$3,$Q$3,$J$3)</f>
        <v>221.34490193280703</v>
      </c>
      <c r="L742" s="12">
        <f ca="1"/>
        <v>1.194237624190464E-2</v>
      </c>
      <c r="M742" s="12">
        <f t="array" aca="1" ref="M742:N742" ca="1">Opt3Spd(H742:J742,$E$3:$G$3,$K$3:$M$3,$N$3:$P$3,$H$4,$I$3,$Q$3,$J$3)</f>
        <v>0.21453460647099831</v>
      </c>
      <c r="N742" s="12">
        <f ca="1"/>
        <v>178.88157504990588</v>
      </c>
      <c r="O742" s="12">
        <f t="shared" ca="1" si="102"/>
        <v>0.22647698271290295</v>
      </c>
    </row>
    <row r="743" spans="2:15" x14ac:dyDescent="0.15">
      <c r="B743" s="6">
        <f t="shared" ca="1" si="95"/>
        <v>-0.37698631664435289</v>
      </c>
      <c r="C743" s="6">
        <f t="shared" ca="1" si="95"/>
        <v>-1.2372064556228934</v>
      </c>
      <c r="D743" s="6">
        <f t="shared" ca="1" si="95"/>
        <v>-0.62244971331448784</v>
      </c>
      <c r="E743" s="8">
        <f t="shared" ca="1" si="96"/>
        <v>-8.5833749326579209E-3</v>
      </c>
      <c r="F743" s="8">
        <f t="shared" ca="1" si="97"/>
        <v>-4.2425265374127268E-2</v>
      </c>
      <c r="G743" s="8">
        <f t="shared" ca="1" si="98"/>
        <v>-2.4072429182624325E-2</v>
      </c>
      <c r="H743" s="10">
        <f t="shared" ca="1" si="99"/>
        <v>3981.5291662704458</v>
      </c>
      <c r="I743" s="10">
        <f t="shared" ca="1" si="100"/>
        <v>520.92065563647475</v>
      </c>
      <c r="J743" s="10">
        <f t="shared" ca="1" si="101"/>
        <v>2182.1740483476519</v>
      </c>
      <c r="K743" s="12">
        <f t="array" aca="1" ref="K743:L743" ca="1">Opt3Spd(H743:J743,$E$3:$G$3,$K$3:$M$3,$N$3:$P$3,$H$3,$I$3,$Q$3,$J$3)</f>
        <v>231.9748263954948</v>
      </c>
      <c r="L743" s="12">
        <f ca="1"/>
        <v>5.7333172348990047E-3</v>
      </c>
      <c r="M743" s="12">
        <f t="array" aca="1" ref="M743:N743" ca="1">Opt3Spd(H743:J743,$E$3:$G$3,$K$3:$M$3,$N$3:$P$3,$H$4,$I$3,$Q$3,$J$3)</f>
        <v>0.30661395641931932</v>
      </c>
      <c r="N743" s="12">
        <f ca="1"/>
        <v>168.33752087815941</v>
      </c>
      <c r="O743" s="12">
        <f t="shared" ca="1" si="102"/>
        <v>0.31234727365421833</v>
      </c>
    </row>
    <row r="744" spans="2:15" x14ac:dyDescent="0.15">
      <c r="B744" s="6">
        <f t="shared" ca="1" si="95"/>
        <v>0.89139030918177753</v>
      </c>
      <c r="C744" s="6">
        <f t="shared" ca="1" si="95"/>
        <v>0.59003740482983336</v>
      </c>
      <c r="D744" s="6">
        <f t="shared" ca="1" si="95"/>
        <v>-0.43385180364815595</v>
      </c>
      <c r="E744" s="8">
        <f t="shared" ca="1" si="96"/>
        <v>2.0295530360756063E-2</v>
      </c>
      <c r="F744" s="8">
        <f t="shared" ca="1" si="97"/>
        <v>4.6628874729789473E-2</v>
      </c>
      <c r="G744" s="8">
        <f t="shared" ca="1" si="98"/>
        <v>2.9839244919354989E-2</v>
      </c>
      <c r="H744" s="10">
        <f t="shared" ca="1" si="99"/>
        <v>4097.5068499287963</v>
      </c>
      <c r="I744" s="10">
        <f t="shared" ca="1" si="100"/>
        <v>569.36610785300547</v>
      </c>
      <c r="J744" s="10">
        <f t="shared" ca="1" si="101"/>
        <v>2302.7205516396775</v>
      </c>
      <c r="K744" s="12">
        <f t="array" aca="1" ref="K744:L744" ca="1">Opt3Spd(H744:J744,$E$3:$G$3,$K$3:$M$3,$N$3:$P$3,$H$3,$I$3,$Q$3,$J$3)</f>
        <v>210.18265213295149</v>
      </c>
      <c r="L744" s="12">
        <f ca="1"/>
        <v>2.1850588802863058E-2</v>
      </c>
      <c r="M744" s="12">
        <f t="array" aca="1" ref="M744:N744" ca="1">Opt3Spd(H744:J744,$E$3:$G$3,$K$3:$M$3,$N$3:$P$3,$H$4,$I$3,$Q$3,$J$3)</f>
        <v>0.13587980021706869</v>
      </c>
      <c r="N744" s="12">
        <f ca="1"/>
        <v>189.97507825606846</v>
      </c>
      <c r="O744" s="12">
        <f t="shared" ca="1" si="102"/>
        <v>0.15773038901993175</v>
      </c>
    </row>
    <row r="745" spans="2:15" x14ac:dyDescent="0.15">
      <c r="B745" s="6">
        <f t="shared" ca="1" si="95"/>
        <v>-0.82967660675960841</v>
      </c>
      <c r="C745" s="6">
        <f t="shared" ca="1" si="95"/>
        <v>2.4242460599705677</v>
      </c>
      <c r="D745" s="6">
        <f t="shared" ca="1" si="95"/>
        <v>0.37977701116849699</v>
      </c>
      <c r="E745" s="8">
        <f t="shared" ca="1" si="96"/>
        <v>-1.8890408150785548E-2</v>
      </c>
      <c r="F745" s="8">
        <f t="shared" ca="1" si="97"/>
        <v>2.4954150297450826E-2</v>
      </c>
      <c r="G745" s="8">
        <f t="shared" ca="1" si="98"/>
        <v>-1.9397668398405052E-2</v>
      </c>
      <c r="H745" s="10">
        <f t="shared" ca="1" si="99"/>
        <v>3940.1361208664453</v>
      </c>
      <c r="I745" s="10">
        <f t="shared" ca="1" si="100"/>
        <v>557.57505776181324</v>
      </c>
      <c r="J745" s="10">
        <f t="shared" ca="1" si="101"/>
        <v>2192.6268134611664</v>
      </c>
      <c r="K745" s="12">
        <f t="array" aca="1" ref="K745:L745" ca="1">Opt3Spd(H745:J745,$E$3:$G$3,$K$3:$M$3,$N$3:$P$3,$H$3,$I$3,$Q$3,$J$3)</f>
        <v>127.47353647420346</v>
      </c>
      <c r="L745" s="12">
        <f ca="1"/>
        <v>0.77091475724250813</v>
      </c>
      <c r="M745" s="12">
        <f t="array" aca="1" ref="M745:N745" ca="1">Opt3Spd(H745:J745,$E$3:$G$3,$K$3:$M$3,$N$3:$P$3,$H$4,$I$3,$Q$3,$J$3)</f>
        <v>1.5987432559175785E-3</v>
      </c>
      <c r="N745" s="12">
        <f ca="1"/>
        <v>273.29897702629495</v>
      </c>
      <c r="O745" s="12">
        <f t="shared" ca="1" si="102"/>
        <v>0.77251350049842571</v>
      </c>
    </row>
    <row r="746" spans="2:15" x14ac:dyDescent="0.15">
      <c r="B746" s="6">
        <f t="shared" ca="1" si="95"/>
        <v>1.9233142476360727</v>
      </c>
      <c r="C746" s="6">
        <f t="shared" ca="1" si="95"/>
        <v>-0.36616057697777693</v>
      </c>
      <c r="D746" s="6">
        <f t="shared" ca="1" si="95"/>
        <v>0.145785842563836</v>
      </c>
      <c r="E746" s="8">
        <f t="shared" ca="1" si="96"/>
        <v>4.3790786487238373E-2</v>
      </c>
      <c r="F746" s="8">
        <f t="shared" ca="1" si="97"/>
        <v>6.2925008281510569E-2</v>
      </c>
      <c r="G746" s="8">
        <f t="shared" ca="1" si="98"/>
        <v>7.11495487404184E-2</v>
      </c>
      <c r="H746" s="10">
        <f t="shared" ca="1" si="99"/>
        <v>4191.8637985327496</v>
      </c>
      <c r="I746" s="10">
        <f t="shared" ca="1" si="100"/>
        <v>578.2312045051417</v>
      </c>
      <c r="J746" s="10">
        <f t="shared" ca="1" si="101"/>
        <v>2395.0903909835756</v>
      </c>
      <c r="K746" s="12">
        <f t="array" aca="1" ref="K746:L746" ca="1">Opt3Spd(H746:J746,$E$3:$G$3,$K$3:$M$3,$N$3:$P$3,$H$3,$I$3,$Q$3,$J$3)</f>
        <v>244.15284757827726</v>
      </c>
      <c r="L746" s="12">
        <f ca="1"/>
        <v>4.171745542635108E-3</v>
      </c>
      <c r="M746" s="12">
        <f t="array" aca="1" ref="M746:N746" ca="1">Opt3Spd(H746:J746,$E$3:$G$3,$K$3:$M$3,$N$3:$P$3,$H$4,$I$3,$Q$3,$J$3)</f>
        <v>0.56438405346279552</v>
      </c>
      <c r="N746" s="12">
        <f ca="1"/>
        <v>156.41570822072816</v>
      </c>
      <c r="O746" s="12">
        <f t="shared" ca="1" si="102"/>
        <v>0.56855579900543063</v>
      </c>
    </row>
    <row r="747" spans="2:15" x14ac:dyDescent="0.15">
      <c r="B747" s="6">
        <f t="shared" ca="1" si="95"/>
        <v>-0.97848177901025302</v>
      </c>
      <c r="C747" s="6">
        <f t="shared" ca="1" si="95"/>
        <v>-2.2275793605318319</v>
      </c>
      <c r="D747" s="6">
        <f t="shared" ca="1" si="95"/>
        <v>-1.9517904099649102</v>
      </c>
      <c r="E747" s="8">
        <f t="shared" ca="1" si="96"/>
        <v>-2.2278463708650741E-2</v>
      </c>
      <c r="F747" s="8">
        <f t="shared" ca="1" si="97"/>
        <v>-8.7504032180768077E-2</v>
      </c>
      <c r="G747" s="8">
        <f t="shared" ca="1" si="98"/>
        <v>-6.3206956749590981E-2</v>
      </c>
      <c r="H747" s="10">
        <f t="shared" ca="1" si="99"/>
        <v>3926.5296897460589</v>
      </c>
      <c r="I747" s="10">
        <f t="shared" ca="1" si="100"/>
        <v>496.39780649366219</v>
      </c>
      <c r="J747" s="10">
        <f t="shared" ca="1" si="101"/>
        <v>2094.6692447079145</v>
      </c>
      <c r="K747" s="12">
        <f t="array" aca="1" ref="K747:L747" ca="1">Opt3Spd(H747:J747,$E$3:$G$3,$K$3:$M$3,$N$3:$P$3,$H$3,$I$3,$Q$3,$J$3)</f>
        <v>259.95957108783182</v>
      </c>
      <c r="L747" s="12">
        <f ca="1"/>
        <v>9.9408558958202775E-4</v>
      </c>
      <c r="M747" s="12">
        <f t="array" aca="1" ref="M747:N747" ca="1">Opt3Spd(H747:J747,$E$3:$G$3,$K$3:$M$3,$N$3:$P$3,$H$4,$I$3,$Q$3,$J$3)</f>
        <v>0.84895352505327537</v>
      </c>
      <c r="N747" s="12">
        <f ca="1"/>
        <v>140.89037652281104</v>
      </c>
      <c r="O747" s="12">
        <f t="shared" ca="1" si="102"/>
        <v>0.8499476106428574</v>
      </c>
    </row>
    <row r="748" spans="2:15" x14ac:dyDescent="0.15">
      <c r="B748" s="6">
        <f t="shared" ca="1" si="95"/>
        <v>-1.1012527595684793</v>
      </c>
      <c r="C748" s="6">
        <f t="shared" ca="1" si="95"/>
        <v>-2.2898814394910154</v>
      </c>
      <c r="D748" s="6">
        <f t="shared" ca="1" si="95"/>
        <v>0.38612554135308763</v>
      </c>
      <c r="E748" s="8">
        <f t="shared" ca="1" si="96"/>
        <v>-2.5073762398431707E-2</v>
      </c>
      <c r="F748" s="8">
        <f t="shared" ca="1" si="97"/>
        <v>-9.3490270792481303E-2</v>
      </c>
      <c r="G748" s="8">
        <f t="shared" ca="1" si="98"/>
        <v>-4.2992278285438834E-2</v>
      </c>
      <c r="H748" s="10">
        <f t="shared" ca="1" si="99"/>
        <v>3915.3037702078982</v>
      </c>
      <c r="I748" s="10">
        <f t="shared" ca="1" si="100"/>
        <v>493.14129268889019</v>
      </c>
      <c r="J748" s="10">
        <f t="shared" ca="1" si="101"/>
        <v>2139.8692657537586</v>
      </c>
      <c r="K748" s="12">
        <f t="array" aca="1" ref="K748:L748" ca="1">Opt3Spd(H748:J748,$E$3:$G$3,$K$3:$M$3,$N$3:$P$3,$H$3,$I$3,$Q$3,$J$3)</f>
        <v>231.34862046228636</v>
      </c>
      <c r="L748" s="12">
        <f ca="1"/>
        <v>5.5514334917461383E-3</v>
      </c>
      <c r="M748" s="12">
        <f t="array" aca="1" ref="M748:N748" ca="1">Opt3Spd(H748:J748,$E$3:$G$3,$K$3:$M$3,$N$3:$P$3,$H$4,$I$3,$Q$3,$J$3)</f>
        <v>0.29105911421199693</v>
      </c>
      <c r="N748" s="12">
        <f ca="1"/>
        <v>168.94799008541739</v>
      </c>
      <c r="O748" s="12">
        <f t="shared" ca="1" si="102"/>
        <v>0.29661054770374307</v>
      </c>
    </row>
    <row r="749" spans="2:15" x14ac:dyDescent="0.15">
      <c r="B749" s="6">
        <f t="shared" ca="1" si="95"/>
        <v>-0.65396134196018807</v>
      </c>
      <c r="C749" s="6">
        <f t="shared" ca="1" si="95"/>
        <v>0.32784289906685471</v>
      </c>
      <c r="D749" s="6">
        <f t="shared" ca="1" si="95"/>
        <v>0.21801870021257258</v>
      </c>
      <c r="E749" s="8">
        <f t="shared" ca="1" si="96"/>
        <v>-1.4889652864519947E-2</v>
      </c>
      <c r="F749" s="8">
        <f t="shared" ca="1" si="97"/>
        <v>-1.6721110582935256E-2</v>
      </c>
      <c r="G749" s="8">
        <f t="shared" ca="1" si="98"/>
        <v>-2.0751192757771837E-2</v>
      </c>
      <c r="H749" s="10">
        <f t="shared" ca="1" si="99"/>
        <v>3956.2031540960879</v>
      </c>
      <c r="I749" s="10">
        <f t="shared" ca="1" si="100"/>
        <v>534.90371584288323</v>
      </c>
      <c r="J749" s="10">
        <f t="shared" ca="1" si="101"/>
        <v>2189.600332993622</v>
      </c>
      <c r="K749" s="12">
        <f t="array" aca="1" ref="K749:L749" ca="1">Opt3Spd(H749:J749,$E$3:$G$3,$K$3:$M$3,$N$3:$P$3,$H$3,$I$3,$Q$3,$J$3)</f>
        <v>180.63611643574109</v>
      </c>
      <c r="L749" s="12">
        <f ca="1"/>
        <v>7.9074185077161019E-2</v>
      </c>
      <c r="M749" s="12">
        <f t="array" aca="1" ref="M749:N749" ca="1">Opt3Spd(H749:J749,$E$3:$G$3,$K$3:$M$3,$N$3:$P$3,$H$4,$I$3,$Q$3,$J$3)</f>
        <v>3.0643293657333981E-2</v>
      </c>
      <c r="N749" s="12">
        <f ca="1"/>
        <v>219.47360104299341</v>
      </c>
      <c r="O749" s="12">
        <f t="shared" ca="1" si="102"/>
        <v>0.109717478734495</v>
      </c>
    </row>
    <row r="750" spans="2:15" x14ac:dyDescent="0.15">
      <c r="B750" s="6">
        <f t="shared" ca="1" si="95"/>
        <v>2.4461700852278785</v>
      </c>
      <c r="C750" s="6">
        <f t="shared" ca="1" si="95"/>
        <v>0.11444850063759987</v>
      </c>
      <c r="D750" s="6">
        <f t="shared" ca="1" si="95"/>
        <v>0.96393351091465651</v>
      </c>
      <c r="E750" s="8">
        <f t="shared" ca="1" si="96"/>
        <v>5.5695376897115761E-2</v>
      </c>
      <c r="F750" s="8">
        <f t="shared" ca="1" si="97"/>
        <v>9.336805055592115E-2</v>
      </c>
      <c r="G750" s="8">
        <f t="shared" ca="1" si="98"/>
        <v>0.10046938769813646</v>
      </c>
      <c r="H750" s="10">
        <f t="shared" ca="1" si="99"/>
        <v>4239.6726336188167</v>
      </c>
      <c r="I750" s="10">
        <f t="shared" ca="1" si="100"/>
        <v>594.79221950242106</v>
      </c>
      <c r="J750" s="10">
        <f t="shared" ca="1" si="101"/>
        <v>2460.6495508930329</v>
      </c>
      <c r="K750" s="12">
        <f t="array" aca="1" ref="K750:L750" ca="1">Opt3Spd(H750:J750,$E$3:$G$3,$K$3:$M$3,$N$3:$P$3,$H$3,$I$3,$Q$3,$J$3)</f>
        <v>232.68894247297362</v>
      </c>
      <c r="L750" s="12">
        <f ca="1"/>
        <v>8.6355045471009362E-3</v>
      </c>
      <c r="M750" s="12">
        <f t="array" aca="1" ref="M750:N750" ca="1">Opt3Spd(H750:J750,$E$3:$G$3,$K$3:$M$3,$N$3:$P$3,$H$4,$I$3,$Q$3,$J$3)</f>
        <v>0.38393132135906427</v>
      </c>
      <c r="N750" s="12">
        <f ca="1"/>
        <v>167.70362435293254</v>
      </c>
      <c r="O750" s="12">
        <f t="shared" ca="1" si="102"/>
        <v>0.39256682590616521</v>
      </c>
    </row>
    <row r="751" spans="2:15" x14ac:dyDescent="0.15">
      <c r="B751" s="6">
        <f t="shared" ca="1" si="95"/>
        <v>-1.5681014164005953</v>
      </c>
      <c r="C751" s="6">
        <f t="shared" ca="1" si="95"/>
        <v>-0.41536056824440409</v>
      </c>
      <c r="D751" s="6">
        <f t="shared" ca="1" si="95"/>
        <v>1.1981123089104557</v>
      </c>
      <c r="E751" s="8">
        <f t="shared" ca="1" si="96"/>
        <v>-3.5703158961326371E-2</v>
      </c>
      <c r="F751" s="8">
        <f t="shared" ca="1" si="97"/>
        <v>-6.7714911702821623E-2</v>
      </c>
      <c r="G751" s="8">
        <f t="shared" ca="1" si="98"/>
        <v>-4.6051720025273683E-2</v>
      </c>
      <c r="H751" s="10">
        <f t="shared" ca="1" si="99"/>
        <v>3872.6161136113133</v>
      </c>
      <c r="I751" s="10">
        <f t="shared" ca="1" si="100"/>
        <v>507.16308803366502</v>
      </c>
      <c r="J751" s="10">
        <f t="shared" ca="1" si="101"/>
        <v>2133.0283540234882</v>
      </c>
      <c r="K751" s="12">
        <f t="array" aca="1" ref="K751:L751" ca="1">Opt3Spd(H751:J751,$E$3:$G$3,$K$3:$M$3,$N$3:$P$3,$H$3,$I$3,$Q$3,$J$3)</f>
        <v>169.76343695036985</v>
      </c>
      <c r="L751" s="12">
        <f ca="1"/>
        <v>0.12244120466471031</v>
      </c>
      <c r="M751" s="12">
        <f t="array" aca="1" ref="M751:N751" ca="1">Opt3Spd(H751:J751,$E$3:$G$3,$K$3:$M$3,$N$3:$P$3,$H$4,$I$3,$Q$3,$J$3)</f>
        <v>1.640572460255596E-2</v>
      </c>
      <c r="N751" s="12">
        <f ca="1"/>
        <v>230.37540997889741</v>
      </c>
      <c r="O751" s="12">
        <f t="shared" ca="1" si="102"/>
        <v>0.13884692926726627</v>
      </c>
    </row>
    <row r="752" spans="2:15" x14ac:dyDescent="0.15">
      <c r="B752" s="6">
        <f t="shared" ca="1" si="95"/>
        <v>-1.0981135052959869</v>
      </c>
      <c r="C752" s="6">
        <f t="shared" ca="1" si="95"/>
        <v>-0.37975035581748579</v>
      </c>
      <c r="D752" s="6">
        <f t="shared" ca="1" si="95"/>
        <v>0.9008255181879985</v>
      </c>
      <c r="E752" s="8">
        <f t="shared" ca="1" si="96"/>
        <v>-2.5002286604112176E-2</v>
      </c>
      <c r="F752" s="8">
        <f t="shared" ca="1" si="97"/>
        <v>-4.9462781888247855E-2</v>
      </c>
      <c r="G752" s="8">
        <f t="shared" ca="1" si="98"/>
        <v>-3.1848765411443949E-2</v>
      </c>
      <c r="H752" s="10">
        <f t="shared" ca="1" si="99"/>
        <v>3915.5908169978857</v>
      </c>
      <c r="I752" s="10">
        <f t="shared" ca="1" si="100"/>
        <v>517.09224665279316</v>
      </c>
      <c r="J752" s="10">
        <f t="shared" ca="1" si="101"/>
        <v>2164.7861605400112</v>
      </c>
      <c r="K752" s="12">
        <f t="array" aca="1" ref="K752:L752" ca="1">Opt3Spd(H752:J752,$E$3:$G$3,$K$3:$M$3,$N$3:$P$3,$H$3,$I$3,$Q$3,$J$3)</f>
        <v>180.92567726017342</v>
      </c>
      <c r="L752" s="12">
        <f ca="1"/>
        <v>7.5535176762514311E-2</v>
      </c>
      <c r="M752" s="12">
        <f t="array" aca="1" ref="M752:N752" ca="1">Opt3Spd(H752:J752,$E$3:$G$3,$K$3:$M$3,$N$3:$P$3,$H$4,$I$3,$Q$3,$J$3)</f>
        <v>3.0187178580928009E-2</v>
      </c>
      <c r="N752" s="12">
        <f ca="1"/>
        <v>219.18004509517002</v>
      </c>
      <c r="O752" s="12">
        <f t="shared" ca="1" si="102"/>
        <v>0.10572235534344232</v>
      </c>
    </row>
    <row r="753" spans="2:15" x14ac:dyDescent="0.15">
      <c r="B753" s="6">
        <f t="shared" ca="1" si="95"/>
        <v>-1.2937913526258091</v>
      </c>
      <c r="C753" s="6">
        <f t="shared" ca="1" si="95"/>
        <v>-0.96152258122001433</v>
      </c>
      <c r="D753" s="6">
        <f t="shared" ca="1" si="95"/>
        <v>2.2717223955167598</v>
      </c>
      <c r="E753" s="8">
        <f t="shared" ca="1" si="96"/>
        <v>-2.9457557937558908E-2</v>
      </c>
      <c r="F753" s="8">
        <f t="shared" ca="1" si="97"/>
        <v>-7.0095230565888886E-2</v>
      </c>
      <c r="G753" s="8">
        <f t="shared" ca="1" si="98"/>
        <v>-2.6122280163567494E-2</v>
      </c>
      <c r="H753" s="10">
        <f t="shared" ca="1" si="99"/>
        <v>3897.6984473227635</v>
      </c>
      <c r="I753" s="10">
        <f t="shared" ca="1" si="100"/>
        <v>505.86819457215648</v>
      </c>
      <c r="J753" s="10">
        <f t="shared" ca="1" si="101"/>
        <v>2177.5905815542628</v>
      </c>
      <c r="K753" s="12">
        <f t="array" aca="1" ref="K753:L753" ca="1">Opt3Spd(H753:J753,$E$3:$G$3,$K$3:$M$3,$N$3:$P$3,$H$3,$I$3,$Q$3,$J$3)</f>
        <v>174.61596835789896</v>
      </c>
      <c r="L753" s="12">
        <f ca="1"/>
        <v>0.10192312771732759</v>
      </c>
      <c r="M753" s="12">
        <f t="array" aca="1" ref="M753:N753" ca="1">Opt3Spd(H753:J753,$E$3:$G$3,$K$3:$M$3,$N$3:$P$3,$H$4,$I$3,$Q$3,$J$3)</f>
        <v>2.2152945636251253E-2</v>
      </c>
      <c r="N753" s="12">
        <f ca="1"/>
        <v>225.50810771545463</v>
      </c>
      <c r="O753" s="12">
        <f t="shared" ca="1" si="102"/>
        <v>0.12407607335357884</v>
      </c>
    </row>
    <row r="754" spans="2:15" x14ac:dyDescent="0.15">
      <c r="B754" s="6">
        <f t="shared" ca="1" si="95"/>
        <v>-8.0007108319258183E-2</v>
      </c>
      <c r="C754" s="6">
        <f t="shared" ca="1" si="95"/>
        <v>-0.42139155086821395</v>
      </c>
      <c r="D754" s="6">
        <f t="shared" ca="1" si="95"/>
        <v>-1.1211718417538177</v>
      </c>
      <c r="E754" s="8">
        <f t="shared" ca="1" si="96"/>
        <v>-1.8216337773071653E-3</v>
      </c>
      <c r="F754" s="8">
        <f t="shared" ca="1" si="97"/>
        <v>-1.2654903483890027E-2</v>
      </c>
      <c r="G754" s="8">
        <f t="shared" ca="1" si="98"/>
        <v>-1.6106523053527132E-2</v>
      </c>
      <c r="H754" s="10">
        <f t="shared" ca="1" si="99"/>
        <v>4008.6843187503346</v>
      </c>
      <c r="I754" s="10">
        <f t="shared" ca="1" si="100"/>
        <v>537.11573250476386</v>
      </c>
      <c r="J754" s="10">
        <f t="shared" ca="1" si="101"/>
        <v>2199.9858144523132</v>
      </c>
      <c r="K754" s="12">
        <f t="array" aca="1" ref="K754:L754" ca="1">Opt3Spd(H754:J754,$E$3:$G$3,$K$3:$M$3,$N$3:$P$3,$H$3,$I$3,$Q$3,$J$3)</f>
        <v>224.31523121220198</v>
      </c>
      <c r="L754" s="12">
        <f ca="1"/>
        <v>8.9916956462730013E-3</v>
      </c>
      <c r="M754" s="12">
        <f t="array" aca="1" ref="M754:N754" ca="1">Opt3Spd(H754:J754,$E$3:$G$3,$K$3:$M$3,$N$3:$P$3,$H$4,$I$3,$Q$3,$J$3)</f>
        <v>0.22724470691117205</v>
      </c>
      <c r="N754" s="12">
        <f ca="1"/>
        <v>175.92100519035546</v>
      </c>
      <c r="O754" s="12">
        <f t="shared" ca="1" si="102"/>
        <v>0.23623640255744505</v>
      </c>
    </row>
    <row r="755" spans="2:15" x14ac:dyDescent="0.15">
      <c r="B755" s="6">
        <f t="shared" ca="1" si="95"/>
        <v>1.572250244787355</v>
      </c>
      <c r="C755" s="6">
        <f t="shared" ca="1" si="95"/>
        <v>1.0956728444566297</v>
      </c>
      <c r="D755" s="6">
        <f t="shared" ca="1" si="95"/>
        <v>0.83145501024286828</v>
      </c>
      <c r="E755" s="8">
        <f t="shared" ca="1" si="96"/>
        <v>3.5797621142054294E-2</v>
      </c>
      <c r="F755" s="8">
        <f t="shared" ca="1" si="97"/>
        <v>8.350816314375259E-2</v>
      </c>
      <c r="G755" s="8">
        <f t="shared" ca="1" si="98"/>
        <v>6.9800158982147795E-2</v>
      </c>
      <c r="H755" s="10">
        <f t="shared" ca="1" si="99"/>
        <v>4159.7632465064898</v>
      </c>
      <c r="I755" s="10">
        <f t="shared" ca="1" si="100"/>
        <v>589.42844075020139</v>
      </c>
      <c r="J755" s="10">
        <f t="shared" ca="1" si="101"/>
        <v>2392.0731554840822</v>
      </c>
      <c r="K755" s="12">
        <f t="array" aca="1" ref="K755:L755" ca="1">Opt3Spd(H755:J755,$E$3:$G$3,$K$3:$M$3,$N$3:$P$3,$H$3,$I$3,$Q$3,$J$3)</f>
        <v>195.69103552562751</v>
      </c>
      <c r="L755" s="12">
        <f ca="1"/>
        <v>4.9871961500912221E-2</v>
      </c>
      <c r="M755" s="12">
        <f t="array" aca="1" ref="M755:N755" ca="1">Opt3Spd(H755:J755,$E$3:$G$3,$K$3:$M$3,$N$3:$P$3,$H$4,$I$3,$Q$3,$J$3)</f>
        <v>7.7859066990638937E-2</v>
      </c>
      <c r="N755" s="12">
        <f ca="1"/>
        <v>204.43669550286404</v>
      </c>
      <c r="O755" s="12">
        <f t="shared" ca="1" si="102"/>
        <v>0.12773102849155116</v>
      </c>
    </row>
    <row r="756" spans="2:15" x14ac:dyDescent="0.15">
      <c r="B756" s="6">
        <f t="shared" ca="1" si="95"/>
        <v>-1.2286854984070217</v>
      </c>
      <c r="C756" s="6">
        <f t="shared" ca="1" si="95"/>
        <v>1.857291279306708</v>
      </c>
      <c r="D756" s="6">
        <f t="shared" ca="1" si="95"/>
        <v>0.27790050609922329</v>
      </c>
      <c r="E756" s="8">
        <f t="shared" ca="1" si="96"/>
        <v>-2.79752018614947E-2</v>
      </c>
      <c r="F756" s="8">
        <f t="shared" ca="1" si="97"/>
        <v>-2.8799311340601489E-3</v>
      </c>
      <c r="G756" s="8">
        <f t="shared" ca="1" si="98"/>
        <v>-3.6787755375531944E-2</v>
      </c>
      <c r="H756" s="10">
        <f t="shared" ca="1" si="99"/>
        <v>3903.6515893242372</v>
      </c>
      <c r="I756" s="10">
        <f t="shared" ca="1" si="100"/>
        <v>542.43331746307126</v>
      </c>
      <c r="J756" s="10">
        <f t="shared" ca="1" si="101"/>
        <v>2153.7425789803106</v>
      </c>
      <c r="K756" s="12">
        <f t="array" aca="1" ref="K756:L756" ca="1">Opt3Spd(H756:J756,$E$3:$G$3,$K$3:$M$3,$N$3:$P$3,$H$3,$I$3,$Q$3,$J$3)</f>
        <v>134.45463897520131</v>
      </c>
      <c r="L756" s="12">
        <f ca="1"/>
        <v>0.56764708203331793</v>
      </c>
      <c r="M756" s="12">
        <f t="array" aca="1" ref="M756:N756" ca="1">Opt3Spd(H756:J756,$E$3:$G$3,$K$3:$M$3,$N$3:$P$3,$H$4,$I$3,$Q$3,$J$3)</f>
        <v>2.2959536683807569E-3</v>
      </c>
      <c r="N756" s="12">
        <f ca="1"/>
        <v>266.11530406050042</v>
      </c>
      <c r="O756" s="12">
        <f t="shared" ca="1" si="102"/>
        <v>0.56994303570169869</v>
      </c>
    </row>
    <row r="757" spans="2:15" x14ac:dyDescent="0.15">
      <c r="B757" s="6">
        <f t="shared" ca="1" si="95"/>
        <v>-6.9119212592670285E-3</v>
      </c>
      <c r="C757" s="6">
        <f t="shared" ca="1" si="95"/>
        <v>0.59974923298964966</v>
      </c>
      <c r="D757" s="6">
        <f t="shared" ca="1" si="95"/>
        <v>2.0349531256743227</v>
      </c>
      <c r="E757" s="8">
        <f t="shared" ca="1" si="96"/>
        <v>-1.5737338214656573E-4</v>
      </c>
      <c r="F757" s="8">
        <f t="shared" ca="1" si="97"/>
        <v>1.3530946049027062E-2</v>
      </c>
      <c r="G757" s="8">
        <f t="shared" ca="1" si="98"/>
        <v>2.316558812236039E-2</v>
      </c>
      <c r="H757" s="10">
        <f t="shared" ca="1" si="99"/>
        <v>4015.3679884972994</v>
      </c>
      <c r="I757" s="10">
        <f t="shared" ca="1" si="100"/>
        <v>551.36083465067077</v>
      </c>
      <c r="J757" s="10">
        <f t="shared" ca="1" si="101"/>
        <v>2287.7982550415982</v>
      </c>
      <c r="K757" s="12">
        <f t="array" aca="1" ref="K757:L757" ca="1">Opt3Spd(H757:J757,$E$3:$G$3,$K$3:$M$3,$N$3:$P$3,$H$3,$I$3,$Q$3,$J$3)</f>
        <v>164.47149922786184</v>
      </c>
      <c r="L757" s="12">
        <f ca="1"/>
        <v>0.17997369243494177</v>
      </c>
      <c r="M757" s="12">
        <f t="array" aca="1" ref="M757:N757" ca="1">Opt3Spd(H757:J757,$E$3:$G$3,$K$3:$M$3,$N$3:$P$3,$H$4,$I$3,$Q$3,$J$3)</f>
        <v>1.4963392149278665E-2</v>
      </c>
      <c r="N757" s="12">
        <f ca="1"/>
        <v>235.72343785672237</v>
      </c>
      <c r="O757" s="12">
        <f t="shared" ca="1" si="102"/>
        <v>0.19493708458422043</v>
      </c>
    </row>
    <row r="758" spans="2:15" x14ac:dyDescent="0.15">
      <c r="B758" s="6">
        <f t="shared" ca="1" si="95"/>
        <v>-0.50797086047322704</v>
      </c>
      <c r="C758" s="6">
        <f t="shared" ca="1" si="95"/>
        <v>-0.55250649807774233</v>
      </c>
      <c r="D758" s="6">
        <f t="shared" ca="1" si="95"/>
        <v>-1.0135473571262166</v>
      </c>
      <c r="E758" s="8">
        <f t="shared" ca="1" si="96"/>
        <v>-1.1565683309455161E-2</v>
      </c>
      <c r="F758" s="8">
        <f t="shared" ca="1" si="97"/>
        <v>-3.1543719766796645E-2</v>
      </c>
      <c r="G758" s="8">
        <f t="shared" ca="1" si="98"/>
        <v>-3.1063308733270272E-2</v>
      </c>
      <c r="H758" s="10">
        <f t="shared" ca="1" si="99"/>
        <v>3969.5522158292279</v>
      </c>
      <c r="I758" s="10">
        <f t="shared" ca="1" si="100"/>
        <v>526.84021644686266</v>
      </c>
      <c r="J758" s="10">
        <f t="shared" ca="1" si="101"/>
        <v>2166.5424416724077</v>
      </c>
      <c r="K758" s="12">
        <f t="array" aca="1" ref="K758:L758" ca="1">Opt3Spd(H758:J758,$E$3:$G$3,$K$3:$M$3,$N$3:$P$3,$H$3,$I$3,$Q$3,$J$3)</f>
        <v>218.34841357853315</v>
      </c>
      <c r="L758" s="12">
        <f ca="1"/>
        <v>1.1764900489197316E-2</v>
      </c>
      <c r="M758" s="12">
        <f t="array" aca="1" ref="M758:N758" ca="1">Opt3Spd(H758:J758,$E$3:$G$3,$K$3:$M$3,$N$3:$P$3,$H$4,$I$3,$Q$3,$J$3)</f>
        <v>0.17225662318739765</v>
      </c>
      <c r="N758" s="12">
        <f ca="1"/>
        <v>181.83560794514344</v>
      </c>
      <c r="O758" s="12">
        <f t="shared" ca="1" si="102"/>
        <v>0.18402152367659497</v>
      </c>
    </row>
    <row r="759" spans="2:15" x14ac:dyDescent="0.15">
      <c r="B759" s="6">
        <f t="shared" ca="1" si="95"/>
        <v>9.6208630778660525E-3</v>
      </c>
      <c r="C759" s="6">
        <f t="shared" ca="1" si="95"/>
        <v>3.3582274398493178E-2</v>
      </c>
      <c r="D759" s="6">
        <f t="shared" ca="1" si="95"/>
        <v>1.9437331663876649</v>
      </c>
      <c r="E759" s="8">
        <f t="shared" ca="1" si="96"/>
        <v>2.1905165075525719E-4</v>
      </c>
      <c r="F759" s="8">
        <f t="shared" ca="1" si="97"/>
        <v>1.1288776661011904E-3</v>
      </c>
      <c r="G759" s="8">
        <f t="shared" ca="1" si="98"/>
        <v>2.1157638345580987E-2</v>
      </c>
      <c r="H759" s="10">
        <f t="shared" ca="1" si="99"/>
        <v>4016.879711429433</v>
      </c>
      <c r="I759" s="10">
        <f t="shared" ca="1" si="100"/>
        <v>544.61410945035902</v>
      </c>
      <c r="J759" s="10">
        <f t="shared" ca="1" si="101"/>
        <v>2283.3084793407188</v>
      </c>
      <c r="K759" s="12">
        <f t="array" aca="1" ref="K759:L759" ca="1">Opt3Spd(H759:J759,$E$3:$G$3,$K$3:$M$3,$N$3:$P$3,$H$3,$I$3,$Q$3,$J$3)</f>
        <v>178.93662385456992</v>
      </c>
      <c r="L759" s="12">
        <f ca="1"/>
        <v>9.372721607087442E-2</v>
      </c>
      <c r="M759" s="12">
        <f t="array" aca="1" ref="M759:N759" ca="1">Opt3Spd(H759:J759,$E$3:$G$3,$K$3:$M$3,$N$3:$P$3,$H$4,$I$3,$Q$3,$J$3)</f>
        <v>3.1028772179224173E-2</v>
      </c>
      <c r="N759" s="12">
        <f ca="1"/>
        <v>221.18813213368017</v>
      </c>
      <c r="O759" s="12">
        <f t="shared" ca="1" si="102"/>
        <v>0.12475598825009859</v>
      </c>
    </row>
    <row r="760" spans="2:15" x14ac:dyDescent="0.15">
      <c r="B760" s="6">
        <f t="shared" ca="1" si="95"/>
        <v>-1.0708178054546051</v>
      </c>
      <c r="C760" s="6">
        <f t="shared" ca="1" si="95"/>
        <v>-0.74456405527574054</v>
      </c>
      <c r="D760" s="6">
        <f t="shared" ca="1" si="95"/>
        <v>0.8177113082062355</v>
      </c>
      <c r="E760" s="8">
        <f t="shared" ca="1" si="96"/>
        <v>-2.4380807214957317E-2</v>
      </c>
      <c r="F760" s="8">
        <f t="shared" ca="1" si="97"/>
        <v>-5.6836807064048367E-2</v>
      </c>
      <c r="G760" s="8">
        <f t="shared" ca="1" si="98"/>
        <v>-3.2790429537056097E-2</v>
      </c>
      <c r="H760" s="10">
        <f t="shared" ca="1" si="99"/>
        <v>3918.0866782247317</v>
      </c>
      <c r="I760" s="10">
        <f t="shared" ca="1" si="100"/>
        <v>513.0807769571577</v>
      </c>
      <c r="J760" s="10">
        <f t="shared" ca="1" si="101"/>
        <v>2162.6805995551426</v>
      </c>
      <c r="K760" s="12">
        <f t="array" aca="1" ref="K760:L760" ca="1">Opt3Spd(H760:J760,$E$3:$G$3,$K$3:$M$3,$N$3:$P$3,$H$3,$I$3,$Q$3,$J$3)</f>
        <v>190.86398353165623</v>
      </c>
      <c r="L760" s="12">
        <f ca="1"/>
        <v>4.6848215948330107E-2</v>
      </c>
      <c r="M760" s="12">
        <f t="array" aca="1" ref="M760:N760" ca="1">Opt3Spd(H760:J760,$E$3:$G$3,$K$3:$M$3,$N$3:$P$3,$H$4,$I$3,$Q$3,$J$3)</f>
        <v>4.9092106564535776E-2</v>
      </c>
      <c r="N760" s="12">
        <f ca="1"/>
        <v>209.23195679085663</v>
      </c>
      <c r="O760" s="12">
        <f t="shared" ca="1" si="102"/>
        <v>9.5940322512865883E-2</v>
      </c>
    </row>
    <row r="761" spans="2:15" x14ac:dyDescent="0.15">
      <c r="B761" s="6">
        <f t="shared" ca="1" si="95"/>
        <v>-0.25701993740495527</v>
      </c>
      <c r="C761" s="6">
        <f t="shared" ca="1" si="95"/>
        <v>0.32196549336532421</v>
      </c>
      <c r="D761" s="6">
        <f t="shared" ca="1" si="95"/>
        <v>7.8566643020970786E-2</v>
      </c>
      <c r="E761" s="8">
        <f t="shared" ca="1" si="96"/>
        <v>-5.8519325251696697E-3</v>
      </c>
      <c r="F761" s="8">
        <f t="shared" ca="1" si="97"/>
        <v>-2.1322705874740723E-3</v>
      </c>
      <c r="G761" s="8">
        <f t="shared" ca="1" si="98"/>
        <v>-7.6708633538468823E-3</v>
      </c>
      <c r="H761" s="10">
        <f t="shared" ca="1" si="99"/>
        <v>3992.4986389789187</v>
      </c>
      <c r="I761" s="10">
        <f t="shared" ca="1" si="100"/>
        <v>542.84004480041403</v>
      </c>
      <c r="J761" s="10">
        <f t="shared" ca="1" si="101"/>
        <v>2218.8479495407983</v>
      </c>
      <c r="K761" s="12">
        <f t="array" aca="1" ref="K761:L761" ca="1">Opt3Spd(H761:J761,$E$3:$G$3,$K$3:$M$3,$N$3:$P$3,$H$3,$I$3,$Q$3,$J$3)</f>
        <v>189.58417188421527</v>
      </c>
      <c r="L761" s="12">
        <f ca="1"/>
        <v>5.3579356358113728E-2</v>
      </c>
      <c r="M761" s="12">
        <f t="array" aca="1" ref="M761:N761" ca="1">Opt3Spd(H761:J761,$E$3:$G$3,$K$3:$M$3,$N$3:$P$3,$H$4,$I$3,$Q$3,$J$3)</f>
        <v>4.8969263977374666E-2</v>
      </c>
      <c r="N761" s="12">
        <f ca="1"/>
        <v>210.51837673612022</v>
      </c>
      <c r="O761" s="12">
        <f t="shared" ca="1" si="102"/>
        <v>0.10254862033548839</v>
      </c>
    </row>
    <row r="762" spans="2:15" x14ac:dyDescent="0.15">
      <c r="B762" s="6">
        <f t="shared" ca="1" si="95"/>
        <v>0.75952669817670682</v>
      </c>
      <c r="C762" s="6">
        <f t="shared" ca="1" si="95"/>
        <v>0.96548872345345571</v>
      </c>
      <c r="D762" s="6">
        <f t="shared" ca="1" si="95"/>
        <v>-0.62110178445046116</v>
      </c>
      <c r="E762" s="8">
        <f t="shared" ca="1" si="96"/>
        <v>1.7293207031608689E-2</v>
      </c>
      <c r="F762" s="8">
        <f t="shared" ca="1" si="97"/>
        <v>5.036865119760342E-2</v>
      </c>
      <c r="G762" s="8">
        <f t="shared" ca="1" si="98"/>
        <v>2.4089930311763069E-2</v>
      </c>
      <c r="H762" s="10">
        <f t="shared" ca="1" si="99"/>
        <v>4085.4495194389406</v>
      </c>
      <c r="I762" s="10">
        <f t="shared" ca="1" si="100"/>
        <v>571.40054625149628</v>
      </c>
      <c r="J762" s="10">
        <f t="shared" ca="1" si="101"/>
        <v>2289.8650841771018</v>
      </c>
      <c r="K762" s="12">
        <f t="array" aca="1" ref="K762:L762" ca="1">Opt3Spd(H762:J762,$E$3:$G$3,$K$3:$M$3,$N$3:$P$3,$H$3,$I$3,$Q$3,$J$3)</f>
        <v>201.3096364346045</v>
      </c>
      <c r="L762" s="12">
        <f ca="1"/>
        <v>3.3533086609168095E-2</v>
      </c>
      <c r="M762" s="12">
        <f t="array" aca="1" ref="M762:N762" ca="1">Opt3Spd(H762:J762,$E$3:$G$3,$K$3:$M$3,$N$3:$P$3,$H$4,$I$3,$Q$3,$J$3)</f>
        <v>9.1006765474615392E-2</v>
      </c>
      <c r="N762" s="12">
        <f ca="1"/>
        <v>198.81490341747929</v>
      </c>
      <c r="O762" s="12">
        <f t="shared" ca="1" si="102"/>
        <v>0.12453985208378349</v>
      </c>
    </row>
    <row r="763" spans="2:15" x14ac:dyDescent="0.15">
      <c r="B763" s="6">
        <f t="shared" ca="1" si="95"/>
        <v>1.3961281701972721</v>
      </c>
      <c r="C763" s="6">
        <f t="shared" ca="1" si="95"/>
        <v>1.1817144921312532</v>
      </c>
      <c r="D763" s="6">
        <f t="shared" ca="1" si="95"/>
        <v>0.26025155340917894</v>
      </c>
      <c r="E763" s="8">
        <f t="shared" ca="1" si="96"/>
        <v>3.1787603448095447E-2</v>
      </c>
      <c r="F763" s="8">
        <f t="shared" ca="1" si="97"/>
        <v>7.8953144154085886E-2</v>
      </c>
      <c r="G763" s="8">
        <f t="shared" ca="1" si="98"/>
        <v>5.7494435287188075E-2</v>
      </c>
      <c r="H763" s="10">
        <f t="shared" ca="1" si="99"/>
        <v>4143.6590154475516</v>
      </c>
      <c r="I763" s="10">
        <f t="shared" ca="1" si="100"/>
        <v>586.95051041982265</v>
      </c>
      <c r="J763" s="10">
        <f t="shared" ca="1" si="101"/>
        <v>2364.5575573021524</v>
      </c>
      <c r="K763" s="12">
        <f t="array" aca="1" ref="K763:L763" ca="1">Opt3Spd(H763:J763,$E$3:$G$3,$K$3:$M$3,$N$3:$P$3,$H$3,$I$3,$Q$3,$J$3)</f>
        <v>197.3042109513276</v>
      </c>
      <c r="L763" s="12">
        <f ca="1"/>
        <v>4.4790826568259945E-2</v>
      </c>
      <c r="M763" s="12">
        <f t="array" aca="1" ref="M763:N763" ca="1">Opt3Spd(H763:J763,$E$3:$G$3,$K$3:$M$3,$N$3:$P$3,$H$4,$I$3,$Q$3,$J$3)</f>
        <v>8.1659929277092758E-2</v>
      </c>
      <c r="N763" s="12">
        <f ca="1"/>
        <v>202.82223980451775</v>
      </c>
      <c r="O763" s="12">
        <f t="shared" ca="1" si="102"/>
        <v>0.1264507558453527</v>
      </c>
    </row>
    <row r="764" spans="2:15" x14ac:dyDescent="0.15">
      <c r="B764" s="6">
        <f t="shared" ca="1" si="95"/>
        <v>-0.59995171296532046</v>
      </c>
      <c r="C764" s="6">
        <f t="shared" ca="1" si="95"/>
        <v>-6.6070640775135664E-2</v>
      </c>
      <c r="D764" s="6">
        <f t="shared" ca="1" si="95"/>
        <v>-0.2503306432185276</v>
      </c>
      <c r="E764" s="8">
        <f t="shared" ca="1" si="96"/>
        <v>-1.3659940073447889E-2</v>
      </c>
      <c r="F764" s="8">
        <f t="shared" ca="1" si="97"/>
        <v>-2.3773183771736602E-2</v>
      </c>
      <c r="G764" s="8">
        <f t="shared" ca="1" si="98"/>
        <v>-2.4899837383283739E-2</v>
      </c>
      <c r="H764" s="10">
        <f t="shared" ca="1" si="99"/>
        <v>3961.1416806650336</v>
      </c>
      <c r="I764" s="10">
        <f t="shared" ca="1" si="100"/>
        <v>531.06738802817529</v>
      </c>
      <c r="J764" s="10">
        <f t="shared" ca="1" si="101"/>
        <v>2180.3239636109774</v>
      </c>
      <c r="K764" s="12">
        <f t="array" aca="1" ref="K764:L764" ca="1">Opt3Spd(H764:J764,$E$3:$G$3,$K$3:$M$3,$N$3:$P$3,$H$3,$I$3,$Q$3,$J$3)</f>
        <v>196.30877758800671</v>
      </c>
      <c r="L764" s="12">
        <f ca="1"/>
        <v>3.6899573542541475E-2</v>
      </c>
      <c r="M764" s="12">
        <f t="array" aca="1" ref="M764:N764" ca="1">Opt3Spd(H764:J764,$E$3:$G$3,$K$3:$M$3,$N$3:$P$3,$H$4,$I$3,$Q$3,$J$3)</f>
        <v>6.4830937337362116E-2</v>
      </c>
      <c r="N764" s="12">
        <f ca="1"/>
        <v>203.79295292287321</v>
      </c>
      <c r="O764" s="12">
        <f t="shared" ca="1" si="102"/>
        <v>0.10173051087990359</v>
      </c>
    </row>
    <row r="765" spans="2:15" x14ac:dyDescent="0.15">
      <c r="B765" s="6">
        <f t="shared" ca="1" si="95"/>
        <v>-0.25364084886311644</v>
      </c>
      <c r="C765" s="6">
        <f t="shared" ca="1" si="95"/>
        <v>-0.45558525777410774</v>
      </c>
      <c r="D765" s="6">
        <f t="shared" ca="1" si="95"/>
        <v>0.28190875148801992</v>
      </c>
      <c r="E765" s="8">
        <f t="shared" ca="1" si="96"/>
        <v>-5.7749960884750373E-3</v>
      </c>
      <c r="F765" s="8">
        <f t="shared" ca="1" si="97"/>
        <v>-1.9881651515351064E-2</v>
      </c>
      <c r="G765" s="8">
        <f t="shared" ca="1" si="98"/>
        <v>-7.6377137948814332E-3</v>
      </c>
      <c r="H765" s="10">
        <f t="shared" ca="1" si="99"/>
        <v>3992.8076157086844</v>
      </c>
      <c r="I765" s="10">
        <f t="shared" ca="1" si="100"/>
        <v>533.18438157564901</v>
      </c>
      <c r="J765" s="10">
        <f t="shared" ca="1" si="101"/>
        <v>2218.9220719546452</v>
      </c>
      <c r="K765" s="12">
        <f t="array" aca="1" ref="K765:L765" ca="1">Opt3Spd(H765:J765,$E$3:$G$3,$K$3:$M$3,$N$3:$P$3,$H$3,$I$3,$Q$3,$J$3)</f>
        <v>205.27621520380035</v>
      </c>
      <c r="L765" s="12">
        <f ca="1"/>
        <v>2.4645993477179218E-2</v>
      </c>
      <c r="M765" s="12">
        <f t="array" aca="1" ref="M765:N765" ca="1">Opt3Spd(H765:J765,$E$3:$G$3,$K$3:$M$3,$N$3:$P$3,$H$4,$I$3,$Q$3,$J$3)</f>
        <v>0.10114109759615708</v>
      </c>
      <c r="N765" s="12">
        <f ca="1"/>
        <v>194.84957188727299</v>
      </c>
      <c r="O765" s="12">
        <f t="shared" ca="1" si="102"/>
        <v>0.1257870910733363</v>
      </c>
    </row>
    <row r="766" spans="2:15" x14ac:dyDescent="0.15">
      <c r="B766" s="6">
        <f t="shared" ca="1" si="95"/>
        <v>-0.13079327931926155</v>
      </c>
      <c r="C766" s="6">
        <f t="shared" ca="1" si="95"/>
        <v>-1.3726937711196372</v>
      </c>
      <c r="D766" s="6">
        <f t="shared" ca="1" si="95"/>
        <v>-1.9987969671343351</v>
      </c>
      <c r="E766" s="8">
        <f t="shared" ca="1" si="96"/>
        <v>-2.9779535900985384E-3</v>
      </c>
      <c r="F766" s="8">
        <f t="shared" ca="1" si="97"/>
        <v>-3.6407749532783584E-2</v>
      </c>
      <c r="G766" s="8">
        <f t="shared" ca="1" si="98"/>
        <v>-3.0083315225213288E-2</v>
      </c>
      <c r="H766" s="10">
        <f t="shared" ca="1" si="99"/>
        <v>4004.0405383821644</v>
      </c>
      <c r="I766" s="10">
        <f t="shared" ca="1" si="100"/>
        <v>524.19418425416575</v>
      </c>
      <c r="J766" s="10">
        <f t="shared" ca="1" si="101"/>
        <v>2168.7337071564234</v>
      </c>
      <c r="K766" s="12">
        <f t="array" aca="1" ref="K766:L766" ca="1">Opt3Spd(H766:J766,$E$3:$G$3,$K$3:$M$3,$N$3:$P$3,$H$3,$I$3,$Q$3,$J$3)</f>
        <v>255.96442524150757</v>
      </c>
      <c r="L766" s="12">
        <f ca="1"/>
        <v>1.4352442201470694E-3</v>
      </c>
      <c r="M766" s="12">
        <f t="array" aca="1" ref="M766:N766" ca="1">Opt3Spd(H766:J766,$E$3:$G$3,$K$3:$M$3,$N$3:$P$3,$H$4,$I$3,$Q$3,$J$3)</f>
        <v>0.76198220046374132</v>
      </c>
      <c r="N766" s="12">
        <f ca="1"/>
        <v>144.79899220317631</v>
      </c>
      <c r="O766" s="12">
        <f t="shared" ca="1" si="102"/>
        <v>0.76341744468388839</v>
      </c>
    </row>
    <row r="767" spans="2:15" x14ac:dyDescent="0.15">
      <c r="B767" s="6">
        <f t="shared" ca="1" si="95"/>
        <v>0.10418377231207432</v>
      </c>
      <c r="C767" s="6">
        <f t="shared" ca="1" si="95"/>
        <v>-0.89891405545818814</v>
      </c>
      <c r="D767" s="6">
        <f t="shared" ca="1" si="95"/>
        <v>0.2251246781979534</v>
      </c>
      <c r="E767" s="8">
        <f t="shared" ca="1" si="96"/>
        <v>2.372097713288699E-3</v>
      </c>
      <c r="F767" s="8">
        <f t="shared" ca="1" si="97"/>
        <v>-1.6800140653663483E-2</v>
      </c>
      <c r="G767" s="8">
        <f t="shared" ca="1" si="98"/>
        <v>3.6162864702648295E-3</v>
      </c>
      <c r="H767" s="10">
        <f t="shared" ca="1" si="99"/>
        <v>4025.5263444165671</v>
      </c>
      <c r="I767" s="10">
        <f t="shared" ca="1" si="100"/>
        <v>534.860723484407</v>
      </c>
      <c r="J767" s="10">
        <f t="shared" ca="1" si="101"/>
        <v>2244.0860165475124</v>
      </c>
      <c r="K767" s="12">
        <f t="array" aca="1" ref="K767:L767" ca="1">Opt3Spd(H767:J767,$E$3:$G$3,$K$3:$M$3,$N$3:$P$3,$H$3,$I$3,$Q$3,$J$3)</f>
        <v>222.71650721596461</v>
      </c>
      <c r="L767" s="12">
        <f ca="1"/>
        <v>1.0328648204904312E-2</v>
      </c>
      <c r="M767" s="12">
        <f t="array" aca="1" ref="M767:N767" ca="1">Opt3Spd(H767:J767,$E$3:$G$3,$K$3:$M$3,$N$3:$P$3,$H$4,$I$3,$Q$3,$J$3)</f>
        <v>0.21910369138381114</v>
      </c>
      <c r="N767" s="12">
        <f ca="1"/>
        <v>177.51292512362411</v>
      </c>
      <c r="O767" s="12">
        <f t="shared" ca="1" si="102"/>
        <v>0.22943233958871545</v>
      </c>
    </row>
    <row r="768" spans="2:15" x14ac:dyDescent="0.15">
      <c r="B768" s="6">
        <f t="shared" ref="B768:D831" ca="1" si="103">NORMINV(RAND(),0,1)</f>
        <v>-1.4998979502901737</v>
      </c>
      <c r="C768" s="6">
        <f t="shared" ca="1" si="103"/>
        <v>-1.4498870366004548</v>
      </c>
      <c r="D768" s="6">
        <f t="shared" ca="1" si="103"/>
        <v>0.97567683870976851</v>
      </c>
      <c r="E768" s="8">
        <f t="shared" ca="1" si="96"/>
        <v>-3.4150275221291701E-2</v>
      </c>
      <c r="F768" s="8">
        <f t="shared" ca="1" si="97"/>
        <v>-8.8967214018399882E-2</v>
      </c>
      <c r="G768" s="8">
        <f t="shared" ca="1" si="98"/>
        <v>-4.8918852978300703E-2</v>
      </c>
      <c r="H768" s="10">
        <f t="shared" ca="1" si="99"/>
        <v>3878.8524947112928</v>
      </c>
      <c r="I768" s="10">
        <f t="shared" ca="1" si="100"/>
        <v>495.60183557399046</v>
      </c>
      <c r="J768" s="10">
        <f t="shared" ca="1" si="101"/>
        <v>2126.6174447405197</v>
      </c>
      <c r="K768" s="12">
        <f t="array" aca="1" ref="K768:L768" ca="1">Opt3Spd(H768:J768,$E$3:$G$3,$K$3:$M$3,$N$3:$P$3,$H$3,$I$3,$Q$3,$J$3)</f>
        <v>197.61305485719708</v>
      </c>
      <c r="L768" s="12">
        <f ca="1"/>
        <v>3.221943454900611E-2</v>
      </c>
      <c r="M768" s="12">
        <f t="array" aca="1" ref="M768:N768" ca="1">Opt3Spd(H768:J768,$E$3:$G$3,$K$3:$M$3,$N$3:$P$3,$H$4,$I$3,$Q$3,$J$3)</f>
        <v>6.5553029368969895E-2</v>
      </c>
      <c r="N768" s="12">
        <f ca="1"/>
        <v>202.48471760672089</v>
      </c>
      <c r="O768" s="12">
        <f t="shared" ca="1" si="102"/>
        <v>9.7772463917976005E-2</v>
      </c>
    </row>
    <row r="769" spans="2:15" x14ac:dyDescent="0.15">
      <c r="B769" s="6">
        <f t="shared" ca="1" si="103"/>
        <v>-1.397204634837653</v>
      </c>
      <c r="C769" s="6">
        <f t="shared" ca="1" si="103"/>
        <v>-0.93429719904721753</v>
      </c>
      <c r="D769" s="6">
        <f t="shared" ca="1" si="103"/>
        <v>-0.7395119595944214</v>
      </c>
      <c r="E769" s="8">
        <f t="shared" ca="1" si="96"/>
        <v>-3.1812112824701963E-2</v>
      </c>
      <c r="F769" s="8">
        <f t="shared" ca="1" si="97"/>
        <v>-7.330532228309225E-2</v>
      </c>
      <c r="G769" s="8">
        <f t="shared" ca="1" si="98"/>
        <v>-6.1921324815520033E-2</v>
      </c>
      <c r="H769" s="10">
        <f t="shared" ca="1" si="99"/>
        <v>3888.2425548959968</v>
      </c>
      <c r="I769" s="10">
        <f t="shared" ca="1" si="100"/>
        <v>504.1219046779978</v>
      </c>
      <c r="J769" s="10">
        <f t="shared" ca="1" si="101"/>
        <v>2097.5439177124972</v>
      </c>
      <c r="K769" s="12">
        <f t="array" aca="1" ref="K769:L769" ca="1">Opt3Spd(H769:J769,$E$3:$G$3,$K$3:$M$3,$N$3:$P$3,$H$3,$I$3,$Q$3,$J$3)</f>
        <v>207.89410240570237</v>
      </c>
      <c r="L769" s="12">
        <f ca="1"/>
        <v>1.8553850750549827E-2</v>
      </c>
      <c r="M769" s="12">
        <f t="array" aca="1" ref="M769:N769" ca="1">Opt3Spd(H769:J769,$E$3:$G$3,$K$3:$M$3,$N$3:$P$3,$H$4,$I$3,$Q$3,$J$3)</f>
        <v>0.10292529865212074</v>
      </c>
      <c r="N769" s="12">
        <f ca="1"/>
        <v>192.22737674370029</v>
      </c>
      <c r="O769" s="12">
        <f t="shared" ca="1" si="102"/>
        <v>0.12147914940267057</v>
      </c>
    </row>
    <row r="770" spans="2:15" x14ac:dyDescent="0.15">
      <c r="B770" s="6">
        <f t="shared" ca="1" si="103"/>
        <v>5.1213069613974163E-2</v>
      </c>
      <c r="C770" s="6">
        <f t="shared" ca="1" si="103"/>
        <v>1.6112789615832457</v>
      </c>
      <c r="D770" s="6">
        <f t="shared" ca="1" si="103"/>
        <v>-0.90635804260744002</v>
      </c>
      <c r="E770" s="8">
        <f t="shared" ca="1" si="96"/>
        <v>1.1660396108322136E-3</v>
      </c>
      <c r="F770" s="8">
        <f t="shared" ca="1" si="97"/>
        <v>3.8940554639592589E-2</v>
      </c>
      <c r="G770" s="8">
        <f t="shared" ca="1" si="98"/>
        <v>-3.0965006948799915E-3</v>
      </c>
      <c r="H770" s="10">
        <f t="shared" ca="1" si="99"/>
        <v>4020.6828150771021</v>
      </c>
      <c r="I770" s="10">
        <f t="shared" ca="1" si="100"/>
        <v>565.18366172393837</v>
      </c>
      <c r="J770" s="10">
        <f t="shared" ca="1" si="101"/>
        <v>2229.0762244462485</v>
      </c>
      <c r="K770" s="12">
        <f t="array" aca="1" ref="K770:L770" ca="1">Opt3Spd(H770:J770,$E$3:$G$3,$K$3:$M$3,$N$3:$P$3,$H$3,$I$3,$Q$3,$J$3)</f>
        <v>176.95021602371321</v>
      </c>
      <c r="L770" s="12">
        <f ca="1"/>
        <v>9.9371928037044199E-2</v>
      </c>
      <c r="M770" s="12">
        <f t="array" aca="1" ref="M770:N770" ca="1">Opt3Spd(H770:J770,$E$3:$G$3,$K$3:$M$3,$N$3:$P$3,$H$4,$I$3,$Q$3,$J$3)</f>
        <v>2.6913702639919102E-2</v>
      </c>
      <c r="N770" s="12">
        <f ca="1"/>
        <v>223.17606960696375</v>
      </c>
      <c r="O770" s="12">
        <f t="shared" ca="1" si="102"/>
        <v>0.1262856306769633</v>
      </c>
    </row>
    <row r="771" spans="2:15" x14ac:dyDescent="0.15">
      <c r="B771" s="6">
        <f t="shared" ca="1" si="103"/>
        <v>3.2937149859107572E-3</v>
      </c>
      <c r="C771" s="6">
        <f t="shared" ca="1" si="103"/>
        <v>0.11115188172666723</v>
      </c>
      <c r="D771" s="6">
        <f t="shared" ca="1" si="103"/>
        <v>-0.72005019975310414</v>
      </c>
      <c r="E771" s="8">
        <f t="shared" ca="1" si="96"/>
        <v>7.4992617496133249E-5</v>
      </c>
      <c r="F771" s="8">
        <f t="shared" ca="1" si="97"/>
        <v>2.6773901860227337E-3</v>
      </c>
      <c r="G771" s="8">
        <f t="shared" ca="1" si="98"/>
        <v>-7.2270575228888505E-3</v>
      </c>
      <c r="H771" s="10">
        <f t="shared" ca="1" si="99"/>
        <v>4016.3011703518646</v>
      </c>
      <c r="I771" s="10">
        <f t="shared" ca="1" si="100"/>
        <v>545.45650026119631</v>
      </c>
      <c r="J771" s="10">
        <f t="shared" ca="1" si="101"/>
        <v>2219.8402993788204</v>
      </c>
      <c r="K771" s="12">
        <f t="array" aca="1" ref="K771:L771" ca="1">Opt3Spd(H771:J771,$E$3:$G$3,$K$3:$M$3,$N$3:$P$3,$H$3,$I$3,$Q$3,$J$3)</f>
        <v>208.67159292610791</v>
      </c>
      <c r="L771" s="12">
        <f ca="1"/>
        <v>2.097268156762766E-2</v>
      </c>
      <c r="M771" s="12">
        <f t="array" aca="1" ref="M771:N771" ca="1">Opt3Spd(H771:J771,$E$3:$G$3,$K$3:$M$3,$N$3:$P$3,$H$4,$I$3,$Q$3,$J$3)</f>
        <v>0.11814816848083609</v>
      </c>
      <c r="N771" s="12">
        <f ca="1"/>
        <v>191.46752792394057</v>
      </c>
      <c r="O771" s="12">
        <f t="shared" ca="1" si="102"/>
        <v>0.13912085004846375</v>
      </c>
    </row>
    <row r="772" spans="2:15" x14ac:dyDescent="0.15">
      <c r="B772" s="6">
        <f t="shared" ca="1" si="103"/>
        <v>0.50888753373210815</v>
      </c>
      <c r="C772" s="6">
        <f t="shared" ca="1" si="103"/>
        <v>-1.2228073431771604</v>
      </c>
      <c r="D772" s="6">
        <f t="shared" ca="1" si="103"/>
        <v>0.1870809409644513</v>
      </c>
      <c r="E772" s="8">
        <f t="shared" ca="1" si="96"/>
        <v>1.1586554492106443E-2</v>
      </c>
      <c r="F772" s="8">
        <f t="shared" ca="1" si="97"/>
        <v>-9.2340747312414147E-3</v>
      </c>
      <c r="G772" s="8">
        <f t="shared" ca="1" si="98"/>
        <v>1.7138909740245897E-2</v>
      </c>
      <c r="H772" s="10">
        <f t="shared" ca="1" si="99"/>
        <v>4062.5316028402999</v>
      </c>
      <c r="I772" s="10">
        <f t="shared" ca="1" si="100"/>
        <v>538.97666334620465</v>
      </c>
      <c r="J772" s="10">
        <f t="shared" ca="1" si="101"/>
        <v>2274.3226021791897</v>
      </c>
      <c r="K772" s="12">
        <f t="array" aca="1" ref="K772:L772" ca="1">Opt3Spd(H772:J772,$E$3:$G$3,$K$3:$M$3,$N$3:$P$3,$H$3,$I$3,$Q$3,$J$3)</f>
        <v>238.01235931453652</v>
      </c>
      <c r="L772" s="12">
        <f ca="1"/>
        <v>4.7189177591917542E-3</v>
      </c>
      <c r="M772" s="12">
        <f t="array" aca="1" ref="M772:N772" ca="1">Opt3Spd(H772:J772,$E$3:$G$3,$K$3:$M$3,$N$3:$P$3,$H$4,$I$3,$Q$3,$J$3)</f>
        <v>0.41294094182191543</v>
      </c>
      <c r="N772" s="12">
        <f ca="1"/>
        <v>162.40530054504458</v>
      </c>
      <c r="O772" s="12">
        <f t="shared" ca="1" si="102"/>
        <v>0.41765985958110718</v>
      </c>
    </row>
    <row r="773" spans="2:15" x14ac:dyDescent="0.15">
      <c r="B773" s="6">
        <f t="shared" ca="1" si="103"/>
        <v>-0.22181149052606206</v>
      </c>
      <c r="C773" s="6">
        <f t="shared" ca="1" si="103"/>
        <v>1.0252337324817842</v>
      </c>
      <c r="D773" s="6">
        <f t="shared" ca="1" si="103"/>
        <v>0.91339107218978099</v>
      </c>
      <c r="E773" s="8">
        <f t="shared" ref="E773:E836" ca="1" si="104">B773*$U$3*$C$6</f>
        <v>-5.0502925530663562E-3</v>
      </c>
      <c r="F773" s="8">
        <f t="shared" ref="F773:F836" ca="1" si="105">($N$3*B773+C773*SQRT(1-$N$3^2))*$V$3*$C$6</f>
        <v>1.5340814425765219E-2</v>
      </c>
      <c r="G773" s="8">
        <f t="shared" ref="G773:G836" ca="1" si="106">(D773/$T$3+($P$3-$N$3*$O$3)*C773+$O$3*B773*SQRT(1/(1-$N$3^2)))*$W$3*$C$6</f>
        <v>4.5576349948094792E-3</v>
      </c>
      <c r="H773" s="10">
        <f t="shared" ref="H773:H836" ca="1" si="107">B$3*(1+E773)</f>
        <v>3995.7180251068858</v>
      </c>
      <c r="I773" s="10">
        <f t="shared" ref="I773:I836" ca="1" si="108">C$3*(1+F773)</f>
        <v>552.34540304761629</v>
      </c>
      <c r="J773" s="10">
        <f t="shared" ref="J773:J836" ca="1" si="109">D$3*(1+G773)</f>
        <v>2246.1908718483942</v>
      </c>
      <c r="K773" s="12">
        <f t="array" aca="1" ref="K773:L773" ca="1">Opt3Spd(H773:J773,$E$3:$G$3,$K$3:$M$3,$N$3:$P$3,$H$3,$I$3,$Q$3,$J$3)</f>
        <v>164.04738857724851</v>
      </c>
      <c r="L773" s="12">
        <f ca="1"/>
        <v>0.17744427074580926</v>
      </c>
      <c r="M773" s="12">
        <f t="array" aca="1" ref="M773:N773" ca="1">Opt3Spd(H773:J773,$E$3:$G$3,$K$3:$M$3,$N$3:$P$3,$H$4,$I$3,$Q$3,$J$3)</f>
        <v>1.3977242592175587E-2</v>
      </c>
      <c r="N773" s="12">
        <f ca="1"/>
        <v>236.14403293608947</v>
      </c>
      <c r="O773" s="12">
        <f t="shared" ca="1" si="102"/>
        <v>0.19142151333798485</v>
      </c>
    </row>
    <row r="774" spans="2:15" x14ac:dyDescent="0.15">
      <c r="B774" s="6">
        <f t="shared" ca="1" si="103"/>
        <v>0.81054403686014564</v>
      </c>
      <c r="C774" s="6">
        <f t="shared" ca="1" si="103"/>
        <v>-1.1295746527148318</v>
      </c>
      <c r="D774" s="6">
        <f t="shared" ca="1" si="103"/>
        <v>-1.5455947947458673</v>
      </c>
      <c r="E774" s="8">
        <f t="shared" ca="1" si="104"/>
        <v>1.8454790162487845E-2</v>
      </c>
      <c r="F774" s="8">
        <f t="shared" ca="1" si="105"/>
        <v>4.0987053182701032E-3</v>
      </c>
      <c r="G774" s="8">
        <f t="shared" ca="1" si="106"/>
        <v>1.0033642061476337E-2</v>
      </c>
      <c r="H774" s="10">
        <f t="shared" ca="1" si="107"/>
        <v>4090.1144372925514</v>
      </c>
      <c r="I774" s="10">
        <f t="shared" ca="1" si="108"/>
        <v>546.22969569313898</v>
      </c>
      <c r="J774" s="10">
        <f t="shared" ca="1" si="109"/>
        <v>2258.435223649461</v>
      </c>
      <c r="K774" s="12">
        <f t="array" aca="1" ref="K774:L774" ca="1">Opt3Spd(H774:J774,$E$3:$G$3,$K$3:$M$3,$N$3:$P$3,$H$3,$I$3,$Q$3,$J$3)</f>
        <v>261.93049748500721</v>
      </c>
      <c r="L774" s="12">
        <f ca="1"/>
        <v>1.1851262086111092E-3</v>
      </c>
      <c r="M774" s="12">
        <f t="array" aca="1" ref="M774:N774" ca="1">Opt3Spd(H774:J774,$E$3:$G$3,$K$3:$M$3,$N$3:$P$3,$H$4,$I$3,$Q$3,$J$3)</f>
        <v>0.98636962878663326</v>
      </c>
      <c r="N774" s="12">
        <f ca="1"/>
        <v>139.05705726998804</v>
      </c>
      <c r="O774" s="12">
        <f t="shared" ca="1" si="102"/>
        <v>0.98755475499524437</v>
      </c>
    </row>
    <row r="775" spans="2:15" x14ac:dyDescent="0.15">
      <c r="B775" s="6">
        <f t="shared" ca="1" si="103"/>
        <v>-3.1386404270641695</v>
      </c>
      <c r="C775" s="6">
        <f t="shared" ca="1" si="103"/>
        <v>-1.4772051888676743</v>
      </c>
      <c r="D775" s="6">
        <f t="shared" ca="1" si="103"/>
        <v>0.20577431081439598</v>
      </c>
      <c r="E775" s="8">
        <f t="shared" ca="1" si="104"/>
        <v>-7.1461818041805819E-2</v>
      </c>
      <c r="F775" s="8">
        <f t="shared" ca="1" si="105"/>
        <v>-0.15038193912830347</v>
      </c>
      <c r="G775" s="8">
        <f t="shared" ca="1" si="106"/>
        <v>-0.11740470391743346</v>
      </c>
      <c r="H775" s="10">
        <f t="shared" ca="1" si="107"/>
        <v>3729.0093387441079</v>
      </c>
      <c r="I775" s="10">
        <f t="shared" ca="1" si="108"/>
        <v>462.19222511420293</v>
      </c>
      <c r="J775" s="10">
        <f t="shared" ca="1" si="109"/>
        <v>1973.4830820406187</v>
      </c>
      <c r="K775" s="12">
        <f t="array" aca="1" ref="K775:L775" ca="1">Opt3Spd(H775:J775,$E$3:$G$3,$K$3:$M$3,$N$3:$P$3,$H$3,$I$3,$Q$3,$J$3)</f>
        <v>177.83308874205159</v>
      </c>
      <c r="L775" s="12">
        <f ca="1"/>
        <v>7.2851200977765984E-2</v>
      </c>
      <c r="M775" s="12">
        <f t="array" aca="1" ref="M775:N775" ca="1">Opt3Spd(H775:J775,$E$3:$G$3,$K$3:$M$3,$N$3:$P$3,$H$4,$I$3,$Q$3,$J$3)</f>
        <v>2.1329542996904483E-2</v>
      </c>
      <c r="N775" s="12">
        <f ca="1"/>
        <v>222.26109200192309</v>
      </c>
      <c r="O775" s="12">
        <f t="shared" ca="1" si="102"/>
        <v>9.4180743974670467E-2</v>
      </c>
    </row>
    <row r="776" spans="2:15" x14ac:dyDescent="0.15">
      <c r="B776" s="6">
        <f t="shared" ca="1" si="103"/>
        <v>0.73884191886095107</v>
      </c>
      <c r="C776" s="6">
        <f t="shared" ca="1" si="103"/>
        <v>0.99014161751039698</v>
      </c>
      <c r="D776" s="6">
        <f t="shared" ca="1" si="103"/>
        <v>1.4299461786010907</v>
      </c>
      <c r="E776" s="8">
        <f t="shared" ca="1" si="104"/>
        <v>1.6822247719751451E-2</v>
      </c>
      <c r="F776" s="8">
        <f t="shared" ca="1" si="105"/>
        <v>5.0168112969484813E-2</v>
      </c>
      <c r="G776" s="8">
        <f t="shared" ca="1" si="106"/>
        <v>4.5251497272542365E-2</v>
      </c>
      <c r="H776" s="10">
        <f t="shared" ca="1" si="107"/>
        <v>4083.5581468425221</v>
      </c>
      <c r="I776" s="10">
        <f t="shared" ca="1" si="108"/>
        <v>571.29145345539973</v>
      </c>
      <c r="J776" s="10">
        <f t="shared" ca="1" si="109"/>
        <v>2337.1823479014047</v>
      </c>
      <c r="K776" s="12">
        <f t="array" aca="1" ref="K776:L776" ca="1">Opt3Spd(H776:J776,$E$3:$G$3,$K$3:$M$3,$N$3:$P$3,$H$3,$I$3,$Q$3,$J$3)</f>
        <v>176.01531170963381</v>
      </c>
      <c r="L776" s="12">
        <f ca="1"/>
        <v>0.11466434645353729</v>
      </c>
      <c r="M776" s="12">
        <f t="array" aca="1" ref="M776:N776" ca="1">Opt3Spd(H776:J776,$E$3:$G$3,$K$3:$M$3,$N$3:$P$3,$H$4,$I$3,$Q$3,$J$3)</f>
        <v>2.8783215562221631E-2</v>
      </c>
      <c r="N776" s="12">
        <f ca="1"/>
        <v>224.12813585238194</v>
      </c>
      <c r="O776" s="12">
        <f t="shared" ca="1" si="102"/>
        <v>0.14344756201575892</v>
      </c>
    </row>
    <row r="777" spans="2:15" x14ac:dyDescent="0.15">
      <c r="B777" s="6">
        <f t="shared" ca="1" si="103"/>
        <v>8.3798195883438328E-2</v>
      </c>
      <c r="C777" s="6">
        <f t="shared" ca="1" si="103"/>
        <v>-1.260288745702195</v>
      </c>
      <c r="D777" s="6">
        <f t="shared" ca="1" si="103"/>
        <v>8.0867116991198196E-2</v>
      </c>
      <c r="E777" s="8">
        <f t="shared" ca="1" si="104"/>
        <v>1.9079507721931981E-3</v>
      </c>
      <c r="F777" s="8">
        <f t="shared" ca="1" si="105"/>
        <v>-2.586377440573389E-2</v>
      </c>
      <c r="G777" s="8">
        <f t="shared" ca="1" si="106"/>
        <v>2.8150969289738752E-4</v>
      </c>
      <c r="H777" s="10">
        <f t="shared" ca="1" si="107"/>
        <v>4023.6623303011283</v>
      </c>
      <c r="I777" s="10">
        <f t="shared" ca="1" si="108"/>
        <v>529.9301067232808</v>
      </c>
      <c r="J777" s="10">
        <f t="shared" ca="1" si="109"/>
        <v>2236.6294556733187</v>
      </c>
      <c r="K777" s="12">
        <f t="array" aca="1" ref="K777:L777" ca="1">Opt3Spd(H777:J777,$E$3:$G$3,$K$3:$M$3,$N$3:$P$3,$H$3,$I$3,$Q$3,$J$3)</f>
        <v>232.46546719555749</v>
      </c>
      <c r="L777" s="12">
        <f ca="1"/>
        <v>6.0354883378295199E-3</v>
      </c>
      <c r="M777" s="12">
        <f t="array" aca="1" ref="M777:N777" ca="1">Opt3Spd(H777:J777,$E$3:$G$3,$K$3:$M$3,$N$3:$P$3,$H$4,$I$3,$Q$3,$J$3)</f>
        <v>0.32401756393023717</v>
      </c>
      <c r="N777" s="12">
        <f ca="1"/>
        <v>167.86458585671056</v>
      </c>
      <c r="O777" s="12">
        <f t="shared" ca="1" si="102"/>
        <v>0.33005305226806669</v>
      </c>
    </row>
    <row r="778" spans="2:15" x14ac:dyDescent="0.15">
      <c r="B778" s="6">
        <f t="shared" ca="1" si="103"/>
        <v>-0.46337082116928885</v>
      </c>
      <c r="C778" s="6">
        <f t="shared" ca="1" si="103"/>
        <v>-0.10237707667938302</v>
      </c>
      <c r="D778" s="6">
        <f t="shared" ca="1" si="103"/>
        <v>-0.5080679937147472</v>
      </c>
      <c r="E778" s="8">
        <f t="shared" ca="1" si="104"/>
        <v>-1.055021181233414E-2</v>
      </c>
      <c r="F778" s="8">
        <f t="shared" ca="1" si="105"/>
        <v>-1.9541548543690345E-2</v>
      </c>
      <c r="G778" s="8">
        <f t="shared" ca="1" si="106"/>
        <v>-2.2733164065616037E-2</v>
      </c>
      <c r="H778" s="10">
        <f t="shared" ca="1" si="107"/>
        <v>3973.630349361666</v>
      </c>
      <c r="I778" s="10">
        <f t="shared" ca="1" si="108"/>
        <v>533.36939759223242</v>
      </c>
      <c r="J778" s="10">
        <f t="shared" ca="1" si="109"/>
        <v>2185.1686451492828</v>
      </c>
      <c r="K778" s="12">
        <f t="array" aca="1" ref="K778:L778" ca="1">Opt3Spd(H778:J778,$E$3:$G$3,$K$3:$M$3,$N$3:$P$3,$H$3,$I$3,$Q$3,$J$3)</f>
        <v>202.68205344991884</v>
      </c>
      <c r="L778" s="12">
        <f ca="1"/>
        <v>2.7062810466077281E-2</v>
      </c>
      <c r="M778" s="12">
        <f t="array" aca="1" ref="M778:N778" ca="1">Opt3Spd(H778:J778,$E$3:$G$3,$K$3:$M$3,$N$3:$P$3,$H$4,$I$3,$Q$3,$J$3)</f>
        <v>8.7485153481422273E-2</v>
      </c>
      <c r="N778" s="12">
        <f ca="1"/>
        <v>197.43249451402866</v>
      </c>
      <c r="O778" s="12">
        <f t="shared" ca="1" si="102"/>
        <v>0.11454796394749955</v>
      </c>
    </row>
    <row r="779" spans="2:15" x14ac:dyDescent="0.15">
      <c r="B779" s="6">
        <f t="shared" ca="1" si="103"/>
        <v>-2.7171794186822211</v>
      </c>
      <c r="C779" s="6">
        <f t="shared" ca="1" si="103"/>
        <v>0.5897146513870215</v>
      </c>
      <c r="D779" s="6">
        <f t="shared" ca="1" si="103"/>
        <v>-0.80711759557906315</v>
      </c>
      <c r="E779" s="8">
        <f t="shared" ca="1" si="104"/>
        <v>-6.1865825575450263E-2</v>
      </c>
      <c r="F779" s="8">
        <f t="shared" ca="1" si="105"/>
        <v>-8.7233087266205045E-2</v>
      </c>
      <c r="G779" s="8">
        <f t="shared" ca="1" si="106"/>
        <v>-0.10671109628197256</v>
      </c>
      <c r="H779" s="10">
        <f t="shared" ca="1" si="107"/>
        <v>3767.5468444889916</v>
      </c>
      <c r="I779" s="10">
        <f t="shared" ca="1" si="108"/>
        <v>496.54520052718448</v>
      </c>
      <c r="J779" s="10">
        <f t="shared" ca="1" si="109"/>
        <v>1997.3939887135093</v>
      </c>
      <c r="K779" s="12">
        <f t="array" aca="1" ref="K779:L779" ca="1">Opt3Spd(H779:J779,$E$3:$G$3,$K$3:$M$3,$N$3:$P$3,$H$3,$I$3,$Q$3,$J$3)</f>
        <v>149.64503936724122</v>
      </c>
      <c r="L779" s="12">
        <f ca="1"/>
        <v>0.26751007849952657</v>
      </c>
      <c r="M779" s="12">
        <f t="array" aca="1" ref="M779:N779" ca="1">Opt3Spd(H779:J779,$E$3:$G$3,$K$3:$M$3,$N$3:$P$3,$H$4,$I$3,$Q$3,$J$3)</f>
        <v>4.5373772981345262E-3</v>
      </c>
      <c r="N779" s="12">
        <f ca="1"/>
        <v>250.62700808855644</v>
      </c>
      <c r="O779" s="12">
        <f t="shared" ref="O779:O842" ca="1" si="110">L779+M779</f>
        <v>0.2720474557976611</v>
      </c>
    </row>
    <row r="780" spans="2:15" x14ac:dyDescent="0.15">
      <c r="B780" s="6">
        <f t="shared" ca="1" si="103"/>
        <v>0.7934127775252765</v>
      </c>
      <c r="C780" s="6">
        <f t="shared" ca="1" si="103"/>
        <v>1.7455694293164208</v>
      </c>
      <c r="D780" s="6">
        <f t="shared" ca="1" si="103"/>
        <v>-0.273646853563493</v>
      </c>
      <c r="E780" s="8">
        <f t="shared" ca="1" si="104"/>
        <v>1.8064738811954348E-2</v>
      </c>
      <c r="F780" s="8">
        <f t="shared" ca="1" si="105"/>
        <v>6.9558488119293244E-2</v>
      </c>
      <c r="G780" s="8">
        <f t="shared" ca="1" si="106"/>
        <v>3.1300857615848027E-2</v>
      </c>
      <c r="H780" s="10">
        <f t="shared" ca="1" si="107"/>
        <v>4088.5479910688086</v>
      </c>
      <c r="I780" s="10">
        <f t="shared" ca="1" si="108"/>
        <v>581.83981753689545</v>
      </c>
      <c r="J780" s="10">
        <f t="shared" ca="1" si="109"/>
        <v>2305.9887176290363</v>
      </c>
      <c r="K780" s="12">
        <f t="array" aca="1" ref="K780:L780" ca="1">Opt3Spd(H780:J780,$E$3:$G$3,$K$3:$M$3,$N$3:$P$3,$H$3,$I$3,$Q$3,$J$3)</f>
        <v>179.70536922152633</v>
      </c>
      <c r="L780" s="12">
        <f ca="1"/>
        <v>9.5445026268635047E-2</v>
      </c>
      <c r="M780" s="12">
        <f t="array" aca="1" ref="M780:N780" ca="1">Opt3Spd(H780:J780,$E$3:$G$3,$K$3:$M$3,$N$3:$P$3,$H$4,$I$3,$Q$3,$J$3)</f>
        <v>3.3720961287218465E-2</v>
      </c>
      <c r="N780" s="12">
        <f ca="1"/>
        <v>220.42379676602954</v>
      </c>
      <c r="O780" s="12">
        <f t="shared" ca="1" si="110"/>
        <v>0.12916598755585351</v>
      </c>
    </row>
    <row r="781" spans="2:15" x14ac:dyDescent="0.15">
      <c r="B781" s="6">
        <f t="shared" ca="1" si="103"/>
        <v>-7.5952432685514742E-2</v>
      </c>
      <c r="C781" s="6">
        <f t="shared" ca="1" si="103"/>
        <v>-0.49067900058752673</v>
      </c>
      <c r="D781" s="6">
        <f t="shared" ca="1" si="103"/>
        <v>-0.20832022194235611</v>
      </c>
      <c r="E781" s="8">
        <f t="shared" ca="1" si="104"/>
        <v>-1.7293153040412906E-3</v>
      </c>
      <c r="F781" s="8">
        <f t="shared" ca="1" si="105"/>
        <v>-1.4097315643099044E-2</v>
      </c>
      <c r="G781" s="8">
        <f t="shared" ca="1" si="106"/>
        <v>-6.4340423699130091E-3</v>
      </c>
      <c r="H781" s="10">
        <f t="shared" ca="1" si="107"/>
        <v>4009.0550697389704</v>
      </c>
      <c r="I781" s="10">
        <f t="shared" ca="1" si="108"/>
        <v>536.33106029015414</v>
      </c>
      <c r="J781" s="10">
        <f t="shared" ca="1" si="109"/>
        <v>2221.6134812608748</v>
      </c>
      <c r="K781" s="12">
        <f t="array" aca="1" ref="K781:L781" ca="1">Opt3Spd(H781:J781,$E$3:$G$3,$K$3:$M$3,$N$3:$P$3,$H$3,$I$3,$Q$3,$J$3)</f>
        <v>215.13360444988189</v>
      </c>
      <c r="L781" s="12">
        <f ca="1"/>
        <v>1.497180559545086E-2</v>
      </c>
      <c r="M781" s="12">
        <f t="array" aca="1" ref="M781:N781" ca="1">Opt3Spd(H781:J781,$E$3:$G$3,$K$3:$M$3,$N$3:$P$3,$H$4,$I$3,$Q$3,$J$3)</f>
        <v>0.15648221919981786</v>
      </c>
      <c r="N781" s="12">
        <f ca="1"/>
        <v>185.03784957491339</v>
      </c>
      <c r="O781" s="12">
        <f t="shared" ca="1" si="110"/>
        <v>0.17145402479526872</v>
      </c>
    </row>
    <row r="782" spans="2:15" x14ac:dyDescent="0.15">
      <c r="B782" s="6">
        <f t="shared" ca="1" si="103"/>
        <v>-6.8864704029304932E-2</v>
      </c>
      <c r="C782" s="6">
        <f t="shared" ca="1" si="103"/>
        <v>0.16805373265352677</v>
      </c>
      <c r="D782" s="6">
        <f t="shared" ca="1" si="103"/>
        <v>-1.6186839093255598</v>
      </c>
      <c r="E782" s="8">
        <f t="shared" ca="1" si="104"/>
        <v>-1.5679390689070441E-3</v>
      </c>
      <c r="F782" s="8">
        <f t="shared" ca="1" si="105"/>
        <v>1.3088686832816651E-3</v>
      </c>
      <c r="G782" s="8">
        <f t="shared" ca="1" si="106"/>
        <v>-1.928604984863581E-2</v>
      </c>
      <c r="H782" s="10">
        <f t="shared" ca="1" si="107"/>
        <v>4009.7031566992691</v>
      </c>
      <c r="I782" s="10">
        <f t="shared" ca="1" si="108"/>
        <v>544.7120245637052</v>
      </c>
      <c r="J782" s="10">
        <f t="shared" ca="1" si="109"/>
        <v>2192.8763925384505</v>
      </c>
      <c r="K782" s="12">
        <f t="array" aca="1" ref="K782:L782" ca="1">Opt3Spd(H782:J782,$E$3:$G$3,$K$3:$M$3,$N$3:$P$3,$H$3,$I$3,$Q$3,$J$3)</f>
        <v>216.73911721066179</v>
      </c>
      <c r="L782" s="12">
        <f ca="1"/>
        <v>1.3396082546250909E-2</v>
      </c>
      <c r="M782" s="12">
        <f t="array" aca="1" ref="M782:N782" ca="1">Opt3Spd(H782:J782,$E$3:$G$3,$K$3:$M$3,$N$3:$P$3,$H$4,$I$3,$Q$3,$J$3)</f>
        <v>0.16448157409178066</v>
      </c>
      <c r="N782" s="12">
        <f ca="1"/>
        <v>183.43876044597624</v>
      </c>
      <c r="O782" s="12">
        <f t="shared" ca="1" si="110"/>
        <v>0.17787765663803157</v>
      </c>
    </row>
    <row r="783" spans="2:15" x14ac:dyDescent="0.15">
      <c r="B783" s="6">
        <f t="shared" ca="1" si="103"/>
        <v>-0.22277721142107154</v>
      </c>
      <c r="C783" s="6">
        <f t="shared" ca="1" si="103"/>
        <v>0.51425611473752708</v>
      </c>
      <c r="D783" s="6">
        <f t="shared" ca="1" si="103"/>
        <v>-1.3574850038412691</v>
      </c>
      <c r="E783" s="8">
        <f t="shared" ca="1" si="104"/>
        <v>-5.0722804718745301E-3</v>
      </c>
      <c r="F783" s="8">
        <f t="shared" ca="1" si="105"/>
        <v>3.5583849456553521E-3</v>
      </c>
      <c r="G783" s="8">
        <f t="shared" ca="1" si="106"/>
        <v>-2.1152963493459066E-2</v>
      </c>
      <c r="H783" s="10">
        <f t="shared" ca="1" si="107"/>
        <v>3995.6297216249518</v>
      </c>
      <c r="I783" s="10">
        <f t="shared" ca="1" si="108"/>
        <v>545.9357614104365</v>
      </c>
      <c r="J783" s="10">
        <f t="shared" ca="1" si="109"/>
        <v>2188.7019736286256</v>
      </c>
      <c r="K783" s="12">
        <f t="array" aca="1" ref="K783:L783" ca="1">Opt3Spd(H783:J783,$E$3:$G$3,$K$3:$M$3,$N$3:$P$3,$H$3,$I$3,$Q$3,$J$3)</f>
        <v>202.80876388120487</v>
      </c>
      <c r="L783" s="12">
        <f ca="1"/>
        <v>2.7247327264376509E-2</v>
      </c>
      <c r="M783" s="12">
        <f t="array" aca="1" ref="M783:N783" ca="1">Opt3Spd(H783:J783,$E$3:$G$3,$K$3:$M$3,$N$3:$P$3,$H$4,$I$3,$Q$3,$J$3)</f>
        <v>8.8570534709932147E-2</v>
      </c>
      <c r="N783" s="12">
        <f ca="1"/>
        <v>197.30705398076944</v>
      </c>
      <c r="O783" s="12">
        <f t="shared" ca="1" si="110"/>
        <v>0.11581786197430866</v>
      </c>
    </row>
    <row r="784" spans="2:15" x14ac:dyDescent="0.15">
      <c r="B784" s="6">
        <f t="shared" ca="1" si="103"/>
        <v>0.69924574728211286</v>
      </c>
      <c r="C784" s="6">
        <f t="shared" ca="1" si="103"/>
        <v>0.57816224294068019</v>
      </c>
      <c r="D784" s="6">
        <f t="shared" ca="1" si="103"/>
        <v>-2.3075972093711474</v>
      </c>
      <c r="E784" s="8">
        <f t="shared" ca="1" si="104"/>
        <v>1.5920706280305383E-2</v>
      </c>
      <c r="F784" s="8">
        <f t="shared" ca="1" si="105"/>
        <v>3.9228565040457949E-2</v>
      </c>
      <c r="G784" s="8">
        <f t="shared" ca="1" si="106"/>
        <v>2.7845812383566182E-3</v>
      </c>
      <c r="H784" s="10">
        <f t="shared" ca="1" si="107"/>
        <v>4079.9375564217062</v>
      </c>
      <c r="I784" s="10">
        <f t="shared" ca="1" si="108"/>
        <v>565.34033938200912</v>
      </c>
      <c r="J784" s="10">
        <f t="shared" ca="1" si="109"/>
        <v>2242.2263236489657</v>
      </c>
      <c r="K784" s="12">
        <f t="array" aca="1" ref="K784:L784" ca="1">Opt3Spd(H784:J784,$E$3:$G$3,$K$3:$M$3,$N$3:$P$3,$H$3,$I$3,$Q$3,$J$3)</f>
        <v>229.28732577466326</v>
      </c>
      <c r="L784" s="12">
        <f ca="1"/>
        <v>7.4741886546689784E-3</v>
      </c>
      <c r="M784" s="12">
        <f t="array" aca="1" ref="M784:N784" ca="1">Opt3Spd(H784:J784,$E$3:$G$3,$K$3:$M$3,$N$3:$P$3,$H$4,$I$3,$Q$3,$J$3)</f>
        <v>0.28868588764709457</v>
      </c>
      <c r="N784" s="12">
        <f ca="1"/>
        <v>171.0088343016385</v>
      </c>
      <c r="O784" s="12">
        <f t="shared" ca="1" si="110"/>
        <v>0.29616007630176355</v>
      </c>
    </row>
    <row r="785" spans="2:15" x14ac:dyDescent="0.15">
      <c r="B785" s="6">
        <f t="shared" ca="1" si="103"/>
        <v>-0.54127448748498186</v>
      </c>
      <c r="C785" s="6">
        <f t="shared" ca="1" si="103"/>
        <v>-0.23307384146942406</v>
      </c>
      <c r="D785" s="6">
        <f t="shared" ca="1" si="103"/>
        <v>-0.74015579917224017</v>
      </c>
      <c r="E785" s="8">
        <f t="shared" ca="1" si="104"/>
        <v>-1.23239535825085E-2</v>
      </c>
      <c r="F785" s="8">
        <f t="shared" ca="1" si="105"/>
        <v>-2.54357917123674E-2</v>
      </c>
      <c r="G785" s="8">
        <f t="shared" ca="1" si="106"/>
        <v>-2.8447070993405755E-2</v>
      </c>
      <c r="H785" s="10">
        <f t="shared" ca="1" si="107"/>
        <v>3966.5070024126458</v>
      </c>
      <c r="I785" s="10">
        <f t="shared" ca="1" si="108"/>
        <v>530.16292930847214</v>
      </c>
      <c r="J785" s="10">
        <f t="shared" ca="1" si="109"/>
        <v>2172.3923492587446</v>
      </c>
      <c r="K785" s="12">
        <f t="array" aca="1" ref="K785:L785" ca="1">Opt3Spd(H785:J785,$E$3:$G$3,$K$3:$M$3,$N$3:$P$3,$H$3,$I$3,$Q$3,$J$3)</f>
        <v>207.0714659387661</v>
      </c>
      <c r="L785" s="12">
        <f ca="1"/>
        <v>2.1325049048073197E-2</v>
      </c>
      <c r="M785" s="12">
        <f t="array" aca="1" ref="M785:N785" ca="1">Opt3Spd(H785:J785,$E$3:$G$3,$K$3:$M$3,$N$3:$P$3,$H$4,$I$3,$Q$3,$J$3)</f>
        <v>0.10554420624464811</v>
      </c>
      <c r="N785" s="12">
        <f ca="1"/>
        <v>193.05540331652662</v>
      </c>
      <c r="O785" s="12">
        <f t="shared" ca="1" si="110"/>
        <v>0.12686925529272131</v>
      </c>
    </row>
    <row r="786" spans="2:15" x14ac:dyDescent="0.15">
      <c r="B786" s="6">
        <f t="shared" ca="1" si="103"/>
        <v>-3.3448063715368959E-2</v>
      </c>
      <c r="C786" s="6">
        <f t="shared" ca="1" si="103"/>
        <v>0.93999074407455663</v>
      </c>
      <c r="D786" s="6">
        <f t="shared" ca="1" si="103"/>
        <v>-0.36015639676431249</v>
      </c>
      <c r="E786" s="8">
        <f t="shared" ca="1" si="104"/>
        <v>-7.6155886557359876E-4</v>
      </c>
      <c r="F786" s="8">
        <f t="shared" ca="1" si="105"/>
        <v>2.0368268197835493E-2</v>
      </c>
      <c r="G786" s="8">
        <f t="shared" ca="1" si="106"/>
        <v>-2.336827377305839E-3</v>
      </c>
      <c r="H786" s="10">
        <f t="shared" ca="1" si="107"/>
        <v>4012.9415795958562</v>
      </c>
      <c r="I786" s="10">
        <f t="shared" ca="1" si="108"/>
        <v>555.08033789962246</v>
      </c>
      <c r="J786" s="10">
        <f t="shared" ca="1" si="109"/>
        <v>2230.7748539843442</v>
      </c>
      <c r="K786" s="12">
        <f t="array" aca="1" ref="K786:L786" ca="1">Opt3Spd(H786:J786,$E$3:$G$3,$K$3:$M$3,$N$3:$P$3,$H$3,$I$3,$Q$3,$J$3)</f>
        <v>184.49522691505263</v>
      </c>
      <c r="L786" s="12">
        <f ca="1"/>
        <v>6.9614950764389505E-2</v>
      </c>
      <c r="M786" s="12">
        <f t="array" aca="1" ref="M786:N786" ca="1">Opt3Spd(H786:J786,$E$3:$G$3,$K$3:$M$3,$N$3:$P$3,$H$4,$I$3,$Q$3,$J$3)</f>
        <v>3.8934479306099057E-2</v>
      </c>
      <c r="N786" s="12">
        <f ca="1"/>
        <v>215.61332251501787</v>
      </c>
      <c r="O786" s="12">
        <f t="shared" ca="1" si="110"/>
        <v>0.10854943007048856</v>
      </c>
    </row>
    <row r="787" spans="2:15" x14ac:dyDescent="0.15">
      <c r="B787" s="6">
        <f t="shared" ca="1" si="103"/>
        <v>-0.6864494862083611</v>
      </c>
      <c r="C787" s="6">
        <f t="shared" ca="1" si="103"/>
        <v>1.1232606599134329</v>
      </c>
      <c r="D787" s="6">
        <f t="shared" ca="1" si="103"/>
        <v>1.1135656473472357</v>
      </c>
      <c r="E787" s="8">
        <f t="shared" ca="1" si="104"/>
        <v>-1.5629355900509491E-2</v>
      </c>
      <c r="F787" s="8">
        <f t="shared" ca="1" si="105"/>
        <v>3.5924879484982203E-4</v>
      </c>
      <c r="G787" s="8">
        <f t="shared" ca="1" si="106"/>
        <v>-1.0095369412554457E-2</v>
      </c>
      <c r="H787" s="10">
        <f t="shared" ca="1" si="107"/>
        <v>3953.232506703554</v>
      </c>
      <c r="I787" s="10">
        <f t="shared" ca="1" si="108"/>
        <v>544.19543134439834</v>
      </c>
      <c r="J787" s="10">
        <f t="shared" ca="1" si="109"/>
        <v>2213.4267539935281</v>
      </c>
      <c r="K787" s="12">
        <f t="array" aca="1" ref="K787:L787" ca="1">Opt3Spd(H787:J787,$E$3:$G$3,$K$3:$M$3,$N$3:$P$3,$H$3,$I$3,$Q$3,$J$3)</f>
        <v>151.10581111660895</v>
      </c>
      <c r="L787" s="12">
        <f ca="1"/>
        <v>0.29937156085634342</v>
      </c>
      <c r="M787" s="12">
        <f t="array" aca="1" ref="M787:N787" ca="1">Opt3Spd(H787:J787,$E$3:$G$3,$K$3:$M$3,$N$3:$P$3,$H$4,$I$3,$Q$3,$J$3)</f>
        <v>6.6031626519246212E-3</v>
      </c>
      <c r="N787" s="12">
        <f ca="1"/>
        <v>249.20016360689931</v>
      </c>
      <c r="O787" s="12">
        <f t="shared" ca="1" si="110"/>
        <v>0.30597472350826804</v>
      </c>
    </row>
    <row r="788" spans="2:15" x14ac:dyDescent="0.15">
      <c r="B788" s="6">
        <f t="shared" ca="1" si="103"/>
        <v>0.99383324407891416</v>
      </c>
      <c r="C788" s="6">
        <f t="shared" ca="1" si="103"/>
        <v>-0.15836045320416692</v>
      </c>
      <c r="D788" s="6">
        <f t="shared" ca="1" si="103"/>
        <v>2.7288903782348437</v>
      </c>
      <c r="E788" s="8">
        <f t="shared" ca="1" si="104"/>
        <v>2.2627991992920614E-2</v>
      </c>
      <c r="F788" s="8">
        <f t="shared" ca="1" si="105"/>
        <v>3.3224301465496597E-2</v>
      </c>
      <c r="G788" s="8">
        <f t="shared" ca="1" si="106"/>
        <v>6.5123119000600305E-2</v>
      </c>
      <c r="H788" s="10">
        <f t="shared" ca="1" si="107"/>
        <v>4106.8740158435694</v>
      </c>
      <c r="I788" s="10">
        <f t="shared" ca="1" si="108"/>
        <v>562.07401999723015</v>
      </c>
      <c r="J788" s="10">
        <f t="shared" ca="1" si="109"/>
        <v>2381.6152940853422</v>
      </c>
      <c r="K788" s="12">
        <f t="array" aca="1" ref="K788:L788" ca="1">Opt3Spd(H788:J788,$E$3:$G$3,$K$3:$M$3,$N$3:$P$3,$H$3,$I$3,$Q$3,$J$3)</f>
        <v>191.80544831203656</v>
      </c>
      <c r="L788" s="12">
        <f ca="1"/>
        <v>5.7511506706305227E-2</v>
      </c>
      <c r="M788" s="12">
        <f t="array" aca="1" ref="M788:N788" ca="1">Opt3Spd(H788:J788,$E$3:$G$3,$K$3:$M$3,$N$3:$P$3,$H$4,$I$3,$Q$3,$J$3)</f>
        <v>6.3528131577727187E-2</v>
      </c>
      <c r="N788" s="12">
        <f ca="1"/>
        <v>208.31559132624747</v>
      </c>
      <c r="O788" s="12">
        <f t="shared" ca="1" si="110"/>
        <v>0.12103963828403241</v>
      </c>
    </row>
    <row r="789" spans="2:15" x14ac:dyDescent="0.15">
      <c r="B789" s="6">
        <f t="shared" ca="1" si="103"/>
        <v>1.9154035323638432</v>
      </c>
      <c r="C789" s="6">
        <f t="shared" ca="1" si="103"/>
        <v>-0.25924065624765685</v>
      </c>
      <c r="D789" s="6">
        <f t="shared" ca="1" si="103"/>
        <v>-0.60622168332619975</v>
      </c>
      <c r="E789" s="8">
        <f t="shared" ca="1" si="104"/>
        <v>4.3610672164332842E-2</v>
      </c>
      <c r="F789" s="8">
        <f t="shared" ca="1" si="105"/>
        <v>6.508950032059943E-2</v>
      </c>
      <c r="G789" s="8">
        <f t="shared" ca="1" si="106"/>
        <v>6.315813027801559E-2</v>
      </c>
      <c r="H789" s="10">
        <f t="shared" ca="1" si="107"/>
        <v>4191.1404594119604</v>
      </c>
      <c r="I789" s="10">
        <f t="shared" ca="1" si="108"/>
        <v>579.40868817440605</v>
      </c>
      <c r="J789" s="10">
        <f t="shared" ca="1" si="109"/>
        <v>2377.2215793016426</v>
      </c>
      <c r="K789" s="12">
        <f t="array" aca="1" ref="K789:L789" ca="1">Opt3Spd(H789:J789,$E$3:$G$3,$K$3:$M$3,$N$3:$P$3,$H$3,$I$3,$Q$3,$J$3)</f>
        <v>250.47863874952122</v>
      </c>
      <c r="L789" s="12">
        <f ca="1"/>
        <v>2.870067431786083E-3</v>
      </c>
      <c r="M789" s="12">
        <f t="array" aca="1" ref="M789:N789" ca="1">Opt3Spd(H789:J789,$E$3:$G$3,$K$3:$M$3,$N$3:$P$3,$H$4,$I$3,$Q$3,$J$3)</f>
        <v>0.70389618539023502</v>
      </c>
      <c r="N789" s="12">
        <f ca="1"/>
        <v>150.22812750330081</v>
      </c>
      <c r="O789" s="12">
        <f t="shared" ca="1" si="110"/>
        <v>0.7067662528220211</v>
      </c>
    </row>
    <row r="790" spans="2:15" x14ac:dyDescent="0.15">
      <c r="B790" s="6">
        <f t="shared" ca="1" si="103"/>
        <v>-1.8787232922820445</v>
      </c>
      <c r="C790" s="6">
        <f t="shared" ca="1" si="103"/>
        <v>-0.65464143624941584</v>
      </c>
      <c r="D790" s="6">
        <f t="shared" ca="1" si="103"/>
        <v>-0.14107693415562089</v>
      </c>
      <c r="E790" s="8">
        <f t="shared" ca="1" si="104"/>
        <v>-4.2775521817114789E-2</v>
      </c>
      <c r="F790" s="8">
        <f t="shared" ca="1" si="105"/>
        <v>-8.4737677067900113E-2</v>
      </c>
      <c r="G790" s="8">
        <f t="shared" ca="1" si="106"/>
        <v>-7.24245438289466E-2</v>
      </c>
      <c r="H790" s="10">
        <f t="shared" ca="1" si="107"/>
        <v>3844.2135043824674</v>
      </c>
      <c r="I790" s="10">
        <f t="shared" ca="1" si="108"/>
        <v>497.9027036750623</v>
      </c>
      <c r="J790" s="10">
        <f t="shared" ca="1" si="109"/>
        <v>2074.0587199984752</v>
      </c>
      <c r="K790" s="12">
        <f t="array" aca="1" ref="K790:L790" ca="1">Opt3Spd(H790:J790,$E$3:$G$3,$K$3:$M$3,$N$3:$P$3,$H$3,$I$3,$Q$3,$J$3)</f>
        <v>185.59499219253598</v>
      </c>
      <c r="L790" s="12">
        <f ca="1"/>
        <v>5.5173689405819459E-2</v>
      </c>
      <c r="M790" s="12">
        <f t="array" aca="1" ref="M790:N790" ca="1">Opt3Spd(H790:J790,$E$3:$G$3,$K$3:$M$3,$N$3:$P$3,$H$4,$I$3,$Q$3,$J$3)</f>
        <v>3.4850615402335361E-2</v>
      </c>
      <c r="N790" s="12">
        <f ca="1"/>
        <v>214.49503211227218</v>
      </c>
      <c r="O790" s="12">
        <f t="shared" ca="1" si="110"/>
        <v>9.002430480815482E-2</v>
      </c>
    </row>
    <row r="791" spans="2:15" x14ac:dyDescent="0.15">
      <c r="B791" s="6">
        <f t="shared" ca="1" si="103"/>
        <v>-0.61638066831281935</v>
      </c>
      <c r="C791" s="6">
        <f t="shared" ca="1" si="103"/>
        <v>0.24935670650199604</v>
      </c>
      <c r="D791" s="6">
        <f t="shared" ca="1" si="103"/>
        <v>-0.50672551995275106</v>
      </c>
      <c r="E791" s="8">
        <f t="shared" ca="1" si="104"/>
        <v>-1.4034001086470047E-2</v>
      </c>
      <c r="F791" s="8">
        <f t="shared" ca="1" si="105"/>
        <v>-1.7131390839878857E-2</v>
      </c>
      <c r="G791" s="8">
        <f t="shared" ca="1" si="106"/>
        <v>-2.7319122641915449E-2</v>
      </c>
      <c r="H791" s="10">
        <f t="shared" ca="1" si="107"/>
        <v>3959.6394516367363</v>
      </c>
      <c r="I791" s="10">
        <f t="shared" ca="1" si="108"/>
        <v>534.68052338310588</v>
      </c>
      <c r="J791" s="10">
        <f t="shared" ca="1" si="109"/>
        <v>2174.914441772677</v>
      </c>
      <c r="K791" s="12">
        <f t="array" aca="1" ref="K791:L791" ca="1">Opt3Spd(H791:J791,$E$3:$G$3,$K$3:$M$3,$N$3:$P$3,$H$3,$I$3,$Q$3,$J$3)</f>
        <v>191.73937141322153</v>
      </c>
      <c r="L791" s="12">
        <f ca="1"/>
        <v>4.5978075793300377E-2</v>
      </c>
      <c r="M791" s="12">
        <f t="array" aca="1" ref="M791:N791" ca="1">Opt3Spd(H791:J791,$E$3:$G$3,$K$3:$M$3,$N$3:$P$3,$H$4,$I$3,$Q$3,$J$3)</f>
        <v>5.2008886980582147E-2</v>
      </c>
      <c r="N791" s="12">
        <f ca="1"/>
        <v>208.35861554955235</v>
      </c>
      <c r="O791" s="12">
        <f t="shared" ca="1" si="110"/>
        <v>9.7986962773882524E-2</v>
      </c>
    </row>
    <row r="792" spans="2:15" x14ac:dyDescent="0.15">
      <c r="B792" s="6">
        <f t="shared" ca="1" si="103"/>
        <v>-1.1738694056949861</v>
      </c>
      <c r="C792" s="6">
        <f t="shared" ca="1" si="103"/>
        <v>0.9472030603421544</v>
      </c>
      <c r="D792" s="6">
        <f t="shared" ca="1" si="103"/>
        <v>0.22396678313459517</v>
      </c>
      <c r="E792" s="8">
        <f t="shared" ca="1" si="104"/>
        <v>-2.6727127182607585E-2</v>
      </c>
      <c r="F792" s="8">
        <f t="shared" ca="1" si="105"/>
        <v>-2.1768169873560492E-2</v>
      </c>
      <c r="G792" s="8">
        <f t="shared" ca="1" si="106"/>
        <v>-3.799041976459145E-2</v>
      </c>
      <c r="H792" s="10">
        <f t="shared" ca="1" si="107"/>
        <v>3908.6638572346478</v>
      </c>
      <c r="I792" s="10">
        <f t="shared" ca="1" si="108"/>
        <v>532.15811558878306</v>
      </c>
      <c r="J792" s="10">
        <f t="shared" ca="1" si="109"/>
        <v>2151.0534214063732</v>
      </c>
      <c r="K792" s="12">
        <f t="array" aca="1" ref="K792:L792" ca="1">Opt3Spd(H792:J792,$E$3:$G$3,$K$3:$M$3,$N$3:$P$3,$H$3,$I$3,$Q$3,$J$3)</f>
        <v>156.90601566820396</v>
      </c>
      <c r="L792" s="12">
        <f ca="1"/>
        <v>0.22185407879555896</v>
      </c>
      <c r="M792" s="12">
        <f t="array" aca="1" ref="M792:N792" ca="1">Opt3Spd(H792:J792,$E$3:$G$3,$K$3:$M$3,$N$3:$P$3,$H$4,$I$3,$Q$3,$J$3)</f>
        <v>8.4052152420872606E-3</v>
      </c>
      <c r="N792" s="12">
        <f ca="1"/>
        <v>243.32424362583367</v>
      </c>
      <c r="O792" s="12">
        <f t="shared" ca="1" si="110"/>
        <v>0.23025929403764622</v>
      </c>
    </row>
    <row r="793" spans="2:15" x14ac:dyDescent="0.15">
      <c r="B793" s="6">
        <f t="shared" ca="1" si="103"/>
        <v>1.3554236262291586</v>
      </c>
      <c r="C793" s="6">
        <f t="shared" ca="1" si="103"/>
        <v>0.87530582626489495</v>
      </c>
      <c r="D793" s="6">
        <f t="shared" ca="1" si="103"/>
        <v>-0.51096367591949321</v>
      </c>
      <c r="E793" s="8">
        <f t="shared" ca="1" si="104"/>
        <v>3.0860826143679958E-2</v>
      </c>
      <c r="F793" s="8">
        <f t="shared" ca="1" si="105"/>
        <v>7.0399394728405867E-2</v>
      </c>
      <c r="G793" s="8">
        <f t="shared" ca="1" si="106"/>
        <v>4.6893723323497977E-2</v>
      </c>
      <c r="H793" s="10">
        <f t="shared" ca="1" si="107"/>
        <v>4139.9370777930189</v>
      </c>
      <c r="I793" s="10">
        <f t="shared" ca="1" si="108"/>
        <v>582.29727073225274</v>
      </c>
      <c r="J793" s="10">
        <f t="shared" ca="1" si="109"/>
        <v>2340.8543653513416</v>
      </c>
      <c r="K793" s="12">
        <f t="array" aca="1" ref="K793:L793" ca="1">Opt3Spd(H793:J793,$E$3:$G$3,$K$3:$M$3,$N$3:$P$3,$H$3,$I$3,$Q$3,$J$3)</f>
        <v>212.85453004156602</v>
      </c>
      <c r="L793" s="12">
        <f ca="1"/>
        <v>2.0268095822075338E-2</v>
      </c>
      <c r="M793" s="12">
        <f t="array" aca="1" ref="M793:N793" ca="1">Opt3Spd(H793:J793,$E$3:$G$3,$K$3:$M$3,$N$3:$P$3,$H$4,$I$3,$Q$3,$J$3)</f>
        <v>0.15786754859797014</v>
      </c>
      <c r="N793" s="12">
        <f ca="1"/>
        <v>187.32360560285403</v>
      </c>
      <c r="O793" s="12">
        <f t="shared" ca="1" si="110"/>
        <v>0.17813564442004548</v>
      </c>
    </row>
    <row r="794" spans="2:15" x14ac:dyDescent="0.15">
      <c r="B794" s="6">
        <f t="shared" ca="1" si="103"/>
        <v>-0.32526060411109969</v>
      </c>
      <c r="C794" s="6">
        <f t="shared" ca="1" si="103"/>
        <v>-0.51323776083484451</v>
      </c>
      <c r="D794" s="6">
        <f t="shared" ca="1" si="103"/>
        <v>-1.7155187729840591</v>
      </c>
      <c r="E794" s="8">
        <f t="shared" ca="1" si="104"/>
        <v>-7.4056632632164936E-3</v>
      </c>
      <c r="F794" s="8">
        <f t="shared" ca="1" si="105"/>
        <v>-2.3863624521645227E-2</v>
      </c>
      <c r="G794" s="8">
        <f t="shared" ca="1" si="106"/>
        <v>-3.1714974704649443E-2</v>
      </c>
      <c r="H794" s="10">
        <f t="shared" ca="1" si="107"/>
        <v>3986.2588563349227</v>
      </c>
      <c r="I794" s="10">
        <f t="shared" ca="1" si="108"/>
        <v>531.01818826022497</v>
      </c>
      <c r="J794" s="10">
        <f t="shared" ca="1" si="109"/>
        <v>2165.085316560404</v>
      </c>
      <c r="K794" s="12">
        <f t="array" aca="1" ref="K794:L794" ca="1">Opt3Spd(H794:J794,$E$3:$G$3,$K$3:$M$3,$N$3:$P$3,$H$3,$I$3,$Q$3,$J$3)</f>
        <v>229.09370487252818</v>
      </c>
      <c r="L794" s="12">
        <f ca="1"/>
        <v>6.6080341675842647E-3</v>
      </c>
      <c r="M794" s="12">
        <f t="array" aca="1" ref="M794:N794" ca="1">Opt3Spd(H794:J794,$E$3:$G$3,$K$3:$M$3,$N$3:$P$3,$H$4,$I$3,$Q$3,$J$3)</f>
        <v>0.27003538516721193</v>
      </c>
      <c r="N794" s="12">
        <f ca="1"/>
        <v>171.18293854680661</v>
      </c>
      <c r="O794" s="12">
        <f t="shared" ca="1" si="110"/>
        <v>0.27664341933479619</v>
      </c>
    </row>
    <row r="795" spans="2:15" x14ac:dyDescent="0.15">
      <c r="B795" s="6">
        <f t="shared" ca="1" si="103"/>
        <v>-1.5836678292515367</v>
      </c>
      <c r="C795" s="6">
        <f t="shared" ca="1" si="103"/>
        <v>1.4066655280776612</v>
      </c>
      <c r="D795" s="6">
        <f t="shared" ca="1" si="103"/>
        <v>-1.2701772321712692</v>
      </c>
      <c r="E795" s="8">
        <f t="shared" ca="1" si="104"/>
        <v>-3.6057581262500298E-2</v>
      </c>
      <c r="F795" s="8">
        <f t="shared" ca="1" si="105"/>
        <v>-2.6406683027463487E-2</v>
      </c>
      <c r="G795" s="8">
        <f t="shared" ca="1" si="106"/>
        <v>-6.762913869715774E-2</v>
      </c>
      <c r="H795" s="10">
        <f t="shared" ca="1" si="107"/>
        <v>3871.1927536497992</v>
      </c>
      <c r="I795" s="10">
        <f t="shared" ca="1" si="108"/>
        <v>529.6347644330599</v>
      </c>
      <c r="J795" s="10">
        <f t="shared" ca="1" si="109"/>
        <v>2084.7812458731555</v>
      </c>
      <c r="K795" s="12">
        <f t="array" aca="1" ref="K795:L795" ca="1">Opt3Spd(H795:J795,$E$3:$G$3,$K$3:$M$3,$N$3:$P$3,$H$3,$I$3,$Q$3,$J$3)</f>
        <v>156.59997948236787</v>
      </c>
      <c r="L795" s="12">
        <f ca="1"/>
        <v>0.21347186204252466</v>
      </c>
      <c r="M795" s="12">
        <f t="array" aca="1" ref="M795:N795" ca="1">Opt3Spd(H795:J795,$E$3:$G$3,$K$3:$M$3,$N$3:$P$3,$H$4,$I$3,$Q$3,$J$3)</f>
        <v>7.6193436377255397E-3</v>
      </c>
      <c r="N795" s="12">
        <f ca="1"/>
        <v>243.62111172331237</v>
      </c>
      <c r="O795" s="12">
        <f t="shared" ca="1" si="110"/>
        <v>0.2210912056802502</v>
      </c>
    </row>
    <row r="796" spans="2:15" x14ac:dyDescent="0.15">
      <c r="B796" s="6">
        <f t="shared" ca="1" si="103"/>
        <v>-0.33765661361016108</v>
      </c>
      <c r="C796" s="6">
        <f t="shared" ca="1" si="103"/>
        <v>0.48418696482805407</v>
      </c>
      <c r="D796" s="6">
        <f t="shared" ca="1" si="103"/>
        <v>-1.7769196444175361</v>
      </c>
      <c r="E796" s="8">
        <f t="shared" ca="1" si="104"/>
        <v>-7.6879005553981356E-3</v>
      </c>
      <c r="F796" s="8">
        <f t="shared" ca="1" si="105"/>
        <v>-1.3941406732870503E-3</v>
      </c>
      <c r="G796" s="8">
        <f t="shared" ca="1" si="106"/>
        <v>-2.9928995811629621E-2</v>
      </c>
      <c r="H796" s="10">
        <f t="shared" ca="1" si="107"/>
        <v>3985.1253913695209</v>
      </c>
      <c r="I796" s="10">
        <f t="shared" ca="1" si="108"/>
        <v>543.2415874737319</v>
      </c>
      <c r="J796" s="10">
        <f t="shared" ca="1" si="109"/>
        <v>2169.078765365196</v>
      </c>
      <c r="K796" s="12">
        <f t="array" aca="1" ref="K796:L796" ca="1">Opt3Spd(H796:J796,$E$3:$G$3,$K$3:$M$3,$N$3:$P$3,$H$3,$I$3,$Q$3,$J$3)</f>
        <v>206.42163688537426</v>
      </c>
      <c r="L796" s="12">
        <f ca="1"/>
        <v>2.2168156422367247E-2</v>
      </c>
      <c r="M796" s="12">
        <f t="array" aca="1" ref="M796:N796" ca="1">Opt3Spd(H796:J796,$E$3:$G$3,$K$3:$M$3,$N$3:$P$3,$H$4,$I$3,$Q$3,$J$3)</f>
        <v>0.10256533880914276</v>
      </c>
      <c r="N796" s="12">
        <f ca="1"/>
        <v>193.70309660985725</v>
      </c>
      <c r="O796" s="12">
        <f t="shared" ca="1" si="110"/>
        <v>0.12473349523151001</v>
      </c>
    </row>
    <row r="797" spans="2:15" x14ac:dyDescent="0.15">
      <c r="B797" s="6">
        <f t="shared" ca="1" si="103"/>
        <v>7.8248299679016947E-2</v>
      </c>
      <c r="C797" s="6">
        <f t="shared" ca="1" si="103"/>
        <v>-2.1847716027989379</v>
      </c>
      <c r="D797" s="6">
        <f t="shared" ca="1" si="103"/>
        <v>-1.2208594791326115</v>
      </c>
      <c r="E797" s="8">
        <f t="shared" ca="1" si="104"/>
        <v>1.7815885201520345E-3</v>
      </c>
      <c r="F797" s="8">
        <f t="shared" ca="1" si="105"/>
        <v>-4.7322111075834783E-2</v>
      </c>
      <c r="G797" s="8">
        <f t="shared" ca="1" si="106"/>
        <v>-1.6473495505643934E-2</v>
      </c>
      <c r="H797" s="10">
        <f t="shared" ca="1" si="107"/>
        <v>4023.1548594969304</v>
      </c>
      <c r="I797" s="10">
        <f t="shared" ca="1" si="108"/>
        <v>518.25677157474581</v>
      </c>
      <c r="J797" s="10">
        <f t="shared" ca="1" si="109"/>
        <v>2199.1652640493803</v>
      </c>
      <c r="K797" s="12">
        <f t="array" aca="1" ref="K797:L797" ca="1">Opt3Spd(H797:J797,$E$3:$G$3,$K$3:$M$3,$N$3:$P$3,$H$3,$I$3,$Q$3,$J$3)</f>
        <v>269.36206526742512</v>
      </c>
      <c r="L797" s="12">
        <f ca="1"/>
        <v>6.7231477828499919E-4</v>
      </c>
      <c r="M797" s="12">
        <f t="array" aca="1" ref="M797:N797" ca="1">Opt3Spd(H797:J797,$E$3:$G$3,$K$3:$M$3,$N$3:$P$3,$H$4,$I$3,$Q$3,$J$3)</f>
        <v>1.2364112825388247</v>
      </c>
      <c r="N797" s="12">
        <f ca="1"/>
        <v>131.87501832989199</v>
      </c>
      <c r="O797" s="12">
        <f t="shared" ca="1" si="110"/>
        <v>1.2370835973171097</v>
      </c>
    </row>
    <row r="798" spans="2:15" x14ac:dyDescent="0.15">
      <c r="B798" s="6">
        <f t="shared" ca="1" si="103"/>
        <v>0.69460561761813611</v>
      </c>
      <c r="C798" s="6">
        <f t="shared" ca="1" si="103"/>
        <v>-0.4191968461951136</v>
      </c>
      <c r="D798" s="6">
        <f t="shared" ca="1" si="103"/>
        <v>-0.63918592195916124</v>
      </c>
      <c r="E798" s="8">
        <f t="shared" ca="1" si="104"/>
        <v>1.5815057955993299E-2</v>
      </c>
      <c r="F798" s="8">
        <f t="shared" ca="1" si="105"/>
        <v>1.6128659760343285E-2</v>
      </c>
      <c r="G798" s="8">
        <f t="shared" ca="1" si="106"/>
        <v>1.7492482184345959E-2</v>
      </c>
      <c r="H798" s="10">
        <f t="shared" ca="1" si="107"/>
        <v>4079.5132727512687</v>
      </c>
      <c r="I798" s="10">
        <f t="shared" ca="1" si="108"/>
        <v>552.77399090962683</v>
      </c>
      <c r="J798" s="10">
        <f t="shared" ca="1" si="109"/>
        <v>2275.1131901641979</v>
      </c>
      <c r="K798" s="12">
        <f t="array" aca="1" ref="K798:L798" ca="1">Opt3Spd(H798:J798,$E$3:$G$3,$K$3:$M$3,$N$3:$P$3,$H$3,$I$3,$Q$3,$J$3)</f>
        <v>232.52475312987417</v>
      </c>
      <c r="L798" s="12">
        <f ca="1"/>
        <v>6.460916107698722E-3</v>
      </c>
      <c r="M798" s="12">
        <f t="array" aca="1" ref="M798:N798" ca="1">Opt3Spd(H798:J798,$E$3:$G$3,$K$3:$M$3,$N$3:$P$3,$H$4,$I$3,$Q$3,$J$3)</f>
        <v>0.33428256868167949</v>
      </c>
      <c r="N798" s="12">
        <f ca="1"/>
        <v>167.81599035491521</v>
      </c>
      <c r="O798" s="12">
        <f t="shared" ca="1" si="110"/>
        <v>0.34074348478937821</v>
      </c>
    </row>
    <row r="799" spans="2:15" x14ac:dyDescent="0.15">
      <c r="B799" s="6">
        <f t="shared" ca="1" si="103"/>
        <v>0.87545846643069758</v>
      </c>
      <c r="C799" s="6">
        <f t="shared" ca="1" si="103"/>
        <v>-0.13682148317567391</v>
      </c>
      <c r="D799" s="6">
        <f t="shared" ca="1" si="103"/>
        <v>-0.62384762627299495</v>
      </c>
      <c r="E799" s="8">
        <f t="shared" ca="1" si="104"/>
        <v>1.9932787805753263E-2</v>
      </c>
      <c r="F799" s="8">
        <f t="shared" ca="1" si="105"/>
        <v>2.9328513194447611E-2</v>
      </c>
      <c r="G799" s="8">
        <f t="shared" ca="1" si="106"/>
        <v>2.511984890094255E-2</v>
      </c>
      <c r="H799" s="10">
        <f t="shared" ca="1" si="107"/>
        <v>4096.0500758279059</v>
      </c>
      <c r="I799" s="10">
        <f t="shared" ca="1" si="108"/>
        <v>559.95471117777947</v>
      </c>
      <c r="J799" s="10">
        <f t="shared" ca="1" si="109"/>
        <v>2292.1679821425078</v>
      </c>
      <c r="K799" s="12">
        <f t="array" aca="1" ref="K799:L799" ca="1">Opt3Spd(H799:J799,$E$3:$G$3,$K$3:$M$3,$N$3:$P$3,$H$3,$I$3,$Q$3,$J$3)</f>
        <v>229.04657512406607</v>
      </c>
      <c r="L799" s="12">
        <f ca="1"/>
        <v>8.0282518613330467E-3</v>
      </c>
      <c r="M799" s="12">
        <f t="array" aca="1" ref="M799:N799" ca="1">Opt3Spd(H799:J799,$E$3:$G$3,$K$3:$M$3,$N$3:$P$3,$H$4,$I$3,$Q$3,$J$3)</f>
        <v>0.294862428369143</v>
      </c>
      <c r="N799" s="12">
        <f ca="1"/>
        <v>171.2563155561644</v>
      </c>
      <c r="O799" s="12">
        <f t="shared" ca="1" si="110"/>
        <v>0.30289068023047605</v>
      </c>
    </row>
    <row r="800" spans="2:15" x14ac:dyDescent="0.15">
      <c r="B800" s="6">
        <f t="shared" ca="1" si="103"/>
        <v>-1.3262108170965974</v>
      </c>
      <c r="C800" s="6">
        <f t="shared" ca="1" si="103"/>
        <v>-0.15727757401127518</v>
      </c>
      <c r="D800" s="6">
        <f t="shared" ca="1" si="103"/>
        <v>0.12386390921105027</v>
      </c>
      <c r="E800" s="8">
        <f t="shared" ca="1" si="104"/>
        <v>-3.0195697244963203E-2</v>
      </c>
      <c r="F800" s="8">
        <f t="shared" ca="1" si="105"/>
        <v>-5.2809398486011488E-2</v>
      </c>
      <c r="G800" s="8">
        <f t="shared" ca="1" si="106"/>
        <v>-4.7859871970646978E-2</v>
      </c>
      <c r="H800" s="10">
        <f t="shared" ca="1" si="107"/>
        <v>3894.7340798642281</v>
      </c>
      <c r="I800" s="10">
        <f t="shared" ca="1" si="108"/>
        <v>515.27168722360977</v>
      </c>
      <c r="J800" s="10">
        <f t="shared" ca="1" si="109"/>
        <v>2128.9853262736333</v>
      </c>
      <c r="K800" s="12">
        <f t="array" aca="1" ref="K800:L800" ca="1">Opt3Spd(H800:J800,$E$3:$G$3,$K$3:$M$3,$N$3:$P$3,$H$3,$I$3,$Q$3,$J$3)</f>
        <v>180.87989831653681</v>
      </c>
      <c r="L800" s="12">
        <f ca="1"/>
        <v>7.3181146901106331E-2</v>
      </c>
      <c r="M800" s="12">
        <f t="array" aca="1" ref="M800:N800" ca="1">Opt3Spd(H800:J800,$E$3:$G$3,$K$3:$M$3,$N$3:$P$3,$H$4,$I$3,$Q$3,$J$3)</f>
        <v>2.90554679656152E-2</v>
      </c>
      <c r="N800" s="12">
        <f ca="1"/>
        <v>219.2223382983299</v>
      </c>
      <c r="O800" s="12">
        <f t="shared" ca="1" si="110"/>
        <v>0.10223661486672153</v>
      </c>
    </row>
    <row r="801" spans="2:15" x14ac:dyDescent="0.15">
      <c r="B801" s="6">
        <f t="shared" ca="1" si="103"/>
        <v>8.5654412008945996E-2</v>
      </c>
      <c r="C801" s="6">
        <f t="shared" ca="1" si="103"/>
        <v>0.154718010956922</v>
      </c>
      <c r="D801" s="6">
        <f t="shared" ca="1" si="103"/>
        <v>-1.7783626802172423</v>
      </c>
      <c r="E801" s="8">
        <f t="shared" ca="1" si="104"/>
        <v>1.9502138418533862E-3</v>
      </c>
      <c r="F801" s="8">
        <f t="shared" ca="1" si="105"/>
        <v>6.7339579338658497E-3</v>
      </c>
      <c r="G801" s="8">
        <f t="shared" ca="1" si="106"/>
        <v>-1.534904864837084E-2</v>
      </c>
      <c r="H801" s="10">
        <f t="shared" ca="1" si="107"/>
        <v>4023.8320587888834</v>
      </c>
      <c r="I801" s="10">
        <f t="shared" ca="1" si="108"/>
        <v>547.66327311602299</v>
      </c>
      <c r="J801" s="10">
        <f t="shared" ca="1" si="109"/>
        <v>2201.679527222243</v>
      </c>
      <c r="K801" s="12">
        <f t="array" aca="1" ref="K801:L801" ca="1">Opt3Spd(H801:J801,$E$3:$G$3,$K$3:$M$3,$N$3:$P$3,$H$3,$I$3,$Q$3,$J$3)</f>
        <v>221.74148779169627</v>
      </c>
      <c r="L801" s="12">
        <f ca="1"/>
        <v>1.042959957135281E-2</v>
      </c>
      <c r="M801" s="12">
        <f t="array" aca="1" ref="M801:N801" ca="1">Opt3Spd(H801:J801,$E$3:$G$3,$K$3:$M$3,$N$3:$P$3,$H$4,$I$3,$Q$3,$J$3)</f>
        <v>0.20483096106019971</v>
      </c>
      <c r="N801" s="12">
        <f ca="1"/>
        <v>178.47377276893528</v>
      </c>
      <c r="O801" s="12">
        <f t="shared" ca="1" si="110"/>
        <v>0.21526056063155252</v>
      </c>
    </row>
    <row r="802" spans="2:15" x14ac:dyDescent="0.15">
      <c r="B802" s="6">
        <f t="shared" ca="1" si="103"/>
        <v>-0.61813517509165361</v>
      </c>
      <c r="C802" s="6">
        <f t="shared" ca="1" si="103"/>
        <v>1.4556152461422696</v>
      </c>
      <c r="D802" s="6">
        <f t="shared" ca="1" si="103"/>
        <v>0.26359680571574717</v>
      </c>
      <c r="E802" s="8">
        <f t="shared" ca="1" si="104"/>
        <v>-1.4073948397127563E-2</v>
      </c>
      <c r="F802" s="8">
        <f t="shared" ca="1" si="105"/>
        <v>1.0533599301966994E-2</v>
      </c>
      <c r="G802" s="8">
        <f t="shared" ca="1" si="106"/>
        <v>-1.5675561315452714E-2</v>
      </c>
      <c r="H802" s="10">
        <f t="shared" ca="1" si="107"/>
        <v>3959.4790232371356</v>
      </c>
      <c r="I802" s="10">
        <f t="shared" ca="1" si="108"/>
        <v>549.73027802027013</v>
      </c>
      <c r="J802" s="10">
        <f t="shared" ca="1" si="109"/>
        <v>2200.9494448986479</v>
      </c>
      <c r="K802" s="12">
        <f t="array" aca="1" ref="K802:L802" ca="1">Opt3Spd(H802:J802,$E$3:$G$3,$K$3:$M$3,$N$3:$P$3,$H$3,$I$3,$Q$3,$J$3)</f>
        <v>154.69171586329526</v>
      </c>
      <c r="L802" s="12">
        <f ca="1"/>
        <v>0.25585990791591939</v>
      </c>
      <c r="M802" s="12">
        <f t="array" aca="1" ref="M802:N802" ca="1">Opt3Spd(H802:J802,$E$3:$G$3,$K$3:$M$3,$N$3:$P$3,$H$4,$I$3,$Q$3,$J$3)</f>
        <v>7.9738085542868653E-3</v>
      </c>
      <c r="N802" s="12">
        <f ca="1"/>
        <v>245.57211785317494</v>
      </c>
      <c r="O802" s="12">
        <f t="shared" ca="1" si="110"/>
        <v>0.26383371647020626</v>
      </c>
    </row>
    <row r="803" spans="2:15" x14ac:dyDescent="0.15">
      <c r="B803" s="6">
        <f t="shared" ca="1" si="103"/>
        <v>0.5488355482390227</v>
      </c>
      <c r="C803" s="6">
        <f t="shared" ca="1" si="103"/>
        <v>-1.4878787232255541</v>
      </c>
      <c r="D803" s="6">
        <f t="shared" ca="1" si="103"/>
        <v>-1.5588266413564986</v>
      </c>
      <c r="E803" s="8">
        <f t="shared" ca="1" si="104"/>
        <v>1.249610683177819E-2</v>
      </c>
      <c r="F803" s="8">
        <f t="shared" ca="1" si="105"/>
        <v>-1.3845855035640536E-2</v>
      </c>
      <c r="G803" s="8">
        <f t="shared" ca="1" si="106"/>
        <v>-7.6220808392043473E-4</v>
      </c>
      <c r="H803" s="10">
        <f t="shared" ca="1" si="107"/>
        <v>4066.1843650364212</v>
      </c>
      <c r="I803" s="10">
        <f t="shared" ca="1" si="108"/>
        <v>536.46785486061151</v>
      </c>
      <c r="J803" s="10">
        <f t="shared" ca="1" si="109"/>
        <v>2234.2957027243538</v>
      </c>
      <c r="K803" s="12">
        <f t="array" aca="1" ref="K803:L803" ca="1">Opt3Spd(H803:J803,$E$3:$G$3,$K$3:$M$3,$N$3:$P$3,$H$3,$I$3,$Q$3,$J$3)</f>
        <v>265.68884829085005</v>
      </c>
      <c r="L803" s="12">
        <f ca="1"/>
        <v>9.0239358428334526E-4</v>
      </c>
      <c r="M803" s="12">
        <f t="array" aca="1" ref="M803:N803" ca="1">Opt3Spd(H803:J803,$E$3:$G$3,$K$3:$M$3,$N$3:$P$3,$H$4,$I$3,$Q$3,$J$3)</f>
        <v>1.1092186258269692</v>
      </c>
      <c r="N803" s="12">
        <f ca="1"/>
        <v>135.42127272856121</v>
      </c>
      <c r="O803" s="12">
        <f t="shared" ca="1" si="110"/>
        <v>1.1101210194112525</v>
      </c>
    </row>
    <row r="804" spans="2:15" x14ac:dyDescent="0.15">
      <c r="B804" s="6">
        <f t="shared" ca="1" si="103"/>
        <v>-0.74450148529635352</v>
      </c>
      <c r="C804" s="6">
        <f t="shared" ca="1" si="103"/>
        <v>-1.4589573894540784</v>
      </c>
      <c r="D804" s="6">
        <f t="shared" ca="1" si="103"/>
        <v>0.34920433559970232</v>
      </c>
      <c r="E804" s="8">
        <f t="shared" ca="1" si="104"/>
        <v>-1.6951106987386819E-2</v>
      </c>
      <c r="F804" s="8">
        <f t="shared" ca="1" si="105"/>
        <v>-6.1155416217815062E-2</v>
      </c>
      <c r="G804" s="8">
        <f t="shared" ca="1" si="106"/>
        <v>-2.7866991906029179E-2</v>
      </c>
      <c r="H804" s="10">
        <f t="shared" ca="1" si="107"/>
        <v>3947.9243543386547</v>
      </c>
      <c r="I804" s="10">
        <f t="shared" ca="1" si="108"/>
        <v>510.7314535775086</v>
      </c>
      <c r="J804" s="10">
        <f t="shared" ca="1" si="109"/>
        <v>2173.689406098119</v>
      </c>
      <c r="K804" s="12">
        <f t="array" aca="1" ref="K804:L804" ca="1">Opt3Spd(H804:J804,$E$3:$G$3,$K$3:$M$3,$N$3:$P$3,$H$3,$I$3,$Q$3,$J$3)</f>
        <v>218.92074101641265</v>
      </c>
      <c r="L804" s="12">
        <f ca="1"/>
        <v>1.141545083123674E-2</v>
      </c>
      <c r="M804" s="12">
        <f t="array" aca="1" ref="M804:N804" ca="1">Opt3Spd(H804:J804,$E$3:$G$3,$K$3:$M$3,$N$3:$P$3,$H$4,$I$3,$Q$3,$J$3)</f>
        <v>0.17719420158287491</v>
      </c>
      <c r="N804" s="12">
        <f ca="1"/>
        <v>181.26786863600145</v>
      </c>
      <c r="O804" s="12">
        <f t="shared" ca="1" si="110"/>
        <v>0.18860965241411165</v>
      </c>
    </row>
    <row r="805" spans="2:15" x14ac:dyDescent="0.15">
      <c r="B805" s="6">
        <f t="shared" ca="1" si="103"/>
        <v>-2.1238776686530731E-4</v>
      </c>
      <c r="C805" s="6">
        <f t="shared" ca="1" si="103"/>
        <v>-2.0093633021356636</v>
      </c>
      <c r="D805" s="6">
        <f t="shared" ca="1" si="103"/>
        <v>-0.66188157882263243</v>
      </c>
      <c r="E805" s="8">
        <f t="shared" ca="1" si="104"/>
        <v>-4.8357294512487214E-6</v>
      </c>
      <c r="F805" s="8">
        <f t="shared" ca="1" si="105"/>
        <v>-4.6200120700566949E-2</v>
      </c>
      <c r="G805" s="8">
        <f t="shared" ca="1" si="106"/>
        <v>-1.2891986409376381E-2</v>
      </c>
      <c r="H805" s="10">
        <f t="shared" ca="1" si="107"/>
        <v>4015.9805797105241</v>
      </c>
      <c r="I805" s="10">
        <f t="shared" ca="1" si="108"/>
        <v>518.86713433889156</v>
      </c>
      <c r="J805" s="10">
        <f t="shared" ca="1" si="109"/>
        <v>2207.1735183886344</v>
      </c>
      <c r="K805" s="12">
        <f t="array" aca="1" ref="K805:L805" ca="1">Opt3Spd(H805:J805,$E$3:$G$3,$K$3:$M$3,$N$3:$P$3,$H$3,$I$3,$Q$3,$J$3)</f>
        <v>257.20781659271529</v>
      </c>
      <c r="L805" s="12">
        <f ca="1"/>
        <v>1.4110187350979686E-3</v>
      </c>
      <c r="M805" s="12">
        <f t="array" aca="1" ref="M805:N805" ca="1">Opt3Spd(H805:J805,$E$3:$G$3,$K$3:$M$3,$N$3:$P$3,$H$4,$I$3,$Q$3,$J$3)</f>
        <v>0.81236155998178106</v>
      </c>
      <c r="N805" s="12">
        <f ca="1"/>
        <v>143.60595598600159</v>
      </c>
      <c r="O805" s="12">
        <f t="shared" ca="1" si="110"/>
        <v>0.81377257871687902</v>
      </c>
    </row>
    <row r="806" spans="2:15" x14ac:dyDescent="0.15">
      <c r="B806" s="6">
        <f t="shared" ca="1" si="103"/>
        <v>0.87288444819717792</v>
      </c>
      <c r="C806" s="6">
        <f t="shared" ca="1" si="103"/>
        <v>1.0181959399605234</v>
      </c>
      <c r="D806" s="6">
        <f t="shared" ca="1" si="103"/>
        <v>-6.5003980705241101E-3</v>
      </c>
      <c r="E806" s="8">
        <f t="shared" ca="1" si="104"/>
        <v>1.987418153118484E-2</v>
      </c>
      <c r="F806" s="8">
        <f t="shared" ca="1" si="105"/>
        <v>5.5785148514893239E-2</v>
      </c>
      <c r="G806" s="8">
        <f t="shared" ca="1" si="106"/>
        <v>3.495489920788647E-2</v>
      </c>
      <c r="H806" s="10">
        <f t="shared" ca="1" si="107"/>
        <v>4095.8147130292386</v>
      </c>
      <c r="I806" s="10">
        <f t="shared" ca="1" si="108"/>
        <v>574.34712079210192</v>
      </c>
      <c r="J806" s="10">
        <f t="shared" ca="1" si="109"/>
        <v>2314.1591546288341</v>
      </c>
      <c r="K806" s="12">
        <f t="array" aca="1" ref="K806:L806" ca="1">Opt3Spd(H806:J806,$E$3:$G$3,$K$3:$M$3,$N$3:$P$3,$H$3,$I$3,$Q$3,$J$3)</f>
        <v>194.82693955935679</v>
      </c>
      <c r="L806" s="12">
        <f ca="1"/>
        <v>4.719711189818554E-2</v>
      </c>
      <c r="M806" s="12">
        <f t="array" aca="1" ref="M806:N806" ca="1">Opt3Spd(H806:J806,$E$3:$G$3,$K$3:$M$3,$N$3:$P$3,$H$4,$I$3,$Q$3,$J$3)</f>
        <v>6.9292147394572012E-2</v>
      </c>
      <c r="N806" s="12">
        <f ca="1"/>
        <v>205.28954969993598</v>
      </c>
      <c r="O806" s="12">
        <f t="shared" ca="1" si="110"/>
        <v>0.11648925929275755</v>
      </c>
    </row>
    <row r="807" spans="2:15" x14ac:dyDescent="0.15">
      <c r="B807" s="6">
        <f t="shared" ca="1" si="103"/>
        <v>1.2597497849908659</v>
      </c>
      <c r="C807" s="6">
        <f t="shared" ca="1" si="103"/>
        <v>0.18436877300163307</v>
      </c>
      <c r="D807" s="6">
        <f t="shared" ca="1" si="103"/>
        <v>0.45222515650431133</v>
      </c>
      <c r="E807" s="8">
        <f t="shared" ca="1" si="104"/>
        <v>2.8682485937845448E-2</v>
      </c>
      <c r="F807" s="8">
        <f t="shared" ca="1" si="105"/>
        <v>5.0966911014895838E-2</v>
      </c>
      <c r="G807" s="8">
        <f t="shared" ca="1" si="106"/>
        <v>5.1633954836626583E-2</v>
      </c>
      <c r="H807" s="10">
        <f t="shared" ca="1" si="107"/>
        <v>4131.1888635263867</v>
      </c>
      <c r="I807" s="10">
        <f t="shared" ca="1" si="108"/>
        <v>571.72599959210334</v>
      </c>
      <c r="J807" s="10">
        <f t="shared" ca="1" si="109"/>
        <v>2351.4535230146967</v>
      </c>
      <c r="K807" s="12">
        <f t="array" aca="1" ref="K807:L807" ca="1">Opt3Spd(H807:J807,$E$3:$G$3,$K$3:$M$3,$N$3:$P$3,$H$3,$I$3,$Q$3,$J$3)</f>
        <v>215.71802704117476</v>
      </c>
      <c r="L807" s="12">
        <f ca="1"/>
        <v>1.7524369501870751E-2</v>
      </c>
      <c r="M807" s="12">
        <f t="array" aca="1" ref="M807:N807" ca="1">Opt3Spd(H807:J807,$E$3:$G$3,$K$3:$M$3,$N$3:$P$3,$H$4,$I$3,$Q$3,$J$3)</f>
        <v>0.17862304546759589</v>
      </c>
      <c r="N807" s="12">
        <f ca="1"/>
        <v>184.4781203737947</v>
      </c>
      <c r="O807" s="12">
        <f t="shared" ca="1" si="110"/>
        <v>0.19614741496946664</v>
      </c>
    </row>
    <row r="808" spans="2:15" x14ac:dyDescent="0.15">
      <c r="B808" s="6">
        <f t="shared" ca="1" si="103"/>
        <v>1.1855782112138857</v>
      </c>
      <c r="C808" s="6">
        <f t="shared" ca="1" si="103"/>
        <v>0.83261297138732815</v>
      </c>
      <c r="D808" s="6">
        <f t="shared" ca="1" si="103"/>
        <v>-0.31351086877914591</v>
      </c>
      <c r="E808" s="8">
        <f t="shared" ca="1" si="104"/>
        <v>2.6993717940269227E-2</v>
      </c>
      <c r="F808" s="8">
        <f t="shared" ca="1" si="105"/>
        <v>6.3117786375466292E-2</v>
      </c>
      <c r="G808" s="8">
        <f t="shared" ca="1" si="106"/>
        <v>4.2633418358021861E-2</v>
      </c>
      <c r="H808" s="10">
        <f t="shared" ca="1" si="107"/>
        <v>4124.406771248121</v>
      </c>
      <c r="I808" s="10">
        <f t="shared" ca="1" si="108"/>
        <v>578.33607578825377</v>
      </c>
      <c r="J808" s="10">
        <f t="shared" ca="1" si="109"/>
        <v>2331.328323448537</v>
      </c>
      <c r="K808" s="12">
        <f t="array" aca="1" ref="K808:L808" ca="1">Opt3Spd(H808:J808,$E$3:$G$3,$K$3:$M$3,$N$3:$P$3,$H$3,$I$3,$Q$3,$J$3)</f>
        <v>208.42977945949406</v>
      </c>
      <c r="L808" s="12">
        <f ca="1"/>
        <v>2.489119684742036E-2</v>
      </c>
      <c r="M808" s="12">
        <f t="array" aca="1" ref="M808:N808" ca="1">Opt3Spd(H808:J808,$E$3:$G$3,$K$3:$M$3,$N$3:$P$3,$H$4,$I$3,$Q$3,$J$3)</f>
        <v>0.12934122756152355</v>
      </c>
      <c r="N808" s="12">
        <f ca="1"/>
        <v>191.72445296491489</v>
      </c>
      <c r="O808" s="12">
        <f t="shared" ca="1" si="110"/>
        <v>0.15423242440894391</v>
      </c>
    </row>
    <row r="809" spans="2:15" x14ac:dyDescent="0.15">
      <c r="B809" s="6">
        <f t="shared" ca="1" si="103"/>
        <v>0.5436554321466408</v>
      </c>
      <c r="C809" s="6">
        <f t="shared" ca="1" si="103"/>
        <v>0.81699466772731322</v>
      </c>
      <c r="D809" s="6">
        <f t="shared" ca="1" si="103"/>
        <v>-0.87710254945507704</v>
      </c>
      <c r="E809" s="8">
        <f t="shared" ca="1" si="104"/>
        <v>1.237816388092686E-2</v>
      </c>
      <c r="F809" s="8">
        <f t="shared" ca="1" si="105"/>
        <v>3.894757155835786E-2</v>
      </c>
      <c r="G809" s="8">
        <f t="shared" ca="1" si="106"/>
        <v>1.3000907060008074E-2</v>
      </c>
      <c r="H809" s="10">
        <f t="shared" ca="1" si="107"/>
        <v>4065.7107061458023</v>
      </c>
      <c r="I809" s="10">
        <f t="shared" ca="1" si="108"/>
        <v>565.18747892774661</v>
      </c>
      <c r="J809" s="10">
        <f t="shared" ca="1" si="109"/>
        <v>2265.0700281861782</v>
      </c>
      <c r="K809" s="12">
        <f t="array" aca="1" ref="K809:L809" ca="1">Opt3Spd(H809:J809,$E$3:$G$3,$K$3:$M$3,$N$3:$P$3,$H$3,$I$3,$Q$3,$J$3)</f>
        <v>203.90426719017341</v>
      </c>
      <c r="L809" s="12">
        <f ca="1"/>
        <v>2.8541421854697546E-2</v>
      </c>
      <c r="M809" s="12">
        <f t="array" aca="1" ref="M809:N809" ca="1">Opt3Spd(H809:J809,$E$3:$G$3,$K$3:$M$3,$N$3:$P$3,$H$4,$I$3,$Q$3,$J$3)</f>
        <v>9.986205815324567E-2</v>
      </c>
      <c r="N809" s="12">
        <f ca="1"/>
        <v>196.22413628983452</v>
      </c>
      <c r="O809" s="12">
        <f t="shared" ca="1" si="110"/>
        <v>0.12840348000794322</v>
      </c>
    </row>
    <row r="810" spans="2:15" x14ac:dyDescent="0.15">
      <c r="B810" s="6">
        <f t="shared" ca="1" si="103"/>
        <v>0.61355783064815261</v>
      </c>
      <c r="C810" s="6">
        <f t="shared" ca="1" si="103"/>
        <v>1.9072322488979545</v>
      </c>
      <c r="D810" s="6">
        <f t="shared" ca="1" si="103"/>
        <v>1.6773921694185356</v>
      </c>
      <c r="E810" s="8">
        <f t="shared" ca="1" si="104"/>
        <v>1.3969729591776192E-2</v>
      </c>
      <c r="F810" s="8">
        <f t="shared" ca="1" si="105"/>
        <v>6.6603420861023291E-2</v>
      </c>
      <c r="G810" s="8">
        <f t="shared" ca="1" si="106"/>
        <v>4.5947106614828412E-2</v>
      </c>
      <c r="H810" s="10">
        <f t="shared" ca="1" si="107"/>
        <v>4072.1024340405734</v>
      </c>
      <c r="I810" s="10">
        <f t="shared" ca="1" si="108"/>
        <v>580.23226094839674</v>
      </c>
      <c r="J810" s="10">
        <f t="shared" ca="1" si="109"/>
        <v>2338.7377303907565</v>
      </c>
      <c r="K810" s="12">
        <f t="array" aca="1" ref="K810:L810" ca="1">Opt3Spd(H810:J810,$E$3:$G$3,$K$3:$M$3,$N$3:$P$3,$H$3,$I$3,$Q$3,$J$3)</f>
        <v>149.71765387825258</v>
      </c>
      <c r="L810" s="12">
        <f ca="1"/>
        <v>0.35570255049242405</v>
      </c>
      <c r="M810" s="12">
        <f t="array" aca="1" ref="M810:N810" ca="1">Opt3Spd(H810:J810,$E$3:$G$3,$K$3:$M$3,$N$3:$P$3,$H$4,$I$3,$Q$3,$J$3)</f>
        <v>7.353849543295099E-3</v>
      </c>
      <c r="N810" s="12">
        <f ca="1"/>
        <v>250.64540252178315</v>
      </c>
      <c r="O810" s="12">
        <f t="shared" ca="1" si="110"/>
        <v>0.36305640003571915</v>
      </c>
    </row>
    <row r="811" spans="2:15" x14ac:dyDescent="0.15">
      <c r="B811" s="6">
        <f t="shared" ca="1" si="103"/>
        <v>1.1474988783473512</v>
      </c>
      <c r="C811" s="6">
        <f t="shared" ca="1" si="103"/>
        <v>0.12038462181714445</v>
      </c>
      <c r="D811" s="6">
        <f t="shared" ca="1" si="103"/>
        <v>1.0136951538292731</v>
      </c>
      <c r="E811" s="8">
        <f t="shared" ca="1" si="104"/>
        <v>2.6126712490075935E-2</v>
      </c>
      <c r="F811" s="8">
        <f t="shared" ca="1" si="105"/>
        <v>4.5332230630779846E-2</v>
      </c>
      <c r="G811" s="8">
        <f t="shared" ca="1" si="106"/>
        <v>5.3305665355380678E-2</v>
      </c>
      <c r="H811" s="10">
        <f t="shared" ca="1" si="107"/>
        <v>4120.9248773601448</v>
      </c>
      <c r="I811" s="10">
        <f t="shared" ca="1" si="108"/>
        <v>568.66073346314431</v>
      </c>
      <c r="J811" s="10">
        <f t="shared" ca="1" si="109"/>
        <v>2355.1914677346313</v>
      </c>
      <c r="K811" s="12">
        <f t="array" aca="1" ref="K811:L811" ca="1">Opt3Spd(H811:J811,$E$3:$G$3,$K$3:$M$3,$N$3:$P$3,$H$3,$I$3,$Q$3,$J$3)</f>
        <v>208.49716148881703</v>
      </c>
      <c r="L811" s="12">
        <f ca="1"/>
        <v>2.5191537018827148E-2</v>
      </c>
      <c r="M811" s="12">
        <f t="array" aca="1" ref="M811:N811" ca="1">Opt3Spd(H811:J811,$E$3:$G$3,$K$3:$M$3,$N$3:$P$3,$H$4,$I$3,$Q$3,$J$3)</f>
        <v>0.13150015381793523</v>
      </c>
      <c r="N811" s="12">
        <f ca="1"/>
        <v>191.65953020201974</v>
      </c>
      <c r="O811" s="12">
        <f t="shared" ca="1" si="110"/>
        <v>0.15669169083676238</v>
      </c>
    </row>
    <row r="812" spans="2:15" x14ac:dyDescent="0.15">
      <c r="B812" s="6">
        <f t="shared" ca="1" si="103"/>
        <v>-8.0412413280145867E-2</v>
      </c>
      <c r="C812" s="6">
        <f t="shared" ca="1" si="103"/>
        <v>-1.8824400874242164</v>
      </c>
      <c r="D812" s="6">
        <f t="shared" ca="1" si="103"/>
        <v>-0.8152181934251983</v>
      </c>
      <c r="E812" s="8">
        <f t="shared" ca="1" si="104"/>
        <v>-1.8308619224354332E-3</v>
      </c>
      <c r="F812" s="8">
        <f t="shared" ca="1" si="105"/>
        <v>-4.6257247750329723E-2</v>
      </c>
      <c r="G812" s="8">
        <f t="shared" ca="1" si="106"/>
        <v>-1.710345381954273E-2</v>
      </c>
      <c r="H812" s="10">
        <f t="shared" ca="1" si="107"/>
        <v>4008.6472585194992</v>
      </c>
      <c r="I812" s="10">
        <f t="shared" ca="1" si="108"/>
        <v>518.8360572238206</v>
      </c>
      <c r="J812" s="10">
        <f t="shared" ca="1" si="109"/>
        <v>2197.7566772595023</v>
      </c>
      <c r="K812" s="12">
        <f t="array" aca="1" ref="K812:L812" ca="1">Opt3Spd(H812:J812,$E$3:$G$3,$K$3:$M$3,$N$3:$P$3,$H$3,$I$3,$Q$3,$J$3)</f>
        <v>254.63284592668151</v>
      </c>
      <c r="L812" s="12">
        <f ca="1"/>
        <v>1.6175950468095834E-3</v>
      </c>
      <c r="M812" s="12">
        <f t="array" aca="1" ref="M812:N812" ca="1">Opt3Spd(H812:J812,$E$3:$G$3,$K$3:$M$3,$N$3:$P$3,$H$4,$I$3,$Q$3,$J$3)</f>
        <v>0.73675227524398679</v>
      </c>
      <c r="N812" s="12">
        <f ca="1"/>
        <v>146.10552394360928</v>
      </c>
      <c r="O812" s="12">
        <f t="shared" ca="1" si="110"/>
        <v>0.73836987029079637</v>
      </c>
    </row>
    <row r="813" spans="2:15" x14ac:dyDescent="0.15">
      <c r="B813" s="6">
        <f t="shared" ca="1" si="103"/>
        <v>0.73675378659901558</v>
      </c>
      <c r="C813" s="6">
        <f t="shared" ca="1" si="103"/>
        <v>-0.31132217338268087</v>
      </c>
      <c r="D813" s="6">
        <f t="shared" ca="1" si="103"/>
        <v>0.4515111611325161</v>
      </c>
      <c r="E813" s="8">
        <f t="shared" ca="1" si="104"/>
        <v>1.6774704290927006E-2</v>
      </c>
      <c r="F813" s="8">
        <f t="shared" ca="1" si="105"/>
        <v>2.0171960186659871E-2</v>
      </c>
      <c r="G813" s="8">
        <f t="shared" ca="1" si="106"/>
        <v>3.0973349741166153E-2</v>
      </c>
      <c r="H813" s="10">
        <f t="shared" ca="1" si="107"/>
        <v>4083.3672124323625</v>
      </c>
      <c r="I813" s="10">
        <f t="shared" ca="1" si="108"/>
        <v>554.97354634154294</v>
      </c>
      <c r="J813" s="10">
        <f t="shared" ca="1" si="109"/>
        <v>2305.2564100212476</v>
      </c>
      <c r="K813" s="12">
        <f t="array" aca="1" ref="K813:L813" ca="1">Opt3Spd(H813:J813,$E$3:$G$3,$K$3:$M$3,$N$3:$P$3,$H$3,$I$3,$Q$3,$J$3)</f>
        <v>217.79598123951928</v>
      </c>
      <c r="L813" s="12">
        <f ca="1"/>
        <v>1.4647964249434153E-2</v>
      </c>
      <c r="M813" s="12">
        <f t="array" aca="1" ref="M813:N813" ca="1">Opt3Spd(H813:J813,$E$3:$G$3,$K$3:$M$3,$N$3:$P$3,$H$4,$I$3,$Q$3,$J$3)</f>
        <v>0.18724856755964936</v>
      </c>
      <c r="N813" s="12">
        <f ca="1"/>
        <v>182.40591529228982</v>
      </c>
      <c r="O813" s="12">
        <f t="shared" ca="1" si="110"/>
        <v>0.20189653180908351</v>
      </c>
    </row>
    <row r="814" spans="2:15" x14ac:dyDescent="0.15">
      <c r="B814" s="6">
        <f t="shared" ca="1" si="103"/>
        <v>0.74263215011714501</v>
      </c>
      <c r="C814" s="6">
        <f t="shared" ca="1" si="103"/>
        <v>1.0076634373856672</v>
      </c>
      <c r="D814" s="6">
        <f t="shared" ca="1" si="103"/>
        <v>-4.6488762462796658E-2</v>
      </c>
      <c r="E814" s="8">
        <f t="shared" ca="1" si="104"/>
        <v>1.6908545217875458E-2</v>
      </c>
      <c r="F814" s="8">
        <f t="shared" ca="1" si="105"/>
        <v>5.0711506282647381E-2</v>
      </c>
      <c r="G814" s="8">
        <f t="shared" ca="1" si="106"/>
        <v>2.9713067826396079E-2</v>
      </c>
      <c r="H814" s="10">
        <f t="shared" ca="1" si="107"/>
        <v>4083.9047175949877</v>
      </c>
      <c r="I814" s="10">
        <f t="shared" ca="1" si="108"/>
        <v>571.58705941776009</v>
      </c>
      <c r="J814" s="10">
        <f t="shared" ca="1" si="109"/>
        <v>2302.4384196598216</v>
      </c>
      <c r="K814" s="12">
        <f t="array" aca="1" ref="K814:L814" ca="1">Opt3Spd(H814:J814,$E$3:$G$3,$K$3:$M$3,$N$3:$P$3,$H$3,$I$3,$Q$3,$J$3)</f>
        <v>193.19647752338574</v>
      </c>
      <c r="L814" s="12">
        <f ca="1"/>
        <v>5.0264826725197054E-2</v>
      </c>
      <c r="M814" s="12">
        <f t="array" aca="1" ref="M814:N814" ca="1">Opt3Spd(H814:J814,$E$3:$G$3,$K$3:$M$3,$N$3:$P$3,$H$4,$I$3,$Q$3,$J$3)</f>
        <v>6.3500078860862175E-2</v>
      </c>
      <c r="N814" s="12">
        <f ca="1"/>
        <v>206.91728738220033</v>
      </c>
      <c r="O814" s="12">
        <f t="shared" ca="1" si="110"/>
        <v>0.11376490558605923</v>
      </c>
    </row>
    <row r="815" spans="2:15" x14ac:dyDescent="0.15">
      <c r="B815" s="6">
        <f t="shared" ca="1" si="103"/>
        <v>0.52944700560066338</v>
      </c>
      <c r="C815" s="6">
        <f t="shared" ca="1" si="103"/>
        <v>0.23781052563349772</v>
      </c>
      <c r="D815" s="6">
        <f t="shared" ca="1" si="103"/>
        <v>0.84681766717591167</v>
      </c>
      <c r="E815" s="8">
        <f t="shared" ca="1" si="104"/>
        <v>1.2054660753988948E-2</v>
      </c>
      <c r="F815" s="8">
        <f t="shared" ca="1" si="105"/>
        <v>2.5105958062851999E-2</v>
      </c>
      <c r="G815" s="8">
        <f t="shared" ca="1" si="106"/>
        <v>2.9162573679135793E-2</v>
      </c>
      <c r="H815" s="10">
        <f t="shared" ca="1" si="107"/>
        <v>4064.4115175880193</v>
      </c>
      <c r="I815" s="10">
        <f t="shared" ca="1" si="108"/>
        <v>557.65764118619154</v>
      </c>
      <c r="J815" s="10">
        <f t="shared" ca="1" si="109"/>
        <v>2301.207514746548</v>
      </c>
      <c r="K815" s="12">
        <f t="array" aca="1" ref="K815:L815" ca="1">Opt3Spd(H815:J815,$E$3:$G$3,$K$3:$M$3,$N$3:$P$3,$H$3,$I$3,$Q$3,$J$3)</f>
        <v>196.59761110147087</v>
      </c>
      <c r="L815" s="12">
        <f ca="1"/>
        <v>4.2076784632172348E-2</v>
      </c>
      <c r="M815" s="12">
        <f t="array" aca="1" ref="M815:N815" ca="1">Opt3Spd(H815:J815,$E$3:$G$3,$K$3:$M$3,$N$3:$P$3,$H$4,$I$3,$Q$3,$J$3)</f>
        <v>7.3671850730296917E-2</v>
      </c>
      <c r="N815" s="12">
        <f ca="1"/>
        <v>203.5181375338916</v>
      </c>
      <c r="O815" s="12">
        <f t="shared" ca="1" si="110"/>
        <v>0.11574863536246927</v>
      </c>
    </row>
    <row r="816" spans="2:15" x14ac:dyDescent="0.15">
      <c r="B816" s="6">
        <f t="shared" ca="1" si="103"/>
        <v>-0.18720821771204899</v>
      </c>
      <c r="C816" s="6">
        <f t="shared" ca="1" si="103"/>
        <v>0.96156588392903264</v>
      </c>
      <c r="D816" s="6">
        <f t="shared" ca="1" si="103"/>
        <v>2.5706858643516736E-2</v>
      </c>
      <c r="E816" s="8">
        <f t="shared" ca="1" si="104"/>
        <v>-4.2624314256294064E-3</v>
      </c>
      <c r="F816" s="8">
        <f t="shared" ca="1" si="105"/>
        <v>1.5160743359229633E-2</v>
      </c>
      <c r="G816" s="8">
        <f t="shared" ca="1" si="106"/>
        <v>-3.8124711424502196E-3</v>
      </c>
      <c r="H816" s="10">
        <f t="shared" ca="1" si="107"/>
        <v>3998.882075394672</v>
      </c>
      <c r="I816" s="10">
        <f t="shared" ca="1" si="108"/>
        <v>552.24744438742084</v>
      </c>
      <c r="J816" s="10">
        <f t="shared" ca="1" si="109"/>
        <v>2227.4753145254813</v>
      </c>
      <c r="K816" s="12">
        <f t="array" aca="1" ref="K816:L816" ca="1">Opt3Spd(H816:J816,$E$3:$G$3,$K$3:$M$3,$N$3:$P$3,$H$3,$I$3,$Q$3,$J$3)</f>
        <v>176.64805070847137</v>
      </c>
      <c r="L816" s="12">
        <f ca="1"/>
        <v>9.9543596413241175E-2</v>
      </c>
      <c r="M816" s="12">
        <f t="array" aca="1" ref="M816:N816" ca="1">Opt3Spd(H816:J816,$E$3:$G$3,$K$3:$M$3,$N$3:$P$3,$H$4,$I$3,$Q$3,$J$3)</f>
        <v>2.6262068823595275E-2</v>
      </c>
      <c r="N816" s="12">
        <f ca="1"/>
        <v>223.47775495676547</v>
      </c>
      <c r="O816" s="12">
        <f t="shared" ca="1" si="110"/>
        <v>0.12580566523683645</v>
      </c>
    </row>
    <row r="817" spans="2:15" x14ac:dyDescent="0.15">
      <c r="B817" s="6">
        <f t="shared" ca="1" si="103"/>
        <v>-0.25977185370794281</v>
      </c>
      <c r="C817" s="6">
        <f t="shared" ca="1" si="103"/>
        <v>-0.66891429166851513</v>
      </c>
      <c r="D817" s="6">
        <f t="shared" ca="1" si="103"/>
        <v>0.64246087567278498</v>
      </c>
      <c r="E817" s="8">
        <f t="shared" ca="1" si="104"/>
        <v>-5.9145892539923224E-3</v>
      </c>
      <c r="F817" s="8">
        <f t="shared" ca="1" si="105"/>
        <v>-2.5013185929560068E-2</v>
      </c>
      <c r="G817" s="8">
        <f t="shared" ca="1" si="106"/>
        <v>-4.6412635335253312E-3</v>
      </c>
      <c r="H817" s="10">
        <f t="shared" ca="1" si="107"/>
        <v>3992.2470095559665</v>
      </c>
      <c r="I817" s="10">
        <f t="shared" ca="1" si="108"/>
        <v>530.39282685431931</v>
      </c>
      <c r="J817" s="10">
        <f t="shared" ca="1" si="109"/>
        <v>2225.6221347390374</v>
      </c>
      <c r="K817" s="12">
        <f t="array" aca="1" ref="K817:L817" ca="1">Opt3Spd(H817:J817,$E$3:$G$3,$K$3:$M$3,$N$3:$P$3,$H$3,$I$3,$Q$3,$J$3)</f>
        <v>205.83151860549287</v>
      </c>
      <c r="L817" s="12">
        <f ca="1"/>
        <v>2.4099385956105834E-2</v>
      </c>
      <c r="M817" s="12">
        <f t="array" aca="1" ref="M817:N817" ca="1">Opt3Spd(H817:J817,$E$3:$G$3,$K$3:$M$3,$N$3:$P$3,$H$4,$I$3,$Q$3,$J$3)</f>
        <v>0.1041876310486245</v>
      </c>
      <c r="N817" s="12">
        <f ca="1"/>
        <v>194.29676841151186</v>
      </c>
      <c r="O817" s="12">
        <f t="shared" ca="1" si="110"/>
        <v>0.12828701700473033</v>
      </c>
    </row>
    <row r="818" spans="2:15" x14ac:dyDescent="0.15">
      <c r="B818" s="6">
        <f t="shared" ca="1" si="103"/>
        <v>-0.28036731770548629</v>
      </c>
      <c r="C818" s="6">
        <f t="shared" ca="1" si="103"/>
        <v>-1.2339371610525089</v>
      </c>
      <c r="D818" s="6">
        <f t="shared" ca="1" si="103"/>
        <v>0.23202165410758349</v>
      </c>
      <c r="E818" s="8">
        <f t="shared" ca="1" si="104"/>
        <v>-6.3835149990340064E-3</v>
      </c>
      <c r="F818" s="8">
        <f t="shared" ca="1" si="105"/>
        <v>-3.8766170730104278E-2</v>
      </c>
      <c r="G818" s="8">
        <f t="shared" ca="1" si="106"/>
        <v>-1.1410583677172336E-2</v>
      </c>
      <c r="H818" s="10">
        <f t="shared" ca="1" si="107"/>
        <v>3990.3638037638793</v>
      </c>
      <c r="I818" s="10">
        <f t="shared" ca="1" si="108"/>
        <v>522.91120312282328</v>
      </c>
      <c r="J818" s="10">
        <f t="shared" ca="1" si="109"/>
        <v>2210.485934897843</v>
      </c>
      <c r="K818" s="12">
        <f t="array" aca="1" ref="K818:L818" ca="1">Opt3Spd(H818:J818,$E$3:$G$3,$K$3:$M$3,$N$3:$P$3,$H$3,$I$3,$Q$3,$J$3)</f>
        <v>223.47234853301848</v>
      </c>
      <c r="L818" s="12">
        <f ca="1"/>
        <v>9.4372145774741512E-3</v>
      </c>
      <c r="M818" s="12">
        <f t="array" aca="1" ref="M818:N818" ca="1">Opt3Spd(H818:J818,$E$3:$G$3,$K$3:$M$3,$N$3:$P$3,$H$4,$I$3,$Q$3,$J$3)</f>
        <v>0.22053455985364678</v>
      </c>
      <c r="N818" s="12">
        <f ca="1"/>
        <v>176.75762324141266</v>
      </c>
      <c r="O818" s="12">
        <f t="shared" ca="1" si="110"/>
        <v>0.22997177443112093</v>
      </c>
    </row>
    <row r="819" spans="2:15" x14ac:dyDescent="0.15">
      <c r="B819" s="6">
        <f t="shared" ca="1" si="103"/>
        <v>0.93158506798548446</v>
      </c>
      <c r="C819" s="6">
        <f t="shared" ca="1" si="103"/>
        <v>-0.28628696800611764</v>
      </c>
      <c r="D819" s="6">
        <f t="shared" ca="1" si="103"/>
        <v>0.71317931805985058</v>
      </c>
      <c r="E819" s="8">
        <f t="shared" ca="1" si="104"/>
        <v>2.1210700673065956E-2</v>
      </c>
      <c r="F819" s="8">
        <f t="shared" ca="1" si="105"/>
        <v>2.7974459372681483E-2</v>
      </c>
      <c r="G819" s="8">
        <f t="shared" ca="1" si="106"/>
        <v>4.0991375758129778E-2</v>
      </c>
      <c r="H819" s="10">
        <f t="shared" ca="1" si="107"/>
        <v>4101.1821739030329</v>
      </c>
      <c r="I819" s="10">
        <f t="shared" ca="1" si="108"/>
        <v>559.21810589873871</v>
      </c>
      <c r="J819" s="10">
        <f t="shared" ca="1" si="109"/>
        <v>2327.656716195178</v>
      </c>
      <c r="K819" s="12">
        <f t="array" aca="1" ref="K819:L819" ca="1">Opt3Spd(H819:J819,$E$3:$G$3,$K$3:$M$3,$N$3:$P$3,$H$3,$I$3,$Q$3,$J$3)</f>
        <v>217.62009389047194</v>
      </c>
      <c r="L819" s="12">
        <f ca="1"/>
        <v>1.5247523009975339E-2</v>
      </c>
      <c r="M819" s="12">
        <f t="array" aca="1" ref="M819:N819" ca="1">Opt3Spd(H819:J819,$E$3:$G$3,$K$3:$M$3,$N$3:$P$3,$H$4,$I$3,$Q$3,$J$3)</f>
        <v>0.18917138012166745</v>
      </c>
      <c r="N819" s="12">
        <f ca="1"/>
        <v>182.58432501265972</v>
      </c>
      <c r="O819" s="12">
        <f t="shared" ca="1" si="110"/>
        <v>0.20441890313164279</v>
      </c>
    </row>
    <row r="820" spans="2:15" x14ac:dyDescent="0.15">
      <c r="B820" s="6">
        <f t="shared" ca="1" si="103"/>
        <v>-1.3213275535351654</v>
      </c>
      <c r="C820" s="6">
        <f t="shared" ca="1" si="103"/>
        <v>-1.6460442795073333</v>
      </c>
      <c r="D820" s="6">
        <f t="shared" ca="1" si="103"/>
        <v>-0.99886768645538482</v>
      </c>
      <c r="E820" s="8">
        <f t="shared" ca="1" si="104"/>
        <v>-3.0084513151026185E-2</v>
      </c>
      <c r="F820" s="8">
        <f t="shared" ca="1" si="105"/>
        <v>-8.6852770193256199E-2</v>
      </c>
      <c r="G820" s="8">
        <f t="shared" ca="1" si="106"/>
        <v>-6.3962835959584047E-2</v>
      </c>
      <c r="H820" s="10">
        <f t="shared" ca="1" si="107"/>
        <v>3895.1805951854785</v>
      </c>
      <c r="I820" s="10">
        <f t="shared" ca="1" si="108"/>
        <v>496.75209301486859</v>
      </c>
      <c r="J820" s="10">
        <f t="shared" ca="1" si="109"/>
        <v>2092.9790987943702</v>
      </c>
      <c r="K820" s="12">
        <f t="array" aca="1" ref="K820:L820" ca="1">Opt3Spd(H820:J820,$E$3:$G$3,$K$3:$M$3,$N$3:$P$3,$H$3,$I$3,$Q$3,$J$3)</f>
        <v>228.8936799799169</v>
      </c>
      <c r="L820" s="12">
        <f ca="1"/>
        <v>5.9830154134488112E-3</v>
      </c>
      <c r="M820" s="12">
        <f t="array" aca="1" ref="M820:N820" ca="1">Opt3Spd(H820:J820,$E$3:$G$3,$K$3:$M$3,$N$3:$P$3,$H$4,$I$3,$Q$3,$J$3)</f>
        <v>0.25516119407797078</v>
      </c>
      <c r="N820" s="12">
        <f ca="1"/>
        <v>171.36746422957452</v>
      </c>
      <c r="O820" s="12">
        <f t="shared" ca="1" si="110"/>
        <v>0.26114420949141959</v>
      </c>
    </row>
    <row r="821" spans="2:15" x14ac:dyDescent="0.15">
      <c r="B821" s="6">
        <f t="shared" ca="1" si="103"/>
        <v>1.4059038270513351</v>
      </c>
      <c r="C821" s="6">
        <f t="shared" ca="1" si="103"/>
        <v>-3.7515166999060136E-2</v>
      </c>
      <c r="D821" s="6">
        <f t="shared" ca="1" si="103"/>
        <v>-1.3447208000385873</v>
      </c>
      <c r="E821" s="8">
        <f t="shared" ca="1" si="104"/>
        <v>3.2010179505333594E-2</v>
      </c>
      <c r="F821" s="8">
        <f t="shared" ca="1" si="105"/>
        <v>5.1287500135458158E-2</v>
      </c>
      <c r="G821" s="8">
        <f t="shared" ca="1" si="106"/>
        <v>3.7216331056009543E-2</v>
      </c>
      <c r="H821" s="10">
        <f t="shared" ca="1" si="107"/>
        <v>4144.5528808934196</v>
      </c>
      <c r="I821" s="10">
        <f t="shared" ca="1" si="108"/>
        <v>571.9004000736893</v>
      </c>
      <c r="J821" s="10">
        <f t="shared" ca="1" si="109"/>
        <v>2319.2157162412377</v>
      </c>
      <c r="K821" s="12">
        <f t="array" aca="1" ref="K821:L821" ca="1">Opt3Spd(H821:J821,$E$3:$G$3,$K$3:$M$3,$N$3:$P$3,$H$3,$I$3,$Q$3,$J$3)</f>
        <v>244.90794344870096</v>
      </c>
      <c r="L821" s="12">
        <f ca="1"/>
        <v>3.560793803217166E-3</v>
      </c>
      <c r="M821" s="12">
        <f t="array" aca="1" ref="M821:N821" ca="1">Opt3Spd(H821:J821,$E$3:$G$3,$K$3:$M$3,$N$3:$P$3,$H$4,$I$3,$Q$3,$J$3)</f>
        <v>0.55500088323720576</v>
      </c>
      <c r="N821" s="12">
        <f ca="1"/>
        <v>155.65061822833945</v>
      </c>
      <c r="O821" s="12">
        <f t="shared" ca="1" si="110"/>
        <v>0.55856167704042292</v>
      </c>
    </row>
    <row r="822" spans="2:15" x14ac:dyDescent="0.15">
      <c r="B822" s="6">
        <f t="shared" ca="1" si="103"/>
        <v>-0.56632560901367002</v>
      </c>
      <c r="C822" s="6">
        <f t="shared" ca="1" si="103"/>
        <v>-0.47612750715466318</v>
      </c>
      <c r="D822" s="6">
        <f t="shared" ca="1" si="103"/>
        <v>1.2268250018270992</v>
      </c>
      <c r="E822" s="8">
        <f t="shared" ca="1" si="104"/>
        <v>-1.2894327516709301E-2</v>
      </c>
      <c r="F822" s="8">
        <f t="shared" ca="1" si="105"/>
        <v>-3.1952464407979109E-2</v>
      </c>
      <c r="G822" s="8">
        <f t="shared" ca="1" si="106"/>
        <v>-9.11863274413615E-3</v>
      </c>
      <c r="H822" s="10">
        <f t="shared" ca="1" si="107"/>
        <v>3964.2163806928957</v>
      </c>
      <c r="I822" s="10">
        <f t="shared" ca="1" si="108"/>
        <v>526.61785936205933</v>
      </c>
      <c r="J822" s="10">
        <f t="shared" ca="1" si="109"/>
        <v>2215.6107371841117</v>
      </c>
      <c r="K822" s="12">
        <f t="array" aca="1" ref="K822:L822" ca="1">Opt3Spd(H822:J822,$E$3:$G$3,$K$3:$M$3,$N$3:$P$3,$H$3,$I$3,$Q$3,$J$3)</f>
        <v>188.87710599177103</v>
      </c>
      <c r="L822" s="12">
        <f ca="1"/>
        <v>5.4668870226350919E-2</v>
      </c>
      <c r="M822" s="12">
        <f t="array" aca="1" ref="M822:N822" ca="1">Opt3Spd(H822:J822,$E$3:$G$3,$K$3:$M$3,$N$3:$P$3,$H$4,$I$3,$Q$3,$J$3)</f>
        <v>4.695287864556974E-2</v>
      </c>
      <c r="N822" s="12">
        <f ca="1"/>
        <v>211.2245157571009</v>
      </c>
      <c r="O822" s="12">
        <f t="shared" ca="1" si="110"/>
        <v>0.10162174887192066</v>
      </c>
    </row>
    <row r="823" spans="2:15" x14ac:dyDescent="0.15">
      <c r="B823" s="6">
        <f t="shared" ca="1" si="103"/>
        <v>0.93595260764251875</v>
      </c>
      <c r="C823" s="6">
        <f t="shared" ca="1" si="103"/>
        <v>0.66912817790373924</v>
      </c>
      <c r="D823" s="6">
        <f t="shared" ca="1" si="103"/>
        <v>0.87935127082616493</v>
      </c>
      <c r="E823" s="8">
        <f t="shared" ca="1" si="104"/>
        <v>2.1310142559294799E-2</v>
      </c>
      <c r="F823" s="8">
        <f t="shared" ca="1" si="105"/>
        <v>5.0100025112551905E-2</v>
      </c>
      <c r="G823" s="8">
        <f t="shared" ca="1" si="106"/>
        <v>4.5695613269756789E-2</v>
      </c>
      <c r="H823" s="10">
        <f t="shared" ca="1" si="107"/>
        <v>4101.5815325181275</v>
      </c>
      <c r="I823" s="10">
        <f t="shared" ca="1" si="108"/>
        <v>571.25441366122823</v>
      </c>
      <c r="J823" s="10">
        <f t="shared" ca="1" si="109"/>
        <v>2338.1753912711761</v>
      </c>
      <c r="K823" s="12">
        <f t="array" aca="1" ref="K823:L823" ca="1">Opt3Spd(H823:J823,$E$3:$G$3,$K$3:$M$3,$N$3:$P$3,$H$3,$I$3,$Q$3,$J$3)</f>
        <v>193.53801363674324</v>
      </c>
      <c r="L823" s="12">
        <f ca="1"/>
        <v>5.1238612169072439E-2</v>
      </c>
      <c r="M823" s="12">
        <f t="array" aca="1" ref="M823:N823" ca="1">Opt3Spd(H823:J823,$E$3:$G$3,$K$3:$M$3,$N$3:$P$3,$H$4,$I$3,$Q$3,$J$3)</f>
        <v>6.6565088244038506E-2</v>
      </c>
      <c r="N823" s="12">
        <f ca="1"/>
        <v>206.57979006366986</v>
      </c>
      <c r="O823" s="12">
        <f t="shared" ca="1" si="110"/>
        <v>0.11780370041311095</v>
      </c>
    </row>
    <row r="824" spans="2:15" x14ac:dyDescent="0.15">
      <c r="B824" s="6">
        <f t="shared" ca="1" si="103"/>
        <v>-1.0739178830791245</v>
      </c>
      <c r="C824" s="6">
        <f t="shared" ca="1" si="103"/>
        <v>-1.0506861936684746</v>
      </c>
      <c r="D824" s="6">
        <f t="shared" ca="1" si="103"/>
        <v>-1.0536767224855919</v>
      </c>
      <c r="E824" s="8">
        <f t="shared" ca="1" si="104"/>
        <v>-2.445139101971832E-2</v>
      </c>
      <c r="F824" s="8">
        <f t="shared" ca="1" si="105"/>
        <v>-6.3989087743871381E-2</v>
      </c>
      <c r="G824" s="8">
        <f t="shared" ca="1" si="106"/>
        <v>-5.3728983456890311E-2</v>
      </c>
      <c r="H824" s="10">
        <f t="shared" ca="1" si="107"/>
        <v>3917.8032136648112</v>
      </c>
      <c r="I824" s="10">
        <f t="shared" ca="1" si="108"/>
        <v>509.18993626733396</v>
      </c>
      <c r="J824" s="10">
        <f t="shared" ca="1" si="109"/>
        <v>2115.861992990393</v>
      </c>
      <c r="K824" s="12">
        <f t="array" aca="1" ref="K824:L824" ca="1">Opt3Spd(H824:J824,$E$3:$G$3,$K$3:$M$3,$N$3:$P$3,$H$3,$I$3,$Q$3,$J$3)</f>
        <v>220.1782586437796</v>
      </c>
      <c r="L824" s="12">
        <f ca="1"/>
        <v>9.9395018992254336E-3</v>
      </c>
      <c r="M824" s="12">
        <f t="array" aca="1" ref="M824:N824" ca="1">Opt3Spd(H824:J824,$E$3:$G$3,$K$3:$M$3,$N$3:$P$3,$H$4,$I$3,$Q$3,$J$3)</f>
        <v>0.17940776450249984</v>
      </c>
      <c r="N824" s="12">
        <f ca="1"/>
        <v>180.01108862262214</v>
      </c>
      <c r="O824" s="12">
        <f t="shared" ca="1" si="110"/>
        <v>0.18934726640172528</v>
      </c>
    </row>
    <row r="825" spans="2:15" x14ac:dyDescent="0.15">
      <c r="B825" s="6">
        <f t="shared" ca="1" si="103"/>
        <v>0.21766896767075058</v>
      </c>
      <c r="C825" s="6">
        <f t="shared" ca="1" si="103"/>
        <v>0.72741489450803287</v>
      </c>
      <c r="D825" s="6">
        <f t="shared" ca="1" si="103"/>
        <v>-0.52252232069420079</v>
      </c>
      <c r="E825" s="8">
        <f t="shared" ca="1" si="104"/>
        <v>4.9559739391953194E-3</v>
      </c>
      <c r="F825" s="8">
        <f t="shared" ca="1" si="105"/>
        <v>2.4796282752639495E-2</v>
      </c>
      <c r="G825" s="8">
        <f t="shared" ca="1" si="106"/>
        <v>4.5420094643533861E-3</v>
      </c>
      <c r="H825" s="10">
        <f t="shared" ca="1" si="107"/>
        <v>4035.9031913398085</v>
      </c>
      <c r="I825" s="10">
        <f t="shared" ca="1" si="108"/>
        <v>557.48917781743592</v>
      </c>
      <c r="J825" s="10">
        <f t="shared" ca="1" si="109"/>
        <v>2246.1559331622939</v>
      </c>
      <c r="K825" s="12">
        <f t="array" aca="1" ref="K825:L825" ca="1">Opt3Spd(H825:J825,$E$3:$G$3,$K$3:$M$3,$N$3:$P$3,$H$3,$I$3,$Q$3,$J$3)</f>
        <v>195.88369285441399</v>
      </c>
      <c r="L825" s="12">
        <f ca="1"/>
        <v>4.1152603649834418E-2</v>
      </c>
      <c r="M825" s="12">
        <f t="array" aca="1" ref="M825:N825" ca="1">Opt3Spd(H825:J825,$E$3:$G$3,$K$3:$M$3,$N$3:$P$3,$H$4,$I$3,$Q$3,$J$3)</f>
        <v>6.7957665624683194E-2</v>
      </c>
      <c r="N825" s="12">
        <f ca="1"/>
        <v>204.22541741486052</v>
      </c>
      <c r="O825" s="12">
        <f t="shared" ca="1" si="110"/>
        <v>0.10911026927451761</v>
      </c>
    </row>
    <row r="826" spans="2:15" x14ac:dyDescent="0.15">
      <c r="B826" s="6">
        <f t="shared" ca="1" si="103"/>
        <v>-0.247321214358001</v>
      </c>
      <c r="C826" s="6">
        <f t="shared" ca="1" si="103"/>
        <v>-1.798132303496826</v>
      </c>
      <c r="D826" s="6">
        <f t="shared" ca="1" si="103"/>
        <v>-0.50830692716679082</v>
      </c>
      <c r="E826" s="8">
        <f t="shared" ca="1" si="104"/>
        <v>-5.6311081275601553E-3</v>
      </c>
      <c r="F826" s="8">
        <f t="shared" ca="1" si="105"/>
        <v>-5.0510372944536738E-2</v>
      </c>
      <c r="G826" s="8">
        <f t="shared" ca="1" si="106"/>
        <v>-1.9721126289763788E-2</v>
      </c>
      <c r="H826" s="10">
        <f t="shared" ca="1" si="107"/>
        <v>3993.3854697597185</v>
      </c>
      <c r="I826" s="10">
        <f t="shared" ca="1" si="108"/>
        <v>516.52235711817195</v>
      </c>
      <c r="J826" s="10">
        <f t="shared" ca="1" si="109"/>
        <v>2191.9035616160882</v>
      </c>
      <c r="K826" s="12">
        <f t="array" aca="1" ref="K826:L826" ca="1">Opt3Spd(H826:J826,$E$3:$G$3,$K$3:$M$3,$N$3:$P$3,$H$3,$I$3,$Q$3,$J$3)</f>
        <v>246.00055673669249</v>
      </c>
      <c r="L826" s="12">
        <f ca="1"/>
        <v>2.6391740934741392E-3</v>
      </c>
      <c r="M826" s="12">
        <f t="array" aca="1" ref="M826:N826" ca="1">Opt3Spd(H826:J826,$E$3:$G$3,$K$3:$M$3,$N$3:$P$3,$H$4,$I$3,$Q$3,$J$3)</f>
        <v>0.53328399075889621</v>
      </c>
      <c r="N826" s="12">
        <f ca="1"/>
        <v>154.53536642815988</v>
      </c>
      <c r="O826" s="12">
        <f t="shared" ca="1" si="110"/>
        <v>0.53592316485237035</v>
      </c>
    </row>
    <row r="827" spans="2:15" x14ac:dyDescent="0.15">
      <c r="B827" s="6">
        <f t="shared" ca="1" si="103"/>
        <v>0.93424704341953779</v>
      </c>
      <c r="C827" s="6">
        <f t="shared" ca="1" si="103"/>
        <v>0.75415247798197027</v>
      </c>
      <c r="D827" s="6">
        <f t="shared" ca="1" si="103"/>
        <v>-0.2113172621603551</v>
      </c>
      <c r="E827" s="8">
        <f t="shared" ca="1" si="104"/>
        <v>2.1271309592284529E-2</v>
      </c>
      <c r="F827" s="8">
        <f t="shared" ca="1" si="105"/>
        <v>5.1991340614912264E-2</v>
      </c>
      <c r="G827" s="8">
        <f t="shared" ca="1" si="106"/>
        <v>3.4260825492456834E-2</v>
      </c>
      <c r="H827" s="10">
        <f t="shared" ca="1" si="107"/>
        <v>4101.4255793226148</v>
      </c>
      <c r="I827" s="10">
        <f t="shared" ca="1" si="108"/>
        <v>572.2832892945122</v>
      </c>
      <c r="J827" s="10">
        <f t="shared" ca="1" si="109"/>
        <v>2312.6072058011332</v>
      </c>
      <c r="K827" s="12">
        <f t="array" aca="1" ref="K827:L827" ca="1">Opt3Spd(H827:J827,$E$3:$G$3,$K$3:$M$3,$N$3:$P$3,$H$3,$I$3,$Q$3,$J$3)</f>
        <v>204.49812522434672</v>
      </c>
      <c r="L827" s="12">
        <f ca="1"/>
        <v>2.941167351787044E-2</v>
      </c>
      <c r="M827" s="12">
        <f t="array" aca="1" ref="M827:N827" ca="1">Opt3Spd(H827:J827,$E$3:$G$3,$K$3:$M$3,$N$3:$P$3,$H$4,$I$3,$Q$3,$J$3)</f>
        <v>0.1069367616420891</v>
      </c>
      <c r="N827" s="12">
        <f ca="1"/>
        <v>195.63822321081324</v>
      </c>
      <c r="O827" s="12">
        <f t="shared" ca="1" si="110"/>
        <v>0.13634843515995954</v>
      </c>
    </row>
    <row r="828" spans="2:15" x14ac:dyDescent="0.15">
      <c r="B828" s="6">
        <f t="shared" ca="1" si="103"/>
        <v>-1.8952264410024697</v>
      </c>
      <c r="C828" s="6">
        <f t="shared" ca="1" si="103"/>
        <v>-1.6126325924065521</v>
      </c>
      <c r="D828" s="6">
        <f t="shared" ca="1" si="103"/>
        <v>-0.46833372188321948</v>
      </c>
      <c r="E828" s="8">
        <f t="shared" ca="1" si="104"/>
        <v>-4.3151272094466252E-2</v>
      </c>
      <c r="F828" s="8">
        <f t="shared" ca="1" si="105"/>
        <v>-0.10737261383246768</v>
      </c>
      <c r="G828" s="8">
        <f t="shared" ca="1" si="106"/>
        <v>-7.9298147471390884E-2</v>
      </c>
      <c r="H828" s="10">
        <f t="shared" ca="1" si="107"/>
        <v>3842.7044912686238</v>
      </c>
      <c r="I828" s="10">
        <f t="shared" ca="1" si="108"/>
        <v>485.58929807513761</v>
      </c>
      <c r="J828" s="10">
        <f t="shared" ca="1" si="109"/>
        <v>2058.6893422539702</v>
      </c>
      <c r="K828" s="12">
        <f t="array" aca="1" ref="K828:L828" ca="1">Opt3Spd(H828:J828,$E$3:$G$3,$K$3:$M$3,$N$3:$P$3,$H$3,$I$3,$Q$3,$J$3)</f>
        <v>211.43164265200039</v>
      </c>
      <c r="L828" s="12">
        <f ca="1"/>
        <v>1.4699430581686102E-2</v>
      </c>
      <c r="M828" s="12">
        <f t="array" aca="1" ref="M828:N828" ca="1">Opt3Spd(H828:J828,$E$3:$G$3,$K$3:$M$3,$N$3:$P$3,$H$4,$I$3,$Q$3,$J$3)</f>
        <v>0.11730797262125314</v>
      </c>
      <c r="N828" s="12">
        <f ca="1"/>
        <v>188.70036475120256</v>
      </c>
      <c r="O828" s="12">
        <f t="shared" ca="1" si="110"/>
        <v>0.13200740320293924</v>
      </c>
    </row>
    <row r="829" spans="2:15" x14ac:dyDescent="0.15">
      <c r="B829" s="6">
        <f t="shared" ca="1" si="103"/>
        <v>0.80878421067431339</v>
      </c>
      <c r="C829" s="6">
        <f t="shared" ca="1" si="103"/>
        <v>9.7798107154585506E-2</v>
      </c>
      <c r="D829" s="6">
        <f t="shared" ca="1" si="103"/>
        <v>0.31151177504771077</v>
      </c>
      <c r="E829" s="8">
        <f t="shared" ca="1" si="104"/>
        <v>1.8414721737448542E-2</v>
      </c>
      <c r="F829" s="8">
        <f t="shared" ca="1" si="105"/>
        <v>3.2248882335606209E-2</v>
      </c>
      <c r="G829" s="8">
        <f t="shared" ca="1" si="106"/>
        <v>3.3315873577461769E-2</v>
      </c>
      <c r="H829" s="10">
        <f t="shared" ca="1" si="107"/>
        <v>4089.9535224975939</v>
      </c>
      <c r="I829" s="10">
        <f t="shared" ca="1" si="108"/>
        <v>561.54339199056972</v>
      </c>
      <c r="J829" s="10">
        <f t="shared" ca="1" si="109"/>
        <v>2310.4942933192042</v>
      </c>
      <c r="K829" s="12">
        <f t="array" aca="1" ref="K829:L829" ca="1">Opt3Spd(H829:J829,$E$3:$G$3,$K$3:$M$3,$N$3:$P$3,$H$3,$I$3,$Q$3,$J$3)</f>
        <v>211.25765543160583</v>
      </c>
      <c r="L829" s="12">
        <f ca="1"/>
        <v>2.0706778525664049E-2</v>
      </c>
      <c r="M829" s="12">
        <f t="array" aca="1" ref="M829:N829" ca="1">Opt3Spd(H829:J829,$E$3:$G$3,$K$3:$M$3,$N$3:$P$3,$H$4,$I$3,$Q$3,$J$3)</f>
        <v>0.14269461649351101</v>
      </c>
      <c r="N829" s="12">
        <f ca="1"/>
        <v>188.90574596341335</v>
      </c>
      <c r="O829" s="12">
        <f t="shared" ca="1" si="110"/>
        <v>0.16340139501917506</v>
      </c>
    </row>
    <row r="830" spans="2:15" x14ac:dyDescent="0.15">
      <c r="B830" s="6">
        <f t="shared" ca="1" si="103"/>
        <v>8.1704972351902355E-2</v>
      </c>
      <c r="C830" s="6">
        <f t="shared" ca="1" si="103"/>
        <v>0.70722944631983953</v>
      </c>
      <c r="D830" s="6">
        <f t="shared" ca="1" si="103"/>
        <v>0.30020606350698997</v>
      </c>
      <c r="E830" s="8">
        <f t="shared" ca="1" si="104"/>
        <v>1.8602914233102905E-3</v>
      </c>
      <c r="F830" s="8">
        <f t="shared" ca="1" si="105"/>
        <v>1.9288866869564714E-2</v>
      </c>
      <c r="G830" s="8">
        <f t="shared" ca="1" si="106"/>
        <v>8.2528858296876187E-3</v>
      </c>
      <c r="H830" s="10">
        <f t="shared" ca="1" si="107"/>
        <v>4023.4709303560144</v>
      </c>
      <c r="I830" s="10">
        <f t="shared" ca="1" si="108"/>
        <v>554.49314357704327</v>
      </c>
      <c r="J830" s="10">
        <f t="shared" ca="1" si="109"/>
        <v>2254.4534527151814</v>
      </c>
      <c r="K830" s="12">
        <f t="array" aca="1" ref="K830:L830" ca="1">Opt3Spd(H830:J830,$E$3:$G$3,$K$3:$M$3,$N$3:$P$3,$H$3,$I$3,$Q$3,$J$3)</f>
        <v>184.12755855140449</v>
      </c>
      <c r="L830" s="12">
        <f ca="1"/>
        <v>7.2384276250204493E-2</v>
      </c>
      <c r="M830" s="12">
        <f t="array" aca="1" ref="M830:N830" ca="1">Opt3Spd(H830:J830,$E$3:$G$3,$K$3:$M$3,$N$3:$P$3,$H$4,$I$3,$Q$3,$J$3)</f>
        <v>3.9109816756174531E-2</v>
      </c>
      <c r="N830" s="12">
        <f ca="1"/>
        <v>215.98393554160188</v>
      </c>
      <c r="O830" s="12">
        <f t="shared" ca="1" si="110"/>
        <v>0.11149409300637902</v>
      </c>
    </row>
    <row r="831" spans="2:15" x14ac:dyDescent="0.15">
      <c r="B831" s="6">
        <f t="shared" ca="1" si="103"/>
        <v>-0.32792693814586488</v>
      </c>
      <c r="C831" s="6">
        <f t="shared" ca="1" si="103"/>
        <v>-0.19548183121830329</v>
      </c>
      <c r="D831" s="6">
        <f t="shared" ca="1" si="103"/>
        <v>-0.23847676977293575</v>
      </c>
      <c r="E831" s="8">
        <f t="shared" ca="1" si="104"/>
        <v>-7.466371420795823E-3</v>
      </c>
      <c r="F831" s="8">
        <f t="shared" ca="1" si="105"/>
        <v>-1.6657796954383717E-2</v>
      </c>
      <c r="G831" s="8">
        <f t="shared" ca="1" si="106"/>
        <v>-1.5155486488703783E-2</v>
      </c>
      <c r="H831" s="10">
        <f t="shared" ca="1" si="107"/>
        <v>3986.015052374084</v>
      </c>
      <c r="I831" s="10">
        <f t="shared" ca="1" si="108"/>
        <v>534.93815845681524</v>
      </c>
      <c r="J831" s="10">
        <f t="shared" ca="1" si="109"/>
        <v>2202.1123322112585</v>
      </c>
      <c r="K831" s="12">
        <f t="array" aca="1" ref="K831:L831" ca="1">Opt3Spd(H831:J831,$E$3:$G$3,$K$3:$M$3,$N$3:$P$3,$H$3,$I$3,$Q$3,$J$3)</f>
        <v>204.08355439046318</v>
      </c>
      <c r="L831" s="12">
        <f ca="1"/>
        <v>2.5721652912807258E-2</v>
      </c>
      <c r="M831" s="12">
        <f t="array" aca="1" ref="M831:N831" ca="1">Opt3Spd(H831:J831,$E$3:$G$3,$K$3:$M$3,$N$3:$P$3,$H$4,$I$3,$Q$3,$J$3)</f>
        <v>9.458565620090198E-2</v>
      </c>
      <c r="N831" s="12">
        <f ca="1"/>
        <v>196.03675291865054</v>
      </c>
      <c r="O831" s="12">
        <f t="shared" ca="1" si="110"/>
        <v>0.12030730911370924</v>
      </c>
    </row>
    <row r="832" spans="2:15" x14ac:dyDescent="0.15">
      <c r="B832" s="6">
        <f t="shared" ref="B832:D895" ca="1" si="111">NORMINV(RAND(),0,1)</f>
        <v>-0.61955897347270883</v>
      </c>
      <c r="C832" s="6">
        <f t="shared" ca="1" si="111"/>
        <v>1.0774908147940525</v>
      </c>
      <c r="D832" s="6">
        <f t="shared" ca="1" si="111"/>
        <v>-0.38015090068439966</v>
      </c>
      <c r="E832" s="8">
        <f t="shared" ca="1" si="104"/>
        <v>-1.4106366006981126E-2</v>
      </c>
      <c r="F832" s="8">
        <f t="shared" ca="1" si="105"/>
        <v>1.7882732101837102E-3</v>
      </c>
      <c r="G832" s="8">
        <f t="shared" ca="1" si="106"/>
        <v>-2.3683432891935419E-2</v>
      </c>
      <c r="H832" s="10">
        <f t="shared" ca="1" si="107"/>
        <v>3959.3488341159637</v>
      </c>
      <c r="I832" s="10">
        <f t="shared" ca="1" si="108"/>
        <v>544.97282062633997</v>
      </c>
      <c r="J832" s="10">
        <f t="shared" ca="1" si="109"/>
        <v>2183.0438440536323</v>
      </c>
      <c r="K832" s="12">
        <f t="array" aca="1" ref="K832:L832" ca="1">Opt3Spd(H832:J832,$E$3:$G$3,$K$3:$M$3,$N$3:$P$3,$H$3,$I$3,$Q$3,$J$3)</f>
        <v>170.99353572950008</v>
      </c>
      <c r="L832" s="12">
        <f ca="1"/>
        <v>0.12313664249631984</v>
      </c>
      <c r="M832" s="12">
        <f t="array" aca="1" ref="M832:N832" ca="1">Opt3Spd(H832:J832,$E$3:$G$3,$K$3:$M$3,$N$3:$P$3,$H$4,$I$3,$Q$3,$J$3)</f>
        <v>1.8697004771222492E-2</v>
      </c>
      <c r="N832" s="12">
        <f ca="1"/>
        <v>229.14829791776745</v>
      </c>
      <c r="O832" s="12">
        <f t="shared" ca="1" si="110"/>
        <v>0.14183364726754233</v>
      </c>
    </row>
    <row r="833" spans="2:15" x14ac:dyDescent="0.15">
      <c r="B833" s="6">
        <f t="shared" ca="1" si="111"/>
        <v>-0.76705799890984383</v>
      </c>
      <c r="C833" s="6">
        <f t="shared" ca="1" si="111"/>
        <v>0.39730739766276696</v>
      </c>
      <c r="D833" s="6">
        <f t="shared" ca="1" si="111"/>
        <v>-0.41946433999752702</v>
      </c>
      <c r="E833" s="8">
        <f t="shared" ca="1" si="104"/>
        <v>-1.7464682692843632E-2</v>
      </c>
      <c r="F833" s="8">
        <f t="shared" ca="1" si="105"/>
        <v>-1.9319378918750827E-2</v>
      </c>
      <c r="G833" s="8">
        <f t="shared" ca="1" si="106"/>
        <v>-3.149566808879125E-2</v>
      </c>
      <c r="H833" s="10">
        <f t="shared" ca="1" si="107"/>
        <v>3945.86183430554</v>
      </c>
      <c r="I833" s="10">
        <f t="shared" ca="1" si="108"/>
        <v>533.49025786819959</v>
      </c>
      <c r="J833" s="10">
        <f t="shared" ca="1" si="109"/>
        <v>2165.5756861534628</v>
      </c>
      <c r="K833" s="12">
        <f t="array" aca="1" ref="K833:L833" ca="1">Opt3Spd(H833:J833,$E$3:$G$3,$K$3:$M$3,$N$3:$P$3,$H$3,$I$3,$Q$3,$J$3)</f>
        <v>184.55383412463789</v>
      </c>
      <c r="L833" s="12">
        <f ca="1"/>
        <v>6.4255484948716912E-2</v>
      </c>
      <c r="M833" s="12">
        <f t="array" aca="1" ref="M833:N833" ca="1">Opt3Spd(H833:J833,$E$3:$G$3,$K$3:$M$3,$N$3:$P$3,$H$4,$I$3,$Q$3,$J$3)</f>
        <v>3.6344015009441843E-2</v>
      </c>
      <c r="N833" s="12">
        <f ca="1"/>
        <v>215.54676537532026</v>
      </c>
      <c r="O833" s="12">
        <f t="shared" ca="1" si="110"/>
        <v>0.10059949995815876</v>
      </c>
    </row>
    <row r="834" spans="2:15" x14ac:dyDescent="0.15">
      <c r="B834" s="6">
        <f t="shared" ca="1" si="111"/>
        <v>0.864679881020608</v>
      </c>
      <c r="C834" s="6">
        <f t="shared" ca="1" si="111"/>
        <v>-0.90610356585494056</v>
      </c>
      <c r="D834" s="6">
        <f t="shared" ca="1" si="111"/>
        <v>-0.72338470441125569</v>
      </c>
      <c r="E834" s="8">
        <f t="shared" ca="1" si="104"/>
        <v>1.968737667082935E-2</v>
      </c>
      <c r="F834" s="8">
        <f t="shared" ca="1" si="105"/>
        <v>1.1244058608920934E-2</v>
      </c>
      <c r="G834" s="8">
        <f t="shared" ca="1" si="106"/>
        <v>2.1430283801556246E-2</v>
      </c>
      <c r="H834" s="10">
        <f t="shared" ca="1" si="107"/>
        <v>4095.0645047100511</v>
      </c>
      <c r="I834" s="10">
        <f t="shared" ca="1" si="108"/>
        <v>550.11676788325292</v>
      </c>
      <c r="J834" s="10">
        <f t="shared" ca="1" si="109"/>
        <v>2283.91811458028</v>
      </c>
      <c r="K834" s="12">
        <f t="array" aca="1" ref="K834:L834" ca="1">Opt3Spd(H834:J834,$E$3:$G$3,$K$3:$M$3,$N$3:$P$3,$H$3,$I$3,$Q$3,$J$3)</f>
        <v>247.92139999768415</v>
      </c>
      <c r="L834" s="12">
        <f ca="1"/>
        <v>2.7811909781121358E-3</v>
      </c>
      <c r="M834" s="12">
        <f t="array" aca="1" ref="M834:N834" ca="1">Opt3Spd(H834:J834,$E$3:$G$3,$K$3:$M$3,$N$3:$P$3,$H$4,$I$3,$Q$3,$J$3)</f>
        <v>0.60515847449742921</v>
      </c>
      <c r="N834" s="12">
        <f ca="1"/>
        <v>152.68653966779141</v>
      </c>
      <c r="O834" s="12">
        <f t="shared" ca="1" si="110"/>
        <v>0.60793966547554135</v>
      </c>
    </row>
    <row r="835" spans="2:15" x14ac:dyDescent="0.15">
      <c r="B835" s="6">
        <f t="shared" ca="1" si="111"/>
        <v>0.39138254582466903</v>
      </c>
      <c r="C835" s="6">
        <f t="shared" ca="1" si="111"/>
        <v>-1.3730823425633643</v>
      </c>
      <c r="D835" s="6">
        <f t="shared" ca="1" si="111"/>
        <v>-2.8461091944081245</v>
      </c>
      <c r="E835" s="8">
        <f t="shared" ca="1" si="104"/>
        <v>8.911154024936481E-3</v>
      </c>
      <c r="F835" s="8">
        <f t="shared" ca="1" si="105"/>
        <v>-1.7047344383472114E-2</v>
      </c>
      <c r="G835" s="8">
        <f t="shared" ca="1" si="106"/>
        <v>-1.9927015824783508E-2</v>
      </c>
      <c r="H835" s="10">
        <f t="shared" ca="1" si="107"/>
        <v>4051.787194564145</v>
      </c>
      <c r="I835" s="10">
        <f t="shared" ca="1" si="108"/>
        <v>534.72624465539116</v>
      </c>
      <c r="J835" s="10">
        <f t="shared" ca="1" si="109"/>
        <v>2191.443192615784</v>
      </c>
      <c r="K835" s="12">
        <f t="array" aca="1" ref="K835:L835" ca="1">Opt3Spd(H835:J835,$E$3:$G$3,$K$3:$M$3,$N$3:$P$3,$H$3,$I$3,$Q$3,$J$3)</f>
        <v>275.50406753530729</v>
      </c>
      <c r="L835" s="12">
        <f ca="1"/>
        <v>4.6072768031990563E-4</v>
      </c>
      <c r="M835" s="12">
        <f t="array" aca="1" ref="M835:N835" ca="1">Opt3Spd(H835:J835,$E$3:$G$3,$K$3:$M$3,$N$3:$P$3,$H$4,$I$3,$Q$3,$J$3)</f>
        <v>1.513891128100056</v>
      </c>
      <c r="N835" s="12">
        <f ca="1"/>
        <v>126.01028432047309</v>
      </c>
      <c r="O835" s="12">
        <f t="shared" ca="1" si="110"/>
        <v>1.5143518557803759</v>
      </c>
    </row>
    <row r="836" spans="2:15" x14ac:dyDescent="0.15">
      <c r="B836" s="6">
        <f t="shared" ca="1" si="111"/>
        <v>0.85064858634654195</v>
      </c>
      <c r="C836" s="6">
        <f t="shared" ca="1" si="111"/>
        <v>0.76620339346257804</v>
      </c>
      <c r="D836" s="6">
        <f t="shared" ca="1" si="111"/>
        <v>1.7501552746640516</v>
      </c>
      <c r="E836" s="8">
        <f t="shared" ca="1" si="104"/>
        <v>1.9367906553053874E-2</v>
      </c>
      <c r="F836" s="8">
        <f t="shared" ca="1" si="105"/>
        <v>4.9167412266027881E-2</v>
      </c>
      <c r="G836" s="8">
        <f t="shared" ca="1" si="106"/>
        <v>5.2120211180358193E-2</v>
      </c>
      <c r="H836" s="10">
        <f t="shared" ca="1" si="107"/>
        <v>4093.7815127170643</v>
      </c>
      <c r="I836" s="10">
        <f t="shared" ca="1" si="108"/>
        <v>570.74707227271915</v>
      </c>
      <c r="J836" s="10">
        <f t="shared" ca="1" si="109"/>
        <v>2352.540792199281</v>
      </c>
      <c r="K836" s="12">
        <f t="array" aca="1" ref="K836:L836" ca="1">Opt3Spd(H836:J836,$E$3:$G$3,$K$3:$M$3,$N$3:$P$3,$H$3,$I$3,$Q$3,$J$3)</f>
        <v>179.41552767455437</v>
      </c>
      <c r="L836" s="12">
        <f ca="1"/>
        <v>9.9726693481215989E-2</v>
      </c>
      <c r="M836" s="12">
        <f t="array" aca="1" ref="M836:N836" ca="1">Opt3Spd(H836:J836,$E$3:$G$3,$K$3:$M$3,$N$3:$P$3,$H$4,$I$3,$Q$3,$J$3)</f>
        <v>3.4526973388055104E-2</v>
      </c>
      <c r="N836" s="12">
        <f ca="1"/>
        <v>220.71872599231492</v>
      </c>
      <c r="O836" s="12">
        <f t="shared" ca="1" si="110"/>
        <v>0.13425366686927109</v>
      </c>
    </row>
    <row r="837" spans="2:15" x14ac:dyDescent="0.15">
      <c r="B837" s="6">
        <f t="shared" ca="1" si="111"/>
        <v>-1.6819844762289349</v>
      </c>
      <c r="C837" s="6">
        <f t="shared" ca="1" si="111"/>
        <v>-0.61514607409127975</v>
      </c>
      <c r="D837" s="6">
        <f t="shared" ca="1" si="111"/>
        <v>0.49902656753793567</v>
      </c>
      <c r="E837" s="8">
        <f t="shared" ref="E837:E900" ca="1" si="112">B837*$U$3*$C$6</f>
        <v>-3.8296093924287164E-2</v>
      </c>
      <c r="F837" s="8">
        <f t="shared" ref="F837:F900" ca="1" si="113">($N$3*B837+C837*SQRT(1-$N$3^2))*$V$3*$C$6</f>
        <v>-7.6532003439802113E-2</v>
      </c>
      <c r="G837" s="8">
        <f t="shared" ref="G837:G900" ca="1" si="114">(D837/$T$3+($P$3-$N$3*$O$3)*C837+$O$3*B837*SQRT(1/(1-$N$3^2)))*$W$3*$C$6</f>
        <v>-5.8262968370047796E-2</v>
      </c>
      <c r="H837" s="10">
        <f t="shared" ref="H837:H900" ca="1" si="115">B$3*(1+E837)</f>
        <v>3862.202886800063</v>
      </c>
      <c r="I837" s="10">
        <f t="shared" ref="I837:I900" ca="1" si="116">C$3*(1+F837)</f>
        <v>502.36659012874765</v>
      </c>
      <c r="J837" s="10">
        <f t="shared" ref="J837:J900" ca="1" si="117">D$3*(1+G837)</f>
        <v>2105.7240027245734</v>
      </c>
      <c r="K837" s="12">
        <f t="array" aca="1" ref="K837:L837" ca="1">Opt3Spd(H837:J837,$E$3:$G$3,$K$3:$M$3,$N$3:$P$3,$H$3,$I$3,$Q$3,$J$3)</f>
        <v>180.62650332945145</v>
      </c>
      <c r="L837" s="12">
        <f ca="1"/>
        <v>7.2162097671252923E-2</v>
      </c>
      <c r="M837" s="12">
        <f t="array" aca="1" ref="M837:N837" ca="1">Opt3Spd(H837:J837,$E$3:$G$3,$K$3:$M$3,$N$3:$P$3,$H$4,$I$3,$Q$3,$J$3)</f>
        <v>2.7988374871612098E-2</v>
      </c>
      <c r="N837" s="12">
        <f ca="1"/>
        <v>219.47364714309143</v>
      </c>
      <c r="O837" s="12">
        <f t="shared" ca="1" si="110"/>
        <v>0.10015047254286502</v>
      </c>
    </row>
    <row r="838" spans="2:15" x14ac:dyDescent="0.15">
      <c r="B838" s="6">
        <f t="shared" ca="1" si="111"/>
        <v>0.45699543279157218</v>
      </c>
      <c r="C838" s="6">
        <f t="shared" ca="1" si="111"/>
        <v>-0.9632731568185724</v>
      </c>
      <c r="D838" s="6">
        <f t="shared" ca="1" si="111"/>
        <v>2.3314134068751478</v>
      </c>
      <c r="E838" s="8">
        <f t="shared" ca="1" si="112"/>
        <v>1.0405054424993536E-2</v>
      </c>
      <c r="F838" s="8">
        <f t="shared" ca="1" si="113"/>
        <v>-5.1926343606758935E-3</v>
      </c>
      <c r="G838" s="8">
        <f t="shared" ca="1" si="114"/>
        <v>3.8829588890616142E-2</v>
      </c>
      <c r="H838" s="10">
        <f t="shared" ca="1" si="115"/>
        <v>4057.7866985707742</v>
      </c>
      <c r="I838" s="10">
        <f t="shared" ca="1" si="116"/>
        <v>541.17520690779236</v>
      </c>
      <c r="J838" s="10">
        <f t="shared" ca="1" si="117"/>
        <v>2322.8229607594176</v>
      </c>
      <c r="K838" s="12">
        <f t="array" aca="1" ref="K838:L838" ca="1">Opt3Spd(H838:J838,$E$3:$G$3,$K$3:$M$3,$N$3:$P$3,$H$3,$I$3,$Q$3,$J$3)</f>
        <v>205.52233188826926</v>
      </c>
      <c r="L838" s="12">
        <f ca="1"/>
        <v>2.7444749671531099E-2</v>
      </c>
      <c r="M838" s="12">
        <f t="array" aca="1" ref="M838:N838" ca="1">Opt3Spd(H838:J838,$E$3:$G$3,$K$3:$M$3,$N$3:$P$3,$H$4,$I$3,$Q$3,$J$3)</f>
        <v>0.11137603176621802</v>
      </c>
      <c r="N838" s="12">
        <f ca="1"/>
        <v>194.61648889316848</v>
      </c>
      <c r="O838" s="12">
        <f t="shared" ca="1" si="110"/>
        <v>0.13882078143774912</v>
      </c>
    </row>
    <row r="839" spans="2:15" x14ac:dyDescent="0.15">
      <c r="B839" s="6">
        <f t="shared" ca="1" si="111"/>
        <v>0.41630931218789158</v>
      </c>
      <c r="C839" s="6">
        <f t="shared" ca="1" si="111"/>
        <v>-0.53120164835843708</v>
      </c>
      <c r="D839" s="6">
        <f t="shared" ca="1" si="111"/>
        <v>-0.15404107024649596</v>
      </c>
      <c r="E839" s="8">
        <f t="shared" ca="1" si="112"/>
        <v>9.4786965910931987E-3</v>
      </c>
      <c r="F839" s="8">
        <f t="shared" ca="1" si="113"/>
        <v>3.2308489643368878E-3</v>
      </c>
      <c r="G839" s="8">
        <f t="shared" ca="1" si="114"/>
        <v>1.2111456299199543E-2</v>
      </c>
      <c r="H839" s="10">
        <f t="shared" ca="1" si="115"/>
        <v>4054.0664455098299</v>
      </c>
      <c r="I839" s="10">
        <f t="shared" ca="1" si="116"/>
        <v>545.75758183659923</v>
      </c>
      <c r="J839" s="10">
        <f t="shared" ca="1" si="117"/>
        <v>2263.0812162850102</v>
      </c>
      <c r="K839" s="12">
        <f t="array" aca="1" ref="K839:L839" ca="1">Opt3Spd(H839:J839,$E$3:$G$3,$K$3:$M$3,$N$3:$P$3,$H$3,$I$3,$Q$3,$J$3)</f>
        <v>224.32350953290006</v>
      </c>
      <c r="L839" s="12">
        <f ca="1"/>
        <v>9.8031041343347169E-3</v>
      </c>
      <c r="M839" s="12">
        <f t="array" aca="1" ref="M839:N839" ca="1">Opt3Spd(H839:J839,$E$3:$G$3,$K$3:$M$3,$N$3:$P$3,$H$4,$I$3,$Q$3,$J$3)</f>
        <v>0.23779279811562759</v>
      </c>
      <c r="N839" s="12">
        <f ca="1"/>
        <v>175.92408636934991</v>
      </c>
      <c r="O839" s="12">
        <f t="shared" ca="1" si="110"/>
        <v>0.24759590224996231</v>
      </c>
    </row>
    <row r="840" spans="2:15" x14ac:dyDescent="0.15">
      <c r="B840" s="6">
        <f t="shared" ca="1" si="111"/>
        <v>-1.5268954056341137</v>
      </c>
      <c r="C840" s="6">
        <f t="shared" ca="1" si="111"/>
        <v>-1.0370336541326282</v>
      </c>
      <c r="D840" s="6">
        <f t="shared" ca="1" si="111"/>
        <v>-0.4619631192920518</v>
      </c>
      <c r="E840" s="8">
        <f t="shared" ca="1" si="112"/>
        <v>-3.4764964060683551E-2</v>
      </c>
      <c r="F840" s="8">
        <f t="shared" ca="1" si="113"/>
        <v>-8.0477765790594791E-2</v>
      </c>
      <c r="G840" s="8">
        <f t="shared" ca="1" si="114"/>
        <v>-6.4027450879591177E-2</v>
      </c>
      <c r="H840" s="10">
        <f t="shared" ca="1" si="115"/>
        <v>3876.3839043322951</v>
      </c>
      <c r="I840" s="10">
        <f t="shared" ca="1" si="116"/>
        <v>500.22009540991638</v>
      </c>
      <c r="J840" s="10">
        <f t="shared" ca="1" si="117"/>
        <v>2092.8346198332342</v>
      </c>
      <c r="K840" s="12">
        <f t="array" aca="1" ref="K840:L840" ca="1">Opt3Spd(H840:J840,$E$3:$G$3,$K$3:$M$3,$N$3:$P$3,$H$3,$I$3,$Q$3,$J$3)</f>
        <v>204.63624756207241</v>
      </c>
      <c r="L840" s="12">
        <f ca="1"/>
        <v>2.180580226058737E-2</v>
      </c>
      <c r="M840" s="12">
        <f t="array" aca="1" ref="M840:N840" ca="1">Opt3Spd(H840:J840,$E$3:$G$3,$K$3:$M$3,$N$3:$P$3,$H$4,$I$3,$Q$3,$J$3)</f>
        <v>8.8363280337484085E-2</v>
      </c>
      <c r="N840" s="12">
        <f ca="1"/>
        <v>195.47392152052566</v>
      </c>
      <c r="O840" s="12">
        <f t="shared" ca="1" si="110"/>
        <v>0.11016908259807145</v>
      </c>
    </row>
    <row r="841" spans="2:15" x14ac:dyDescent="0.15">
      <c r="B841" s="6">
        <f t="shared" ca="1" si="111"/>
        <v>-0.59389566215746725</v>
      </c>
      <c r="C841" s="6">
        <f t="shared" ca="1" si="111"/>
        <v>6.3050349349983562E-2</v>
      </c>
      <c r="D841" s="6">
        <f t="shared" ca="1" si="111"/>
        <v>0.74143556992604009</v>
      </c>
      <c r="E841" s="8">
        <f t="shared" ca="1" si="112"/>
        <v>-1.3522053491362554E-2</v>
      </c>
      <c r="F841" s="8">
        <f t="shared" ca="1" si="113"/>
        <v>-2.0580246038339849E-2</v>
      </c>
      <c r="G841" s="8">
        <f t="shared" ca="1" si="114"/>
        <v>-1.373717405089684E-2</v>
      </c>
      <c r="H841" s="10">
        <f t="shared" ca="1" si="115"/>
        <v>3961.6954331786878</v>
      </c>
      <c r="I841" s="10">
        <f t="shared" ca="1" si="116"/>
        <v>532.80434615514309</v>
      </c>
      <c r="J841" s="10">
        <f t="shared" ca="1" si="117"/>
        <v>2205.2836788221948</v>
      </c>
      <c r="K841" s="12">
        <f t="array" aca="1" ref="K841:L841" ca="1">Opt3Spd(H841:J841,$E$3:$G$3,$K$3:$M$3,$N$3:$P$3,$H$3,$I$3,$Q$3,$J$3)</f>
        <v>181.64308760743961</v>
      </c>
      <c r="L841" s="12">
        <f ca="1"/>
        <v>7.6447688078133069E-2</v>
      </c>
      <c r="M841" s="12">
        <f t="array" aca="1" ref="M841:N841" ca="1">Opt3Spd(H841:J841,$E$3:$G$3,$K$3:$M$3,$N$3:$P$3,$H$4,$I$3,$Q$3,$J$3)</f>
        <v>3.2699018548562719E-2</v>
      </c>
      <c r="N841" s="12">
        <f ca="1"/>
        <v>218.46605909918708</v>
      </c>
      <c r="O841" s="12">
        <f t="shared" ca="1" si="110"/>
        <v>0.10914670662669579</v>
      </c>
    </row>
    <row r="842" spans="2:15" x14ac:dyDescent="0.15">
      <c r="B842" s="6">
        <f t="shared" ca="1" si="111"/>
        <v>0.67186341849208531</v>
      </c>
      <c r="C842" s="6">
        <f t="shared" ca="1" si="111"/>
        <v>-0.77649553021816764</v>
      </c>
      <c r="D842" s="6">
        <f t="shared" ca="1" si="111"/>
        <v>-0.19587186960284247</v>
      </c>
      <c r="E842" s="8">
        <f t="shared" ca="1" si="112"/>
        <v>1.5297254488669537E-2</v>
      </c>
      <c r="F842" s="8">
        <f t="shared" ca="1" si="113"/>
        <v>7.0713118415786647E-3</v>
      </c>
      <c r="G842" s="8">
        <f t="shared" ca="1" si="114"/>
        <v>2.0342391798770683E-2</v>
      </c>
      <c r="H842" s="10">
        <f t="shared" ca="1" si="115"/>
        <v>4077.4337740264968</v>
      </c>
      <c r="I842" s="10">
        <f t="shared" ca="1" si="116"/>
        <v>547.84679364181875</v>
      </c>
      <c r="J842" s="10">
        <f t="shared" ca="1" si="117"/>
        <v>2281.4855880620512</v>
      </c>
      <c r="K842" s="12">
        <f t="array" aca="1" ref="K842:L842" ca="1">Opt3Spd(H842:J842,$E$3:$G$3,$K$3:$M$3,$N$3:$P$3,$H$3,$I$3,$Q$3,$J$3)</f>
        <v>235.14173402895585</v>
      </c>
      <c r="L842" s="12">
        <f ca="1"/>
        <v>5.6238603942802001E-3</v>
      </c>
      <c r="M842" s="12">
        <f t="array" aca="1" ref="M842:N842" ca="1">Opt3Spd(H842:J842,$E$3:$G$3,$K$3:$M$3,$N$3:$P$3,$H$4,$I$3,$Q$3,$J$3)</f>
        <v>0.37157012284922075</v>
      </c>
      <c r="N842" s="12">
        <f ca="1"/>
        <v>165.23545995428765</v>
      </c>
      <c r="O842" s="12">
        <f t="shared" ca="1" si="110"/>
        <v>0.37719398324350095</v>
      </c>
    </row>
    <row r="843" spans="2:15" x14ac:dyDescent="0.15">
      <c r="B843" s="6">
        <f t="shared" ca="1" si="111"/>
        <v>-1.416844794629466</v>
      </c>
      <c r="C843" s="6">
        <f t="shared" ca="1" si="111"/>
        <v>0.27849322091441048</v>
      </c>
      <c r="D843" s="6">
        <f t="shared" ca="1" si="111"/>
        <v>1.096515765842214</v>
      </c>
      <c r="E843" s="8">
        <f t="shared" ca="1" si="112"/>
        <v>-3.2259287822274829E-2</v>
      </c>
      <c r="F843" s="8">
        <f t="shared" ca="1" si="113"/>
        <v>-4.6153615802533743E-2</v>
      </c>
      <c r="G843" s="8">
        <f t="shared" ca="1" si="114"/>
        <v>-3.9562873862325813E-2</v>
      </c>
      <c r="H843" s="10">
        <f t="shared" ca="1" si="115"/>
        <v>3886.4467001057442</v>
      </c>
      <c r="I843" s="10">
        <f t="shared" ca="1" si="116"/>
        <v>518.89243300342162</v>
      </c>
      <c r="J843" s="10">
        <f t="shared" ca="1" si="117"/>
        <v>2147.5374140438394</v>
      </c>
      <c r="K843" s="12">
        <f t="array" aca="1" ref="K843:L843" ca="1">Opt3Spd(H843:J843,$E$3:$G$3,$K$3:$M$3,$N$3:$P$3,$H$3,$I$3,$Q$3,$J$3)</f>
        <v>157.66292490036494</v>
      </c>
      <c r="L843" s="12">
        <f ca="1"/>
        <v>0.21282462201520502</v>
      </c>
      <c r="M843" s="12">
        <f t="array" aca="1" ref="M843:N843" ca="1">Opt3Spd(H843:J843,$E$3:$G$3,$K$3:$M$3,$N$3:$P$3,$H$4,$I$3,$Q$3,$J$3)</f>
        <v>8.683459797527382E-3</v>
      </c>
      <c r="N843" s="12">
        <f ca="1"/>
        <v>242.5585831814478</v>
      </c>
      <c r="O843" s="12">
        <f t="shared" ref="O843:O906" ca="1" si="118">L843+M843</f>
        <v>0.2215080818127324</v>
      </c>
    </row>
    <row r="844" spans="2:15" x14ac:dyDescent="0.15">
      <c r="B844" s="6">
        <f t="shared" ca="1" si="111"/>
        <v>-4.3425568457463364E-2</v>
      </c>
      <c r="C844" s="6">
        <f t="shared" ca="1" si="111"/>
        <v>0.78071420401155844</v>
      </c>
      <c r="D844" s="6">
        <f t="shared" ca="1" si="111"/>
        <v>0.64763115095397805</v>
      </c>
      <c r="E844" s="8">
        <f t="shared" ca="1" si="112"/>
        <v>-9.8873067609467303E-4</v>
      </c>
      <c r="F844" s="8">
        <f t="shared" ca="1" si="113"/>
        <v>1.6336639173439166E-2</v>
      </c>
      <c r="G844" s="8">
        <f t="shared" ca="1" si="114"/>
        <v>7.5702557111823002E-3</v>
      </c>
      <c r="H844" s="10">
        <f t="shared" ca="1" si="115"/>
        <v>4012.0292576048041</v>
      </c>
      <c r="I844" s="10">
        <f t="shared" ca="1" si="116"/>
        <v>552.8871317103509</v>
      </c>
      <c r="J844" s="10">
        <f t="shared" ca="1" si="117"/>
        <v>2252.9270917702038</v>
      </c>
      <c r="K844" s="12">
        <f t="array" aca="1" ref="K844:L844" ca="1">Opt3Spd(H844:J844,$E$3:$G$3,$K$3:$M$3,$N$3:$P$3,$H$3,$I$3,$Q$3,$J$3)</f>
        <v>176.05096932887704</v>
      </c>
      <c r="L844" s="12">
        <f ca="1"/>
        <v>0.10466834573617234</v>
      </c>
      <c r="M844" s="12">
        <f t="array" aca="1" ref="M844:N844" ca="1">Opt3Spd(H844:J844,$E$3:$G$3,$K$3:$M$3,$N$3:$P$3,$H$4,$I$3,$Q$3,$J$3)</f>
        <v>2.6164300624899273E-2</v>
      </c>
      <c r="N844" s="12">
        <f ca="1"/>
        <v>224.07986331748404</v>
      </c>
      <c r="O844" s="12">
        <f t="shared" ca="1" si="118"/>
        <v>0.13083264636107161</v>
      </c>
    </row>
    <row r="845" spans="2:15" x14ac:dyDescent="0.15">
      <c r="B845" s="6">
        <f t="shared" ca="1" si="111"/>
        <v>-0.6366229102538149</v>
      </c>
      <c r="C845" s="6">
        <f t="shared" ca="1" si="111"/>
        <v>-1.4778171191363507</v>
      </c>
      <c r="D845" s="6">
        <f t="shared" ca="1" si="111"/>
        <v>1.18685071586767</v>
      </c>
      <c r="E845" s="8">
        <f t="shared" ca="1" si="112"/>
        <v>-1.4494884530738529E-2</v>
      </c>
      <c r="F845" s="8">
        <f t="shared" ca="1" si="113"/>
        <v>-5.7587377307077608E-2</v>
      </c>
      <c r="G845" s="8">
        <f t="shared" ca="1" si="114"/>
        <v>-1.5034965301385508E-2</v>
      </c>
      <c r="H845" s="10">
        <f t="shared" ca="1" si="115"/>
        <v>3957.7885437245541</v>
      </c>
      <c r="I845" s="10">
        <f t="shared" ca="1" si="116"/>
        <v>512.67246674494982</v>
      </c>
      <c r="J845" s="10">
        <f t="shared" ca="1" si="117"/>
        <v>2202.381817586102</v>
      </c>
      <c r="K845" s="12">
        <f t="array" aca="1" ref="K845:L845" ca="1">Opt3Spd(H845:J845,$E$3:$G$3,$K$3:$M$3,$N$3:$P$3,$H$3,$I$3,$Q$3,$J$3)</f>
        <v>211.33924833576793</v>
      </c>
      <c r="L845" s="12">
        <f ca="1"/>
        <v>1.7560196184376764E-2</v>
      </c>
      <c r="M845" s="12">
        <f t="array" aca="1" ref="M845:N845" ca="1">Opt3Spd(H845:J845,$E$3:$G$3,$K$3:$M$3,$N$3:$P$3,$H$4,$I$3,$Q$3,$J$3)</f>
        <v>0.13031074388000619</v>
      </c>
      <c r="N845" s="12">
        <f ca="1"/>
        <v>188.80862260429646</v>
      </c>
      <c r="O845" s="12">
        <f t="shared" ca="1" si="118"/>
        <v>0.14787094006438295</v>
      </c>
    </row>
    <row r="846" spans="2:15" x14ac:dyDescent="0.15">
      <c r="B846" s="6">
        <f t="shared" ca="1" si="111"/>
        <v>0.64668334252426907</v>
      </c>
      <c r="C846" s="6">
        <f t="shared" ca="1" si="111"/>
        <v>-0.57347759106812579</v>
      </c>
      <c r="D846" s="6">
        <f t="shared" ca="1" si="111"/>
        <v>0.396288285111704</v>
      </c>
      <c r="E846" s="8">
        <f t="shared" ca="1" si="112"/>
        <v>1.4723944468326087E-2</v>
      </c>
      <c r="F846" s="8">
        <f t="shared" ca="1" si="113"/>
        <v>1.0804371576951268E-2</v>
      </c>
      <c r="G846" s="8">
        <f t="shared" ca="1" si="114"/>
        <v>2.6314986252228331E-2</v>
      </c>
      <c r="H846" s="10">
        <f t="shared" ca="1" si="115"/>
        <v>4075.1313609847975</v>
      </c>
      <c r="I846" s="10">
        <f t="shared" ca="1" si="116"/>
        <v>549.87757813786152</v>
      </c>
      <c r="J846" s="10">
        <f t="shared" ca="1" si="117"/>
        <v>2294.8403092599824</v>
      </c>
      <c r="K846" s="12">
        <f t="array" aca="1" ref="K846:L846" ca="1">Opt3Spd(H846:J846,$E$3:$G$3,$K$3:$M$3,$N$3:$P$3,$H$3,$I$3,$Q$3,$J$3)</f>
        <v>222.91810739210587</v>
      </c>
      <c r="L846" s="12">
        <f ca="1"/>
        <v>1.1026057877870699E-2</v>
      </c>
      <c r="M846" s="12">
        <f t="array" aca="1" ref="M846:N846" ca="1">Opt3Spd(H846:J846,$E$3:$G$3,$K$3:$M$3,$N$3:$P$3,$H$4,$I$3,$Q$3,$J$3)</f>
        <v>0.22962039156660907</v>
      </c>
      <c r="N846" s="12">
        <f ca="1"/>
        <v>177.32253905733862</v>
      </c>
      <c r="O846" s="12">
        <f t="shared" ca="1" si="118"/>
        <v>0.24064644944447977</v>
      </c>
    </row>
    <row r="847" spans="2:15" x14ac:dyDescent="0.15">
      <c r="B847" s="6">
        <f t="shared" ca="1" si="111"/>
        <v>-0.82810565758677657</v>
      </c>
      <c r="C847" s="6">
        <f t="shared" ca="1" si="111"/>
        <v>-0.22553124049815276</v>
      </c>
      <c r="D847" s="6">
        <f t="shared" ca="1" si="111"/>
        <v>1.4897943168873686</v>
      </c>
      <c r="E847" s="8">
        <f t="shared" ca="1" si="112"/>
        <v>-1.8854640152969105E-2</v>
      </c>
      <c r="F847" s="8">
        <f t="shared" ca="1" si="113"/>
        <v>-3.5901975522677231E-2</v>
      </c>
      <c r="G847" s="8">
        <f t="shared" ca="1" si="114"/>
        <v>-1.5207105936472559E-2</v>
      </c>
      <c r="H847" s="10">
        <f t="shared" ca="1" si="115"/>
        <v>3940.2797651456758</v>
      </c>
      <c r="I847" s="10">
        <f t="shared" ca="1" si="116"/>
        <v>524.46932531566358</v>
      </c>
      <c r="J847" s="10">
        <f t="shared" ca="1" si="117"/>
        <v>2201.9969111260475</v>
      </c>
      <c r="K847" s="12">
        <f t="array" aca="1" ref="K847:L847" ca="1">Opt3Spd(H847:J847,$E$3:$G$3,$K$3:$M$3,$N$3:$P$3,$H$3,$I$3,$Q$3,$J$3)</f>
        <v>175.23240607788193</v>
      </c>
      <c r="L847" s="12">
        <f ca="1"/>
        <v>0.10201700029142557</v>
      </c>
      <c r="M847" s="12">
        <f t="array" aca="1" ref="M847:N847" ca="1">Opt3Spd(H847:J847,$E$3:$G$3,$K$3:$M$3,$N$3:$P$3,$H$4,$I$3,$Q$3,$J$3)</f>
        <v>2.3537914057108367E-2</v>
      </c>
      <c r="N847" s="12">
        <f ca="1"/>
        <v>224.89314883646659</v>
      </c>
      <c r="O847" s="12">
        <f t="shared" ca="1" si="118"/>
        <v>0.12555491434853394</v>
      </c>
    </row>
    <row r="848" spans="2:15" x14ac:dyDescent="0.15">
      <c r="B848" s="6">
        <f t="shared" ca="1" si="111"/>
        <v>0.86486219179704604</v>
      </c>
      <c r="C848" s="6">
        <f t="shared" ca="1" si="111"/>
        <v>-0.65046571614434545</v>
      </c>
      <c r="D848" s="6">
        <f t="shared" ca="1" si="111"/>
        <v>-0.82070210933226995</v>
      </c>
      <c r="E848" s="8">
        <f t="shared" ca="1" si="112"/>
        <v>1.9691527595357226E-2</v>
      </c>
      <c r="F848" s="8">
        <f t="shared" ca="1" si="113"/>
        <v>1.7127551129543089E-2</v>
      </c>
      <c r="G848" s="8">
        <f t="shared" ca="1" si="114"/>
        <v>2.114236323312782E-2</v>
      </c>
      <c r="H848" s="10">
        <f t="shared" ca="1" si="115"/>
        <v>4095.0811748229548</v>
      </c>
      <c r="I848" s="10">
        <f t="shared" ca="1" si="116"/>
        <v>553.31738781447143</v>
      </c>
      <c r="J848" s="10">
        <f t="shared" ca="1" si="117"/>
        <v>2283.2743241892736</v>
      </c>
      <c r="K848" s="12">
        <f t="array" aca="1" ref="K848:L848" ca="1">Opt3Spd(H848:J848,$E$3:$G$3,$K$3:$M$3,$N$3:$P$3,$H$3,$I$3,$Q$3,$J$3)</f>
        <v>243.13983974686744</v>
      </c>
      <c r="L848" s="12">
        <f ca="1"/>
        <v>3.6475217038969276E-3</v>
      </c>
      <c r="M848" s="12">
        <f t="array" aca="1" ref="M848:N848" ca="1">Opt3Spd(H848:J848,$E$3:$G$3,$K$3:$M$3,$N$3:$P$3,$H$4,$I$3,$Q$3,$J$3)</f>
        <v>0.50639414062402466</v>
      </c>
      <c r="N848" s="12">
        <f ca="1"/>
        <v>157.37020191546048</v>
      </c>
      <c r="O848" s="12">
        <f t="shared" ca="1" si="118"/>
        <v>0.51004166232792159</v>
      </c>
    </row>
    <row r="849" spans="2:15" x14ac:dyDescent="0.15">
      <c r="B849" s="6">
        <f t="shared" ca="1" si="111"/>
        <v>-0.92006269198077406</v>
      </c>
      <c r="C849" s="6">
        <f t="shared" ca="1" si="111"/>
        <v>0.84514433932248978</v>
      </c>
      <c r="D849" s="6">
        <f t="shared" ca="1" si="111"/>
        <v>-8.7212280012535032E-2</v>
      </c>
      <c r="E849" s="8">
        <f t="shared" ca="1" si="112"/>
        <v>-2.0948354616997313E-2</v>
      </c>
      <c r="F849" s="8">
        <f t="shared" ca="1" si="113"/>
        <v>-1.4699762850015362E-2</v>
      </c>
      <c r="G849" s="8">
        <f t="shared" ca="1" si="114"/>
        <v>-3.2277254825117493E-2</v>
      </c>
      <c r="H849" s="10">
        <f t="shared" ca="1" si="115"/>
        <v>3931.8714078581388</v>
      </c>
      <c r="I849" s="10">
        <f t="shared" ca="1" si="116"/>
        <v>536.00332900959165</v>
      </c>
      <c r="J849" s="10">
        <f t="shared" ca="1" si="117"/>
        <v>2163.8280582110374</v>
      </c>
      <c r="K849" s="12">
        <f t="array" aca="1" ref="K849:L849" ca="1">Opt3Spd(H849:J849,$E$3:$G$3,$K$3:$M$3,$N$3:$P$3,$H$3,$I$3,$Q$3,$J$3)</f>
        <v>167.49305490198481</v>
      </c>
      <c r="L849" s="12">
        <f ca="1"/>
        <v>0.14100256471124339</v>
      </c>
      <c r="M849" s="12">
        <f t="array" aca="1" ref="M849:N849" ca="1">Opt3Spd(H849:J849,$E$3:$G$3,$K$3:$M$3,$N$3:$P$3,$H$4,$I$3,$Q$3,$J$3)</f>
        <v>1.51723556256258E-2</v>
      </c>
      <c r="N849" s="12">
        <f ca="1"/>
        <v>232.66312001835206</v>
      </c>
      <c r="O849" s="12">
        <f t="shared" ca="1" si="118"/>
        <v>0.15617492033686919</v>
      </c>
    </row>
    <row r="850" spans="2:15" x14ac:dyDescent="0.15">
      <c r="B850" s="6">
        <f t="shared" ca="1" si="111"/>
        <v>-1.2726430772425341</v>
      </c>
      <c r="C850" s="6">
        <f t="shared" ca="1" si="111"/>
        <v>-0.36645572793269893</v>
      </c>
      <c r="D850" s="6">
        <f t="shared" ca="1" si="111"/>
        <v>1.1923220898321558</v>
      </c>
      <c r="E850" s="8">
        <f t="shared" ca="1" si="112"/>
        <v>-2.8976045562230449E-2</v>
      </c>
      <c r="F850" s="8">
        <f t="shared" ca="1" si="113"/>
        <v>-5.5631074009293964E-2</v>
      </c>
      <c r="G850" s="8">
        <f t="shared" ca="1" si="114"/>
        <v>-3.5116775315221671E-2</v>
      </c>
      <c r="H850" s="10">
        <f t="shared" ca="1" si="115"/>
        <v>3899.6322010220824</v>
      </c>
      <c r="I850" s="10">
        <f t="shared" ca="1" si="116"/>
        <v>513.73669573894404</v>
      </c>
      <c r="J850" s="10">
        <f t="shared" ca="1" si="117"/>
        <v>2157.4788903951644</v>
      </c>
      <c r="K850" s="12">
        <f t="array" aca="1" ref="K850:L850" ca="1">Opt3Spd(H850:J850,$E$3:$G$3,$K$3:$M$3,$N$3:$P$3,$H$3,$I$3,$Q$3,$J$3)</f>
        <v>174.017273992421</v>
      </c>
      <c r="L850" s="12">
        <f ca="1"/>
        <v>0.10323135023122632</v>
      </c>
      <c r="M850" s="12">
        <f t="array" aca="1" ref="M850:N850" ca="1">Opt3Spd(H850:J850,$E$3:$G$3,$K$3:$M$3,$N$3:$P$3,$H$4,$I$3,$Q$3,$J$3)</f>
        <v>2.1057935435889075E-2</v>
      </c>
      <c r="N850" s="12">
        <f ca="1"/>
        <v>226.10701529324612</v>
      </c>
      <c r="O850" s="12">
        <f t="shared" ca="1" si="118"/>
        <v>0.12428928566711539</v>
      </c>
    </row>
    <row r="851" spans="2:15" x14ac:dyDescent="0.15">
      <c r="B851" s="6">
        <f t="shared" ca="1" si="111"/>
        <v>0.87622579787409482</v>
      </c>
      <c r="C851" s="6">
        <f t="shared" ca="1" si="111"/>
        <v>-1.1164170035182757</v>
      </c>
      <c r="D851" s="6">
        <f t="shared" ca="1" si="111"/>
        <v>-8.0073309661812114E-2</v>
      </c>
      <c r="E851" s="8">
        <f t="shared" ca="1" si="112"/>
        <v>1.9950258714339343E-2</v>
      </c>
      <c r="F851" s="8">
        <f t="shared" ca="1" si="113"/>
        <v>6.8375474147026934E-3</v>
      </c>
      <c r="G851" s="8">
        <f t="shared" ca="1" si="114"/>
        <v>2.8097159492687804E-2</v>
      </c>
      <c r="H851" s="10">
        <f t="shared" ca="1" si="115"/>
        <v>4096.1202389967875</v>
      </c>
      <c r="I851" s="10">
        <f t="shared" ca="1" si="116"/>
        <v>547.7196257935982</v>
      </c>
      <c r="J851" s="10">
        <f t="shared" ca="1" si="117"/>
        <v>2298.8252486256497</v>
      </c>
      <c r="K851" s="12">
        <f t="array" aca="1" ref="K851:L851" ca="1">Opt3Spd(H851:J851,$E$3:$G$3,$K$3:$M$3,$N$3:$P$3,$H$3,$I$3,$Q$3,$J$3)</f>
        <v>245.3594877458338</v>
      </c>
      <c r="L851" s="12">
        <f ca="1"/>
        <v>3.2743316280630097E-3</v>
      </c>
      <c r="M851" s="12">
        <f t="array" aca="1" ref="M851:N851" ca="1">Opt3Spd(H851:J851,$E$3:$G$3,$K$3:$M$3,$N$3:$P$3,$H$4,$I$3,$Q$3,$J$3)</f>
        <v>0.55456487152017075</v>
      </c>
      <c r="N851" s="12">
        <f ca="1"/>
        <v>155.19835145731443</v>
      </c>
      <c r="O851" s="12">
        <f t="shared" ca="1" si="118"/>
        <v>0.55783920314823376</v>
      </c>
    </row>
    <row r="852" spans="2:15" x14ac:dyDescent="0.15">
      <c r="B852" s="6">
        <f t="shared" ca="1" si="111"/>
        <v>0.33021551268246807</v>
      </c>
      <c r="C852" s="6">
        <f t="shared" ca="1" si="111"/>
        <v>-0.67748129796572099</v>
      </c>
      <c r="D852" s="6">
        <f t="shared" ca="1" si="111"/>
        <v>0.32484556892168587</v>
      </c>
      <c r="E852" s="8">
        <f t="shared" ca="1" si="112"/>
        <v>7.518478599337082E-3</v>
      </c>
      <c r="F852" s="8">
        <f t="shared" ca="1" si="113"/>
        <v>-3.3254221514650963E-3</v>
      </c>
      <c r="G852" s="8">
        <f t="shared" ca="1" si="114"/>
        <v>1.3625469955456927E-2</v>
      </c>
      <c r="H852" s="10">
        <f t="shared" ca="1" si="115"/>
        <v>4046.1942100549381</v>
      </c>
      <c r="I852" s="10">
        <f t="shared" ca="1" si="116"/>
        <v>542.19097034960294</v>
      </c>
      <c r="J852" s="10">
        <f t="shared" ca="1" si="117"/>
        <v>2266.4665508204016</v>
      </c>
      <c r="K852" s="12">
        <f t="array" aca="1" ref="K852:L852" ca="1">Opt3Spd(H852:J852,$E$3:$G$3,$K$3:$M$3,$N$3:$P$3,$H$3,$I$3,$Q$3,$J$3)</f>
        <v>220.46740493674861</v>
      </c>
      <c r="L852" s="12">
        <f ca="1"/>
        <v>1.2022851376059407E-2</v>
      </c>
      <c r="M852" s="12">
        <f t="array" aca="1" ref="M852:N852" ca="1">Opt3Spd(H852:J852,$E$3:$G$3,$K$3:$M$3,$N$3:$P$3,$H$4,$I$3,$Q$3,$J$3)</f>
        <v>0.20296139442818273</v>
      </c>
      <c r="N852" s="12">
        <f ca="1"/>
        <v>179.74757930905562</v>
      </c>
      <c r="O852" s="12">
        <f t="shared" ca="1" si="118"/>
        <v>0.21498424580424214</v>
      </c>
    </row>
    <row r="853" spans="2:15" x14ac:dyDescent="0.15">
      <c r="B853" s="6">
        <f t="shared" ca="1" si="111"/>
        <v>-0.43084556165804888</v>
      </c>
      <c r="C853" s="6">
        <f t="shared" ca="1" si="111"/>
        <v>-1.0300503021815368</v>
      </c>
      <c r="D853" s="6">
        <f t="shared" ca="1" si="111"/>
        <v>-0.16769117059364261</v>
      </c>
      <c r="E853" s="8">
        <f t="shared" ca="1" si="112"/>
        <v>-9.8096637212204112E-3</v>
      </c>
      <c r="F853" s="8">
        <f t="shared" ca="1" si="113"/>
        <v>-3.9660885554645614E-2</v>
      </c>
      <c r="G853" s="8">
        <f t="shared" ca="1" si="114"/>
        <v>-2.0605194489793463E-2</v>
      </c>
      <c r="H853" s="10">
        <f t="shared" ca="1" si="115"/>
        <v>3976.6043904955791</v>
      </c>
      <c r="I853" s="10">
        <f t="shared" ca="1" si="116"/>
        <v>522.42447825827276</v>
      </c>
      <c r="J853" s="10">
        <f t="shared" ca="1" si="117"/>
        <v>2189.9267851208219</v>
      </c>
      <c r="K853" s="12">
        <f t="array" aca="1" ref="K853:L853" ca="1">Opt3Spd(H853:J853,$E$3:$G$3,$K$3:$M$3,$N$3:$P$3,$H$3,$I$3,$Q$3,$J$3)</f>
        <v>220.77245097822583</v>
      </c>
      <c r="L853" s="12">
        <f ca="1"/>
        <v>1.0618256294037565E-2</v>
      </c>
      <c r="M853" s="12">
        <f t="array" aca="1" ref="M853:N853" ca="1">Opt3Spd(H853:J853,$E$3:$G$3,$K$3:$M$3,$N$3:$P$3,$H$4,$I$3,$Q$3,$J$3)</f>
        <v>0.19409673741398237</v>
      </c>
      <c r="N853" s="12">
        <f ca="1"/>
        <v>179.43226401548219</v>
      </c>
      <c r="O853" s="12">
        <f t="shared" ca="1" si="118"/>
        <v>0.20471499370801993</v>
      </c>
    </row>
    <row r="854" spans="2:15" x14ac:dyDescent="0.15">
      <c r="B854" s="6">
        <f t="shared" ca="1" si="111"/>
        <v>0.3862897037067361</v>
      </c>
      <c r="C854" s="6">
        <f t="shared" ca="1" si="111"/>
        <v>0.53443570681871744</v>
      </c>
      <c r="D854" s="6">
        <f t="shared" ca="1" si="111"/>
        <v>-0.61612688134038662</v>
      </c>
      <c r="E854" s="8">
        <f t="shared" ca="1" si="112"/>
        <v>8.7951981627710923E-3</v>
      </c>
      <c r="F854" s="8">
        <f t="shared" ca="1" si="113"/>
        <v>2.6614717382445276E-2</v>
      </c>
      <c r="G854" s="8">
        <f t="shared" ca="1" si="114"/>
        <v>9.1794736529867381E-3</v>
      </c>
      <c r="H854" s="10">
        <f t="shared" ca="1" si="115"/>
        <v>4051.321515821689</v>
      </c>
      <c r="I854" s="10">
        <f t="shared" ca="1" si="116"/>
        <v>558.47840625605022</v>
      </c>
      <c r="J854" s="10">
        <f t="shared" ca="1" si="117"/>
        <v>2256.5253030880781</v>
      </c>
      <c r="K854" s="12">
        <f t="array" aca="1" ref="K854:L854" ca="1">Opt3Spd(H854:J854,$E$3:$G$3,$K$3:$M$3,$N$3:$P$3,$H$3,$I$3,$Q$3,$J$3)</f>
        <v>204.52065357138326</v>
      </c>
      <c r="L854" s="12">
        <f ca="1"/>
        <v>2.7239303413580274E-2</v>
      </c>
      <c r="M854" s="12">
        <f t="array" aca="1" ref="M854:N854" ca="1">Opt3Spd(H854:J854,$E$3:$G$3,$K$3:$M$3,$N$3:$P$3,$H$4,$I$3,$Q$3,$J$3)</f>
        <v>0.10163605970923939</v>
      </c>
      <c r="N854" s="12">
        <f ca="1"/>
        <v>195.60822179173957</v>
      </c>
      <c r="O854" s="12">
        <f t="shared" ca="1" si="118"/>
        <v>0.12887536312281966</v>
      </c>
    </row>
    <row r="855" spans="2:15" x14ac:dyDescent="0.15">
      <c r="B855" s="6">
        <f t="shared" ca="1" si="111"/>
        <v>-0.74286588679305499</v>
      </c>
      <c r="C855" s="6">
        <f t="shared" ca="1" si="111"/>
        <v>-0.24065267625487888</v>
      </c>
      <c r="D855" s="6">
        <f t="shared" ca="1" si="111"/>
        <v>1.6001343482216861</v>
      </c>
      <c r="E855" s="8">
        <f t="shared" ca="1" si="112"/>
        <v>-1.6913867027809323E-2</v>
      </c>
      <c r="F855" s="8">
        <f t="shared" ca="1" si="113"/>
        <v>-3.308775172200204E-2</v>
      </c>
      <c r="G855" s="8">
        <f t="shared" ca="1" si="114"/>
        <v>-1.0943974110045163E-2</v>
      </c>
      <c r="H855" s="10">
        <f t="shared" ca="1" si="115"/>
        <v>3948.0739100163178</v>
      </c>
      <c r="I855" s="10">
        <f t="shared" ca="1" si="116"/>
        <v>526.00026306323093</v>
      </c>
      <c r="J855" s="10">
        <f t="shared" ca="1" si="117"/>
        <v>2211.5292738899388</v>
      </c>
      <c r="K855" s="12">
        <f t="array" aca="1" ref="K855:L855" ca="1">Opt3Spd(H855:J855,$E$3:$G$3,$K$3:$M$3,$N$3:$P$3,$H$3,$I$3,$Q$3,$J$3)</f>
        <v>175.80912997893779</v>
      </c>
      <c r="L855" s="12">
        <f ca="1"/>
        <v>0.10027780875884673</v>
      </c>
      <c r="M855" s="12">
        <f t="array" aca="1" ref="M855:N855" ca="1">Opt3Spd(H855:J855,$E$3:$G$3,$K$3:$M$3,$N$3:$P$3,$H$4,$I$3,$Q$3,$J$3)</f>
        <v>2.4490212804374689E-2</v>
      </c>
      <c r="N855" s="12">
        <f ca="1"/>
        <v>224.31563804262544</v>
      </c>
      <c r="O855" s="12">
        <f t="shared" ca="1" si="118"/>
        <v>0.12476802156322142</v>
      </c>
    </row>
    <row r="856" spans="2:15" x14ac:dyDescent="0.15">
      <c r="B856" s="6">
        <f t="shared" ca="1" si="111"/>
        <v>1.6509473427250621</v>
      </c>
      <c r="C856" s="6">
        <f t="shared" ca="1" si="111"/>
        <v>-0.69036005954700574</v>
      </c>
      <c r="D856" s="6">
        <f t="shared" ca="1" si="111"/>
        <v>0.28255286533013263</v>
      </c>
      <c r="E856" s="8">
        <f t="shared" ca="1" si="112"/>
        <v>3.7589428080099449E-2</v>
      </c>
      <c r="F856" s="8">
        <f t="shared" ca="1" si="113"/>
        <v>4.536910300404387E-2</v>
      </c>
      <c r="G856" s="8">
        <f t="shared" ca="1" si="114"/>
        <v>6.1659076451543074E-2</v>
      </c>
      <c r="H856" s="10">
        <f t="shared" ca="1" si="115"/>
        <v>4166.959143169679</v>
      </c>
      <c r="I856" s="10">
        <f t="shared" ca="1" si="116"/>
        <v>568.68079203419995</v>
      </c>
      <c r="J856" s="10">
        <f t="shared" ca="1" si="117"/>
        <v>2373.8696949456503</v>
      </c>
      <c r="K856" s="12">
        <f t="array" aca="1" ref="K856:L856" ca="1">Opt3Spd(H856:J856,$E$3:$G$3,$K$3:$M$3,$N$3:$P$3,$H$3,$I$3,$Q$3,$J$3)</f>
        <v>245.138811848366</v>
      </c>
      <c r="L856" s="12">
        <f ca="1"/>
        <v>3.7834062318324868E-3</v>
      </c>
      <c r="M856" s="12">
        <f t="array" aca="1" ref="M856:N856" ca="1">Opt3Spd(H856:J856,$E$3:$G$3,$K$3:$M$3,$N$3:$P$3,$H$4,$I$3,$Q$3,$J$3)</f>
        <v>0.57656902664250254</v>
      </c>
      <c r="N856" s="12">
        <f ca="1"/>
        <v>155.44154058450835</v>
      </c>
      <c r="O856" s="12">
        <f t="shared" ca="1" si="118"/>
        <v>0.58035243287433502</v>
      </c>
    </row>
    <row r="857" spans="2:15" x14ac:dyDescent="0.15">
      <c r="B857" s="6">
        <f t="shared" ca="1" si="111"/>
        <v>-0.15568980553798503</v>
      </c>
      <c r="C857" s="6">
        <f t="shared" ca="1" si="111"/>
        <v>8.8831595443504857E-2</v>
      </c>
      <c r="D857" s="6">
        <f t="shared" ca="1" si="111"/>
        <v>-1.7094939502213373</v>
      </c>
      <c r="E857" s="8">
        <f t="shared" ca="1" si="112"/>
        <v>-3.5448076365748515E-3</v>
      </c>
      <c r="F857" s="8">
        <f t="shared" ca="1" si="113"/>
        <v>-3.7329775649187959E-3</v>
      </c>
      <c r="G857" s="8">
        <f t="shared" ca="1" si="114"/>
        <v>-2.367324674347801E-2</v>
      </c>
      <c r="H857" s="10">
        <f t="shared" ca="1" si="115"/>
        <v>4001.7640525315155</v>
      </c>
      <c r="I857" s="10">
        <f t="shared" ca="1" si="116"/>
        <v>541.96926020468425</v>
      </c>
      <c r="J857" s="10">
        <f t="shared" ca="1" si="117"/>
        <v>2183.0666202815833</v>
      </c>
      <c r="K857" s="12">
        <f t="array" aca="1" ref="K857:L857" ca="1">Opt3Spd(H857:J857,$E$3:$G$3,$K$3:$M$3,$N$3:$P$3,$H$3,$I$3,$Q$3,$J$3)</f>
        <v>218.09222793229878</v>
      </c>
      <c r="L857" s="12">
        <f ca="1"/>
        <v>1.2301869069688109E-2</v>
      </c>
      <c r="M857" s="12">
        <f t="array" aca="1" ref="M857:N857" ca="1">Opt3Spd(H857:J857,$E$3:$G$3,$K$3:$M$3,$N$3:$P$3,$H$4,$I$3,$Q$3,$J$3)</f>
        <v>0.17293210166303474</v>
      </c>
      <c r="N857" s="12">
        <f ca="1"/>
        <v>182.09300603843394</v>
      </c>
      <c r="O857" s="12">
        <f t="shared" ca="1" si="118"/>
        <v>0.18523397073272285</v>
      </c>
    </row>
    <row r="858" spans="2:15" x14ac:dyDescent="0.15">
      <c r="B858" s="6">
        <f t="shared" ca="1" si="111"/>
        <v>-0.13003277524089982</v>
      </c>
      <c r="C858" s="6">
        <f t="shared" ca="1" si="111"/>
        <v>0.65712309024545401</v>
      </c>
      <c r="D858" s="6">
        <f t="shared" ca="1" si="111"/>
        <v>0.46654569222996201</v>
      </c>
      <c r="E858" s="8">
        <f t="shared" ca="1" si="112"/>
        <v>-2.9606381296847523E-3</v>
      </c>
      <c r="F858" s="8">
        <f t="shared" ca="1" si="113"/>
        <v>1.0282899316988789E-2</v>
      </c>
      <c r="G858" s="8">
        <f t="shared" ca="1" si="114"/>
        <v>2.1005531316838685E-3</v>
      </c>
      <c r="H858" s="10">
        <f t="shared" ca="1" si="115"/>
        <v>4004.1100772711861</v>
      </c>
      <c r="I858" s="10">
        <f t="shared" ca="1" si="116"/>
        <v>549.59389722844185</v>
      </c>
      <c r="J858" s="10">
        <f t="shared" ca="1" si="117"/>
        <v>2240.696836802445</v>
      </c>
      <c r="K858" s="12">
        <f t="array" aca="1" ref="K858:L858" ca="1">Opt3Spd(H858:J858,$E$3:$G$3,$K$3:$M$3,$N$3:$P$3,$H$3,$I$3,$Q$3,$J$3)</f>
        <v>179.49963707223128</v>
      </c>
      <c r="L858" s="12">
        <f ca="1"/>
        <v>8.8213767774504959E-2</v>
      </c>
      <c r="M858" s="12">
        <f t="array" aca="1" ref="M858:N858" ca="1">Opt3Spd(H858:J858,$E$3:$G$3,$K$3:$M$3,$N$3:$P$3,$H$4,$I$3,$Q$3,$J$3)</f>
        <v>3.0656202161072788E-2</v>
      </c>
      <c r="N858" s="12">
        <f ca="1"/>
        <v>220.61923289770431</v>
      </c>
      <c r="O858" s="12">
        <f t="shared" ca="1" si="118"/>
        <v>0.11886996993557775</v>
      </c>
    </row>
    <row r="859" spans="2:15" x14ac:dyDescent="0.15">
      <c r="B859" s="6">
        <f t="shared" ca="1" si="111"/>
        <v>-1.3081258848311264</v>
      </c>
      <c r="C859" s="6">
        <f t="shared" ca="1" si="111"/>
        <v>-1.8722006936308115</v>
      </c>
      <c r="D859" s="6">
        <f t="shared" ca="1" si="111"/>
        <v>-0.41777248208722007</v>
      </c>
      <c r="E859" s="8">
        <f t="shared" ca="1" si="112"/>
        <v>-2.9783932288484152E-2</v>
      </c>
      <c r="F859" s="8">
        <f t="shared" ca="1" si="113"/>
        <v>-9.1562069946917388E-2</v>
      </c>
      <c r="G859" s="8">
        <f t="shared" ca="1" si="114"/>
        <v>-5.7943914796870125E-2</v>
      </c>
      <c r="H859" s="10">
        <f t="shared" ca="1" si="115"/>
        <v>3896.3877279294475</v>
      </c>
      <c r="I859" s="10">
        <f t="shared" ca="1" si="116"/>
        <v>494.19023394887694</v>
      </c>
      <c r="J859" s="10">
        <f t="shared" ca="1" si="117"/>
        <v>2106.4374065141983</v>
      </c>
      <c r="K859" s="12">
        <f t="array" aca="1" ref="K859:L859" ca="1">Opt3Spd(H859:J859,$E$3:$G$3,$K$3:$M$3,$N$3:$P$3,$H$3,$I$3,$Q$3,$J$3)</f>
        <v>227.47123203326896</v>
      </c>
      <c r="L859" s="12">
        <f ca="1"/>
        <v>6.5816791236557037E-3</v>
      </c>
      <c r="M859" s="12">
        <f t="array" aca="1" ref="M859:N859" ca="1">Opt3Spd(H859:J859,$E$3:$G$3,$K$3:$M$3,$N$3:$P$3,$H$4,$I$3,$Q$3,$J$3)</f>
        <v>0.24273629791328233</v>
      </c>
      <c r="N859" s="12">
        <f ca="1"/>
        <v>172.77808594376796</v>
      </c>
      <c r="O859" s="12">
        <f t="shared" ca="1" si="118"/>
        <v>0.24931797703693803</v>
      </c>
    </row>
    <row r="860" spans="2:15" x14ac:dyDescent="0.15">
      <c r="B860" s="6">
        <f t="shared" ca="1" si="111"/>
        <v>-0.64815295267021111</v>
      </c>
      <c r="C860" s="6">
        <f t="shared" ca="1" si="111"/>
        <v>0.90486543532743346</v>
      </c>
      <c r="D860" s="6">
        <f t="shared" ca="1" si="111"/>
        <v>0.48413133257681695</v>
      </c>
      <c r="E860" s="8">
        <f t="shared" ca="1" si="112"/>
        <v>-1.4757405138728507E-2</v>
      </c>
      <c r="F860" s="8">
        <f t="shared" ca="1" si="113"/>
        <v>-3.2407760812768341E-3</v>
      </c>
      <c r="G860" s="8">
        <f t="shared" ca="1" si="114"/>
        <v>-1.6027810011069933E-2</v>
      </c>
      <c r="H860" s="10">
        <f t="shared" ca="1" si="115"/>
        <v>3956.7342609628663</v>
      </c>
      <c r="I860" s="10">
        <f t="shared" ca="1" si="116"/>
        <v>542.23701781178545</v>
      </c>
      <c r="J860" s="10">
        <f t="shared" ca="1" si="117"/>
        <v>2200.1618168152477</v>
      </c>
      <c r="K860" s="12">
        <f t="array" aca="1" ref="K860:L860" ca="1">Opt3Spd(H860:J860,$E$3:$G$3,$K$3:$M$3,$N$3:$P$3,$H$3,$I$3,$Q$3,$J$3)</f>
        <v>164.24253489517378</v>
      </c>
      <c r="L860" s="12">
        <f ca="1"/>
        <v>0.16841083878830432</v>
      </c>
      <c r="M860" s="12">
        <f t="array" aca="1" ref="M860:N860" ca="1">Opt3Spd(H860:J860,$E$3:$G$3,$K$3:$M$3,$N$3:$P$3,$H$4,$I$3,$Q$3,$J$3)</f>
        <v>1.3332697340425081E-2</v>
      </c>
      <c r="N860" s="12">
        <f ca="1"/>
        <v>235.93920864095494</v>
      </c>
      <c r="O860" s="12">
        <f t="shared" ca="1" si="118"/>
        <v>0.1817435361287294</v>
      </c>
    </row>
    <row r="861" spans="2:15" x14ac:dyDescent="0.15">
      <c r="B861" s="6">
        <f t="shared" ca="1" si="111"/>
        <v>0.34702544399058849</v>
      </c>
      <c r="C861" s="6">
        <f t="shared" ca="1" si="111"/>
        <v>0.69814314823712909</v>
      </c>
      <c r="D861" s="6">
        <f t="shared" ca="1" si="111"/>
        <v>0.39016692325738667</v>
      </c>
      <c r="E861" s="8">
        <f t="shared" ca="1" si="112"/>
        <v>7.9012138250984486E-3</v>
      </c>
      <c r="F861" s="8">
        <f t="shared" ca="1" si="113"/>
        <v>2.8921655945139707E-2</v>
      </c>
      <c r="G861" s="8">
        <f t="shared" ca="1" si="114"/>
        <v>1.8932309160536592E-2</v>
      </c>
      <c r="H861" s="10">
        <f t="shared" ca="1" si="115"/>
        <v>4047.7312747215956</v>
      </c>
      <c r="I861" s="10">
        <f t="shared" ca="1" si="116"/>
        <v>559.73338083415604</v>
      </c>
      <c r="J861" s="10">
        <f t="shared" ca="1" si="117"/>
        <v>2278.3326432829599</v>
      </c>
      <c r="K861" s="12">
        <f t="array" aca="1" ref="K861:L861" ca="1">Opt3Spd(H861:J861,$E$3:$G$3,$K$3:$M$3,$N$3:$P$3,$H$3,$I$3,$Q$3,$J$3)</f>
        <v>188.05343770081686</v>
      </c>
      <c r="L861" s="12">
        <f ca="1"/>
        <v>6.1893955350797114E-2</v>
      </c>
      <c r="M861" s="12">
        <f t="array" aca="1" ref="M861:N861" ca="1">Opt3Spd(H861:J861,$E$3:$G$3,$K$3:$M$3,$N$3:$P$3,$H$4,$I$3,$Q$3,$J$3)</f>
        <v>4.8455938955905609E-2</v>
      </c>
      <c r="N861" s="12">
        <f ca="1"/>
        <v>212.05691219348984</v>
      </c>
      <c r="O861" s="12">
        <f t="shared" ca="1" si="118"/>
        <v>0.11034989430670272</v>
      </c>
    </row>
    <row r="862" spans="2:15" x14ac:dyDescent="0.15">
      <c r="B862" s="6">
        <f t="shared" ca="1" si="111"/>
        <v>1.0290750302828691</v>
      </c>
      <c r="C862" s="6">
        <f t="shared" ca="1" si="111"/>
        <v>1.4260057940177167</v>
      </c>
      <c r="D862" s="6">
        <f t="shared" ca="1" si="111"/>
        <v>-0.54550138278651428</v>
      </c>
      <c r="E862" s="8">
        <f t="shared" ca="1" si="112"/>
        <v>2.3430391048084431E-2</v>
      </c>
      <c r="F862" s="8">
        <f t="shared" ca="1" si="113"/>
        <v>7.0953742176462692E-2</v>
      </c>
      <c r="G862" s="8">
        <f t="shared" ca="1" si="114"/>
        <v>3.6134940529866544E-2</v>
      </c>
      <c r="H862" s="10">
        <f t="shared" ca="1" si="115"/>
        <v>4110.0964504491067</v>
      </c>
      <c r="I862" s="10">
        <f t="shared" ca="1" si="116"/>
        <v>582.59883574399578</v>
      </c>
      <c r="J862" s="10">
        <f t="shared" ca="1" si="117"/>
        <v>2316.7977270247816</v>
      </c>
      <c r="K862" s="12">
        <f t="array" aca="1" ref="K862:L862" ca="1">Opt3Spd(H862:J862,$E$3:$G$3,$K$3:$M$3,$N$3:$P$3,$H$3,$I$3,$Q$3,$J$3)</f>
        <v>194.58775977635901</v>
      </c>
      <c r="L862" s="12">
        <f ca="1"/>
        <v>4.8310030036191165E-2</v>
      </c>
      <c r="M862" s="12">
        <f t="array" aca="1" ref="M862:N862" ca="1">Opt3Spd(H862:J862,$E$3:$G$3,$K$3:$M$3,$N$3:$P$3,$H$4,$I$3,$Q$3,$J$3)</f>
        <v>6.9048665564624301E-2</v>
      </c>
      <c r="N862" s="12">
        <f ca="1"/>
        <v>205.52959891924181</v>
      </c>
      <c r="O862" s="12">
        <f t="shared" ca="1" si="118"/>
        <v>0.11735869560081547</v>
      </c>
    </row>
    <row r="863" spans="2:15" x14ac:dyDescent="0.15">
      <c r="B863" s="6">
        <f t="shared" ca="1" si="111"/>
        <v>-1.1932634100616661</v>
      </c>
      <c r="C863" s="6">
        <f t="shared" ca="1" si="111"/>
        <v>0.83942806061083719</v>
      </c>
      <c r="D863" s="6">
        <f t="shared" ca="1" si="111"/>
        <v>-1.3890756738276411</v>
      </c>
      <c r="E863" s="8">
        <f t="shared" ca="1" si="112"/>
        <v>-2.71686976152073E-2</v>
      </c>
      <c r="F863" s="8">
        <f t="shared" ca="1" si="113"/>
        <v>-2.4965146974652765E-2</v>
      </c>
      <c r="G863" s="8">
        <f t="shared" ca="1" si="114"/>
        <v>-5.6199620640296238E-2</v>
      </c>
      <c r="H863" s="10">
        <f t="shared" ca="1" si="115"/>
        <v>3906.8905103773272</v>
      </c>
      <c r="I863" s="10">
        <f t="shared" ca="1" si="116"/>
        <v>530.41896004578894</v>
      </c>
      <c r="J863" s="10">
        <f t="shared" ca="1" si="117"/>
        <v>2110.3376482482977</v>
      </c>
      <c r="K863" s="12">
        <f t="array" aca="1" ref="K863:L863" ca="1">Opt3Spd(H863:J863,$E$3:$G$3,$K$3:$M$3,$N$3:$P$3,$H$3,$I$3,$Q$3,$J$3)</f>
        <v>178.13379769820381</v>
      </c>
      <c r="L863" s="12">
        <f ca="1"/>
        <v>8.2447518287608546E-2</v>
      </c>
      <c r="M863" s="12">
        <f t="array" aca="1" ref="M863:N863" ca="1">Opt3Spd(H863:J863,$E$3:$G$3,$K$3:$M$3,$N$3:$P$3,$H$4,$I$3,$Q$3,$J$3)</f>
        <v>2.4890225577496761E-2</v>
      </c>
      <c r="N863" s="12">
        <f ca="1"/>
        <v>221.97354004566131</v>
      </c>
      <c r="O863" s="12">
        <f t="shared" ca="1" si="118"/>
        <v>0.10733774386510531</v>
      </c>
    </row>
    <row r="864" spans="2:15" x14ac:dyDescent="0.15">
      <c r="B864" s="6">
        <f t="shared" ca="1" si="111"/>
        <v>-0.90625656777569896</v>
      </c>
      <c r="C864" s="6">
        <f t="shared" ca="1" si="111"/>
        <v>0.41144894117407416</v>
      </c>
      <c r="D864" s="6">
        <f t="shared" ca="1" si="111"/>
        <v>-0.75218793715060717</v>
      </c>
      <c r="E864" s="8">
        <f t="shared" ca="1" si="112"/>
        <v>-2.063401127033734E-2</v>
      </c>
      <c r="F864" s="8">
        <f t="shared" ca="1" si="113"/>
        <v>-2.4157650560585248E-2</v>
      </c>
      <c r="G864" s="8">
        <f t="shared" ca="1" si="114"/>
        <v>-4.0113067225562668E-2</v>
      </c>
      <c r="H864" s="10">
        <f t="shared" ca="1" si="115"/>
        <v>3933.1338107383253</v>
      </c>
      <c r="I864" s="10">
        <f t="shared" ca="1" si="116"/>
        <v>530.85823809504166</v>
      </c>
      <c r="J864" s="10">
        <f t="shared" ca="1" si="117"/>
        <v>2146.3071816836418</v>
      </c>
      <c r="K864" s="12">
        <f t="array" aca="1" ref="K864:L864" ca="1">Opt3Spd(H864:J864,$E$3:$G$3,$K$3:$M$3,$N$3:$P$3,$H$3,$I$3,$Q$3,$J$3)</f>
        <v>185.66677462804023</v>
      </c>
      <c r="L864" s="12">
        <f ca="1"/>
        <v>5.9735683602639256E-2</v>
      </c>
      <c r="M864" s="12">
        <f t="array" aca="1" ref="M864:N864" ca="1">Opt3Spd(H864:J864,$E$3:$G$3,$K$3:$M$3,$N$3:$P$3,$H$4,$I$3,$Q$3,$J$3)</f>
        <v>3.7660224537368059E-2</v>
      </c>
      <c r="N864" s="12">
        <f ca="1"/>
        <v>214.43062128009979</v>
      </c>
      <c r="O864" s="12">
        <f t="shared" ca="1" si="118"/>
        <v>9.7395908140007315E-2</v>
      </c>
    </row>
    <row r="865" spans="2:15" x14ac:dyDescent="0.15">
      <c r="B865" s="6">
        <f t="shared" ca="1" si="111"/>
        <v>0.85085530049457547</v>
      </c>
      <c r="C865" s="6">
        <f t="shared" ca="1" si="111"/>
        <v>-1.7903616159409579</v>
      </c>
      <c r="D865" s="6">
        <f t="shared" ca="1" si="111"/>
        <v>0.43182913984395449</v>
      </c>
      <c r="E865" s="8">
        <f t="shared" ca="1" si="112"/>
        <v>1.9372613103286914E-2</v>
      </c>
      <c r="F865" s="8">
        <f t="shared" ca="1" si="113"/>
        <v>-9.5965073440888865E-3</v>
      </c>
      <c r="G865" s="8">
        <f t="shared" ca="1" si="114"/>
        <v>3.0661971714732873E-2</v>
      </c>
      <c r="H865" s="10">
        <f t="shared" ca="1" si="115"/>
        <v>4093.8004142228006</v>
      </c>
      <c r="I865" s="10">
        <f t="shared" ca="1" si="116"/>
        <v>538.77950000481565</v>
      </c>
      <c r="J865" s="10">
        <f t="shared" ca="1" si="117"/>
        <v>2304.560168754143</v>
      </c>
      <c r="K865" s="12">
        <f t="array" aca="1" ref="K865:L865" ca="1">Opt3Spd(H865:J865,$E$3:$G$3,$K$3:$M$3,$N$3:$P$3,$H$3,$I$3,$Q$3,$J$3)</f>
        <v>254.47508094652721</v>
      </c>
      <c r="L865" s="12">
        <f ca="1"/>
        <v>1.9511085033627751E-3</v>
      </c>
      <c r="M865" s="12">
        <f t="array" aca="1" ref="M865:N865" ca="1">Opt3Spd(H865:J865,$E$3:$G$3,$K$3:$M$3,$N$3:$P$3,$H$4,$I$3,$Q$3,$J$3)</f>
        <v>0.77496312268235812</v>
      </c>
      <c r="N865" s="12">
        <f ca="1"/>
        <v>146.3018332846585</v>
      </c>
      <c r="O865" s="12">
        <f t="shared" ca="1" si="118"/>
        <v>0.77691423118572089</v>
      </c>
    </row>
    <row r="866" spans="2:15" x14ac:dyDescent="0.15">
      <c r="B866" s="6">
        <f t="shared" ca="1" si="111"/>
        <v>0.22262133189157768</v>
      </c>
      <c r="C866" s="6">
        <f t="shared" ca="1" si="111"/>
        <v>1.1875299904302221</v>
      </c>
      <c r="D866" s="6">
        <f t="shared" ca="1" si="111"/>
        <v>-8.3806512108474562E-2</v>
      </c>
      <c r="E866" s="8">
        <f t="shared" ca="1" si="112"/>
        <v>5.0687313445271984E-3</v>
      </c>
      <c r="F866" s="8">
        <f t="shared" ca="1" si="113"/>
        <v>3.5557337917940537E-2</v>
      </c>
      <c r="G866" s="8">
        <f t="shared" ca="1" si="114"/>
        <v>1.0733315367731115E-2</v>
      </c>
      <c r="H866" s="10">
        <f t="shared" ca="1" si="115"/>
        <v>4036.3560250796213</v>
      </c>
      <c r="I866" s="10">
        <f t="shared" ca="1" si="116"/>
        <v>563.34319182735965</v>
      </c>
      <c r="J866" s="10">
        <f t="shared" ca="1" si="117"/>
        <v>2259.9996931622468</v>
      </c>
      <c r="K866" s="12">
        <f t="array" aca="1" ref="K866:L866" ca="1">Opt3Spd(H866:J866,$E$3:$G$3,$K$3:$M$3,$N$3:$P$3,$H$3,$I$3,$Q$3,$J$3)</f>
        <v>180.0954107689347</v>
      </c>
      <c r="L866" s="12">
        <f ca="1"/>
        <v>8.8339194212494476E-2</v>
      </c>
      <c r="M866" s="12">
        <f t="array" aca="1" ref="M866:N866" ca="1">Opt3Spd(H866:J866,$E$3:$G$3,$K$3:$M$3,$N$3:$P$3,$H$4,$I$3,$Q$3,$J$3)</f>
        <v>3.2431335722880483E-2</v>
      </c>
      <c r="N866" s="12">
        <f ca="1"/>
        <v>220.02535976100069</v>
      </c>
      <c r="O866" s="12">
        <f t="shared" ca="1" si="118"/>
        <v>0.12077052993537496</v>
      </c>
    </row>
    <row r="867" spans="2:15" x14ac:dyDescent="0.15">
      <c r="B867" s="6">
        <f t="shared" ca="1" si="111"/>
        <v>1.1425869205111414</v>
      </c>
      <c r="C867" s="6">
        <f t="shared" ca="1" si="111"/>
        <v>0.25202088502610359</v>
      </c>
      <c r="D867" s="6">
        <f t="shared" ca="1" si="111"/>
        <v>1.8053763933730822E-2</v>
      </c>
      <c r="E867" s="8">
        <f t="shared" ca="1" si="112"/>
        <v>2.6014875073437357E-2</v>
      </c>
      <c r="F867" s="8">
        <f t="shared" ca="1" si="113"/>
        <v>4.8176148697641724E-2</v>
      </c>
      <c r="G867" s="8">
        <f t="shared" ca="1" si="114"/>
        <v>4.2900722385892369E-2</v>
      </c>
      <c r="H867" s="10">
        <f t="shared" ca="1" si="115"/>
        <v>4120.4757382949238</v>
      </c>
      <c r="I867" s="10">
        <f t="shared" ca="1" si="116"/>
        <v>570.20782489151713</v>
      </c>
      <c r="J867" s="10">
        <f t="shared" ca="1" si="117"/>
        <v>2331.9260152548554</v>
      </c>
      <c r="K867" s="12">
        <f t="array" aca="1" ref="K867:L867" ca="1">Opt3Spd(H867:J867,$E$3:$G$3,$K$3:$M$3,$N$3:$P$3,$H$3,$I$3,$Q$3,$J$3)</f>
        <v>217.19606607472338</v>
      </c>
      <c r="L867" s="12">
        <f ca="1"/>
        <v>1.5855233654747281E-2</v>
      </c>
      <c r="M867" s="12">
        <f t="array" aca="1" ref="M867:N867" ca="1">Opt3Spd(H867:J867,$E$3:$G$3,$K$3:$M$3,$N$3:$P$3,$H$4,$I$3,$Q$3,$J$3)</f>
        <v>0.18723869518292702</v>
      </c>
      <c r="N867" s="12">
        <f ca="1"/>
        <v>183.00702785411431</v>
      </c>
      <c r="O867" s="12">
        <f t="shared" ca="1" si="118"/>
        <v>0.2030939288376743</v>
      </c>
    </row>
    <row r="868" spans="2:15" x14ac:dyDescent="0.15">
      <c r="B868" s="6">
        <f t="shared" ca="1" si="111"/>
        <v>-1.2767588539974337</v>
      </c>
      <c r="C868" s="6">
        <f t="shared" ca="1" si="111"/>
        <v>1.499791835355315</v>
      </c>
      <c r="D868" s="6">
        <f t="shared" ca="1" si="111"/>
        <v>4.2226393881908339E-2</v>
      </c>
      <c r="E868" s="8">
        <f t="shared" ca="1" si="112"/>
        <v>-2.9069755210211518E-2</v>
      </c>
      <c r="F868" s="8">
        <f t="shared" ca="1" si="113"/>
        <v>-1.2881515903629419E-2</v>
      </c>
      <c r="G868" s="8">
        <f t="shared" ca="1" si="114"/>
        <v>-4.2102351894645687E-2</v>
      </c>
      <c r="H868" s="10">
        <f t="shared" ca="1" si="115"/>
        <v>3899.2558630757908</v>
      </c>
      <c r="I868" s="10">
        <f t="shared" ca="1" si="116"/>
        <v>536.99245534842555</v>
      </c>
      <c r="J868" s="10">
        <f t="shared" ca="1" si="117"/>
        <v>2141.8591411635721</v>
      </c>
      <c r="K868" s="12">
        <f t="array" aca="1" ref="K868:L868" ca="1">Opt3Spd(H868:J868,$E$3:$G$3,$K$3:$M$3,$N$3:$P$3,$H$3,$I$3,$Q$3,$J$3)</f>
        <v>144.51158174916145</v>
      </c>
      <c r="L868" s="12">
        <f ca="1"/>
        <v>0.37321781263767662</v>
      </c>
      <c r="M868" s="12">
        <f t="array" aca="1" ref="M868:N868" ca="1">Opt3Spd(H868:J868,$E$3:$G$3,$K$3:$M$3,$N$3:$P$3,$H$4,$I$3,$Q$3,$J$3)</f>
        <v>4.1082236393624738E-3</v>
      </c>
      <c r="N868" s="12">
        <f ca="1"/>
        <v>255.86574428711558</v>
      </c>
      <c r="O868" s="12">
        <f t="shared" ca="1" si="118"/>
        <v>0.37732603627703909</v>
      </c>
    </row>
    <row r="869" spans="2:15" x14ac:dyDescent="0.15">
      <c r="B869" s="6">
        <f t="shared" ca="1" si="111"/>
        <v>1.4105641175067898</v>
      </c>
      <c r="C869" s="6">
        <f t="shared" ca="1" si="111"/>
        <v>8.5490126307966957E-2</v>
      </c>
      <c r="D869" s="6">
        <f t="shared" ca="1" si="111"/>
        <v>1.2172753269164069</v>
      </c>
      <c r="E869" s="8">
        <f t="shared" ca="1" si="112"/>
        <v>3.2116286858593295E-2</v>
      </c>
      <c r="F869" s="8">
        <f t="shared" ca="1" si="113"/>
        <v>5.4288073529848525E-2</v>
      </c>
      <c r="G869" s="8">
        <f t="shared" ca="1" si="114"/>
        <v>6.5037707389835636E-2</v>
      </c>
      <c r="H869" s="10">
        <f t="shared" ca="1" si="115"/>
        <v>4144.979008024111</v>
      </c>
      <c r="I869" s="10">
        <f t="shared" ca="1" si="116"/>
        <v>573.53271200023755</v>
      </c>
      <c r="J869" s="10">
        <f t="shared" ca="1" si="117"/>
        <v>2381.4243137236726</v>
      </c>
      <c r="K869" s="12">
        <f t="array" aca="1" ref="K869:L869" ca="1">Opt3Spd(H869:J869,$E$3:$G$3,$K$3:$M$3,$N$3:$P$3,$H$3,$I$3,$Q$3,$J$3)</f>
        <v>211.6368316375565</v>
      </c>
      <c r="L869" s="12">
        <f ca="1"/>
        <v>2.2319675661947258E-2</v>
      </c>
      <c r="M869" s="12">
        <f t="array" aca="1" ref="M869:N869" ca="1">Opt3Spd(H869:J869,$E$3:$G$3,$K$3:$M$3,$N$3:$P$3,$H$4,$I$3,$Q$3,$J$3)</f>
        <v>0.15384794605925656</v>
      </c>
      <c r="N869" s="12">
        <f ca="1"/>
        <v>188.53933598416469</v>
      </c>
      <c r="O869" s="12">
        <f t="shared" ca="1" si="118"/>
        <v>0.17616762172120382</v>
      </c>
    </row>
    <row r="870" spans="2:15" x14ac:dyDescent="0.15">
      <c r="B870" s="6">
        <f t="shared" ca="1" si="111"/>
        <v>2.1652289046968294</v>
      </c>
      <c r="C870" s="6">
        <f t="shared" ca="1" si="111"/>
        <v>0.6127971113010493</v>
      </c>
      <c r="D870" s="6">
        <f t="shared" ca="1" si="111"/>
        <v>-1.2597612246104013</v>
      </c>
      <c r="E870" s="8">
        <f t="shared" ca="1" si="112"/>
        <v>4.9298795960210154E-2</v>
      </c>
      <c r="F870" s="8">
        <f t="shared" ca="1" si="113"/>
        <v>9.4403239715646736E-2</v>
      </c>
      <c r="G870" s="8">
        <f t="shared" ca="1" si="114"/>
        <v>6.7905616171758956E-2</v>
      </c>
      <c r="H870" s="10">
        <f t="shared" ca="1" si="115"/>
        <v>4213.983964576204</v>
      </c>
      <c r="I870" s="10">
        <f t="shared" ca="1" si="116"/>
        <v>595.35536240531178</v>
      </c>
      <c r="J870" s="10">
        <f t="shared" ca="1" si="117"/>
        <v>2387.8369577600533</v>
      </c>
      <c r="K870" s="12">
        <f t="array" aca="1" ref="K870:L870" ca="1">Opt3Spd(H870:J870,$E$3:$G$3,$K$3:$M$3,$N$3:$P$3,$H$3,$I$3,$Q$3,$J$3)</f>
        <v>242.50154967941307</v>
      </c>
      <c r="L870" s="12">
        <f ca="1"/>
        <v>4.6438317344836832E-3</v>
      </c>
      <c r="M870" s="12">
        <f t="array" aca="1" ref="M870:N870" ca="1">Opt3Spd(H870:J870,$E$3:$G$3,$K$3:$M$3,$N$3:$P$3,$H$4,$I$3,$Q$3,$J$3)</f>
        <v>0.53236995591271352</v>
      </c>
      <c r="N870" s="12">
        <f ca="1"/>
        <v>158.03546410823412</v>
      </c>
      <c r="O870" s="12">
        <f t="shared" ca="1" si="118"/>
        <v>0.5370137876471972</v>
      </c>
    </row>
    <row r="871" spans="2:15" x14ac:dyDescent="0.15">
      <c r="B871" s="6">
        <f t="shared" ca="1" si="111"/>
        <v>-0.35749381796092411</v>
      </c>
      <c r="C871" s="6">
        <f t="shared" ca="1" si="111"/>
        <v>-0.39710543019772704</v>
      </c>
      <c r="D871" s="6">
        <f t="shared" ca="1" si="111"/>
        <v>-2.5711642619418873</v>
      </c>
      <c r="E871" s="8">
        <f t="shared" ca="1" si="112"/>
        <v>-8.1395619421401472E-3</v>
      </c>
      <c r="F871" s="8">
        <f t="shared" ca="1" si="113"/>
        <v>-2.238956003725447E-2</v>
      </c>
      <c r="G871" s="8">
        <f t="shared" ca="1" si="114"/>
        <v>-4.1677279709412915E-2</v>
      </c>
      <c r="H871" s="10">
        <f t="shared" ca="1" si="115"/>
        <v>3983.3115192403652</v>
      </c>
      <c r="I871" s="10">
        <f t="shared" ca="1" si="116"/>
        <v>531.82007933973352</v>
      </c>
      <c r="J871" s="10">
        <f t="shared" ca="1" si="117"/>
        <v>2142.8096025697528</v>
      </c>
      <c r="K871" s="12">
        <f t="array" aca="1" ref="K871:L871" ca="1">Opt3Spd(H871:J871,$E$3:$G$3,$K$3:$M$3,$N$3:$P$3,$H$3,$I$3,$Q$3,$J$3)</f>
        <v>235.99897084257123</v>
      </c>
      <c r="L871" s="12">
        <f ca="1"/>
        <v>4.3798306562621292E-3</v>
      </c>
      <c r="M871" s="12">
        <f t="array" aca="1" ref="M871:N871" ca="1">Opt3Spd(H871:J871,$E$3:$G$3,$K$3:$M$3,$N$3:$P$3,$H$4,$I$3,$Q$3,$J$3)</f>
        <v>0.35181269502954038</v>
      </c>
      <c r="N871" s="12">
        <f ca="1"/>
        <v>164.35722168311457</v>
      </c>
      <c r="O871" s="12">
        <f t="shared" ca="1" si="118"/>
        <v>0.35619252568580251</v>
      </c>
    </row>
    <row r="872" spans="2:15" x14ac:dyDescent="0.15">
      <c r="B872" s="6">
        <f t="shared" ca="1" si="111"/>
        <v>-0.48410446083856412</v>
      </c>
      <c r="C872" s="6">
        <f t="shared" ca="1" si="111"/>
        <v>0.62227191729168008</v>
      </c>
      <c r="D872" s="6">
        <f t="shared" ca="1" si="111"/>
        <v>0.69548242094052437</v>
      </c>
      <c r="E872" s="8">
        <f t="shared" ca="1" si="112"/>
        <v>-1.1022283596223075E-2</v>
      </c>
      <c r="F872" s="8">
        <f t="shared" ca="1" si="113"/>
        <v>-3.6520408447804744E-3</v>
      </c>
      <c r="G872" s="8">
        <f t="shared" ca="1" si="114"/>
        <v>-8.5697613199468923E-3</v>
      </c>
      <c r="H872" s="10">
        <f t="shared" ca="1" si="115"/>
        <v>3971.7345090775684</v>
      </c>
      <c r="I872" s="10">
        <f t="shared" ca="1" si="116"/>
        <v>542.01328978043944</v>
      </c>
      <c r="J872" s="10">
        <f t="shared" ca="1" si="117"/>
        <v>2216.8380136885985</v>
      </c>
      <c r="K872" s="12">
        <f t="array" aca="1" ref="K872:L872" ca="1">Opt3Spd(H872:J872,$E$3:$G$3,$K$3:$M$3,$N$3:$P$3,$H$3,$I$3,$Q$3,$J$3)</f>
        <v>171.21944667860498</v>
      </c>
      <c r="L872" s="12">
        <f ca="1"/>
        <v>0.12520809403918065</v>
      </c>
      <c r="M872" s="12">
        <f t="array" aca="1" ref="M872:N872" ca="1">Opt3Spd(H872:J872,$E$3:$G$3,$K$3:$M$3,$N$3:$P$3,$H$4,$I$3,$Q$3,$J$3)</f>
        <v>1.9584733408656518E-2</v>
      </c>
      <c r="N872" s="12">
        <f ca="1"/>
        <v>228.92534614884286</v>
      </c>
      <c r="O872" s="12">
        <f t="shared" ca="1" si="118"/>
        <v>0.14479282744783717</v>
      </c>
    </row>
    <row r="873" spans="2:15" x14ac:dyDescent="0.15">
      <c r="B873" s="6">
        <f t="shared" ca="1" si="111"/>
        <v>0.49676820947488864</v>
      </c>
      <c r="C873" s="6">
        <f t="shared" ca="1" si="111"/>
        <v>0.78329230456424792</v>
      </c>
      <c r="D873" s="6">
        <f t="shared" ca="1" si="111"/>
        <v>-0.69400902227841377</v>
      </c>
      <c r="E873" s="8">
        <f t="shared" ca="1" si="112"/>
        <v>1.1310616879950861E-2</v>
      </c>
      <c r="F873" s="8">
        <f t="shared" ca="1" si="113"/>
        <v>3.643359289063644E-2</v>
      </c>
      <c r="G873" s="8">
        <f t="shared" ca="1" si="114"/>
        <v>1.3131015069822975E-2</v>
      </c>
      <c r="H873" s="10">
        <f t="shared" ca="1" si="115"/>
        <v>4061.4234373898826</v>
      </c>
      <c r="I873" s="10">
        <f t="shared" ca="1" si="116"/>
        <v>563.81987453250622</v>
      </c>
      <c r="J873" s="10">
        <f t="shared" ca="1" si="117"/>
        <v>2265.360949696124</v>
      </c>
      <c r="K873" s="12">
        <f t="array" aca="1" ref="K873:L873" ca="1">Opt3Spd(H873:J873,$E$3:$G$3,$K$3:$M$3,$N$3:$P$3,$H$3,$I$3,$Q$3,$J$3)</f>
        <v>201.66301323412449</v>
      </c>
      <c r="L873" s="12">
        <f ca="1"/>
        <v>3.1849944313762535E-2</v>
      </c>
      <c r="M873" s="12">
        <f t="array" aca="1" ref="M873:N873" ca="1">Opt3Spd(H873:J873,$E$3:$G$3,$K$3:$M$3,$N$3:$P$3,$H$4,$I$3,$Q$3,$J$3)</f>
        <v>9.0260122727690018E-2</v>
      </c>
      <c r="N873" s="12">
        <f ca="1"/>
        <v>198.45909683291697</v>
      </c>
      <c r="O873" s="12">
        <f t="shared" ca="1" si="118"/>
        <v>0.12211006704145255</v>
      </c>
    </row>
    <row r="874" spans="2:15" x14ac:dyDescent="0.15">
      <c r="B874" s="6">
        <f t="shared" ca="1" si="111"/>
        <v>-6.7304070608715294E-2</v>
      </c>
      <c r="C874" s="6">
        <f t="shared" ca="1" si="111"/>
        <v>0.5014209713230996</v>
      </c>
      <c r="D874" s="6">
        <f t="shared" ca="1" si="111"/>
        <v>-0.19620266393493097</v>
      </c>
      <c r="E874" s="8">
        <f t="shared" ca="1" si="112"/>
        <v>-1.5324059442552163E-3</v>
      </c>
      <c r="F874" s="8">
        <f t="shared" ca="1" si="113"/>
        <v>9.0303698727720837E-3</v>
      </c>
      <c r="G874" s="8">
        <f t="shared" ca="1" si="114"/>
        <v>-3.1071892665188216E-3</v>
      </c>
      <c r="H874" s="10">
        <f t="shared" ca="1" si="115"/>
        <v>4009.8458577278711</v>
      </c>
      <c r="I874" s="10">
        <f t="shared" ca="1" si="116"/>
        <v>548.91252121078799</v>
      </c>
      <c r="J874" s="10">
        <f t="shared" ca="1" si="117"/>
        <v>2229.0523248000636</v>
      </c>
      <c r="K874" s="12">
        <f t="array" aca="1" ref="K874:L874" ca="1">Opt3Spd(H874:J874,$E$3:$G$3,$K$3:$M$3,$N$3:$P$3,$H$3,$I$3,$Q$3,$J$3)</f>
        <v>192.10784209076883</v>
      </c>
      <c r="L874" s="12">
        <f ca="1"/>
        <v>4.8180700190187054E-2</v>
      </c>
      <c r="M874" s="12">
        <f t="array" aca="1" ref="M874:N874" ca="1">Opt3Spd(H874:J874,$E$3:$G$3,$K$3:$M$3,$N$3:$P$3,$H$4,$I$3,$Q$3,$J$3)</f>
        <v>5.5870997287195578E-2</v>
      </c>
      <c r="N874" s="12">
        <f ca="1"/>
        <v>207.99620960670856</v>
      </c>
      <c r="O874" s="12">
        <f t="shared" ca="1" si="118"/>
        <v>0.10405169747738263</v>
      </c>
    </row>
    <row r="875" spans="2:15" x14ac:dyDescent="0.15">
      <c r="B875" s="6">
        <f t="shared" ca="1" si="111"/>
        <v>0.8976472798847861</v>
      </c>
      <c r="C875" s="6">
        <f t="shared" ca="1" si="111"/>
        <v>0.45323293878701443</v>
      </c>
      <c r="D875" s="6">
        <f t="shared" ca="1" si="111"/>
        <v>-1.4224266382695914</v>
      </c>
      <c r="E875" s="8">
        <f t="shared" ca="1" si="112"/>
        <v>2.0437991567212117E-2</v>
      </c>
      <c r="F875" s="8">
        <f t="shared" ca="1" si="113"/>
        <v>4.3716038704525062E-2</v>
      </c>
      <c r="G875" s="8">
        <f t="shared" ca="1" si="114"/>
        <v>1.9140634995620614E-2</v>
      </c>
      <c r="H875" s="10">
        <f t="shared" ca="1" si="115"/>
        <v>4098.078974133924</v>
      </c>
      <c r="I875" s="10">
        <f t="shared" ca="1" si="116"/>
        <v>567.78152505526157</v>
      </c>
      <c r="J875" s="10">
        <f t="shared" ca="1" si="117"/>
        <v>2278.798459850208</v>
      </c>
      <c r="K875" s="12">
        <f t="array" aca="1" ref="K875:L875" ca="1">Opt3Spd(H875:J875,$E$3:$G$3,$K$3:$M$3,$N$3:$P$3,$H$3,$I$3,$Q$3,$J$3)</f>
        <v>225.23905479421978</v>
      </c>
      <c r="L875" s="12">
        <f ca="1"/>
        <v>9.7506738181891706E-3</v>
      </c>
      <c r="M875" s="12">
        <f t="array" aca="1" ref="M875:N875" ca="1">Opt3Spd(H875:J875,$E$3:$G$3,$K$3:$M$3,$N$3:$P$3,$H$4,$I$3,$Q$3,$J$3)</f>
        <v>0.2512594426638799</v>
      </c>
      <c r="N875" s="12">
        <f ca="1"/>
        <v>175.02195532226227</v>
      </c>
      <c r="O875" s="12">
        <f t="shared" ca="1" si="118"/>
        <v>0.26101011648206907</v>
      </c>
    </row>
    <row r="876" spans="2:15" x14ac:dyDescent="0.15">
      <c r="B876" s="6">
        <f t="shared" ca="1" si="111"/>
        <v>1.1109848626141066</v>
      </c>
      <c r="C876" s="6">
        <f t="shared" ca="1" si="111"/>
        <v>-9.208042128917894E-2</v>
      </c>
      <c r="D876" s="6">
        <f t="shared" ca="1" si="111"/>
        <v>1.0930311541789575</v>
      </c>
      <c r="E876" s="8">
        <f t="shared" ca="1" si="112"/>
        <v>2.5295346805174743E-2</v>
      </c>
      <c r="F876" s="8">
        <f t="shared" ca="1" si="113"/>
        <v>3.9093545336821224E-2</v>
      </c>
      <c r="G876" s="8">
        <f t="shared" ca="1" si="114"/>
        <v>5.2192590687206775E-2</v>
      </c>
      <c r="H876" s="10">
        <f t="shared" ca="1" si="115"/>
        <v>4117.5861127695816</v>
      </c>
      <c r="I876" s="10">
        <f t="shared" ca="1" si="116"/>
        <v>565.26688866323082</v>
      </c>
      <c r="J876" s="10">
        <f t="shared" ca="1" si="117"/>
        <v>2352.7026327765943</v>
      </c>
      <c r="K876" s="12">
        <f t="array" aca="1" ref="K876:L876" ca="1">Opt3Spd(H876:J876,$E$3:$G$3,$K$3:$M$3,$N$3:$P$3,$H$3,$I$3,$Q$3,$J$3)</f>
        <v>211.82897074776884</v>
      </c>
      <c r="L876" s="12">
        <f ca="1"/>
        <v>2.1196227653490496E-2</v>
      </c>
      <c r="M876" s="12">
        <f t="array" aca="1" ref="M876:N876" ca="1">Opt3Spd(H876:J876,$E$3:$G$3,$K$3:$M$3,$N$3:$P$3,$H$4,$I$3,$Q$3,$J$3)</f>
        <v>0.15121847748947026</v>
      </c>
      <c r="N876" s="12">
        <f ca="1"/>
        <v>188.34344395737412</v>
      </c>
      <c r="O876" s="12">
        <f t="shared" ca="1" si="118"/>
        <v>0.17241470514296076</v>
      </c>
    </row>
    <row r="877" spans="2:15" x14ac:dyDescent="0.15">
      <c r="B877" s="6">
        <f t="shared" ca="1" si="111"/>
        <v>0.32527051469655688</v>
      </c>
      <c r="C877" s="6">
        <f t="shared" ca="1" si="111"/>
        <v>2.0049718846298892</v>
      </c>
      <c r="D877" s="6">
        <f t="shared" ca="1" si="111"/>
        <v>-1.0720142721903563</v>
      </c>
      <c r="E877" s="8">
        <f t="shared" ca="1" si="112"/>
        <v>7.4058889113820248E-3</v>
      </c>
      <c r="F877" s="8">
        <f t="shared" ca="1" si="113"/>
        <v>5.8156717754095984E-2</v>
      </c>
      <c r="G877" s="8">
        <f t="shared" ca="1" si="114"/>
        <v>6.3500584344674173E-3</v>
      </c>
      <c r="H877" s="10">
        <f t="shared" ca="1" si="115"/>
        <v>4045.7420498681099</v>
      </c>
      <c r="I877" s="10">
        <f t="shared" ca="1" si="116"/>
        <v>575.6372544582282</v>
      </c>
      <c r="J877" s="10">
        <f t="shared" ca="1" si="117"/>
        <v>2250.1987306594688</v>
      </c>
      <c r="K877" s="12">
        <f t="array" aca="1" ref="K877:L877" ca="1">Opt3Spd(H877:J877,$E$3:$G$3,$K$3:$M$3,$N$3:$P$3,$H$3,$I$3,$Q$3,$J$3)</f>
        <v>174.73609546151465</v>
      </c>
      <c r="L877" s="12">
        <f ca="1"/>
        <v>0.11301805630432682</v>
      </c>
      <c r="M877" s="12">
        <f t="array" aca="1" ref="M877:N877" ca="1">Opt3Spd(H877:J877,$E$3:$G$3,$K$3:$M$3,$N$3:$P$3,$H$4,$I$3,$Q$3,$J$3)</f>
        <v>2.4784132818874927E-2</v>
      </c>
      <c r="N877" s="12">
        <f ca="1"/>
        <v>225.40170672760854</v>
      </c>
      <c r="O877" s="12">
        <f t="shared" ca="1" si="118"/>
        <v>0.13780218912320175</v>
      </c>
    </row>
    <row r="878" spans="2:15" x14ac:dyDescent="0.15">
      <c r="B878" s="6">
        <f t="shared" ca="1" si="111"/>
        <v>0.80809544736884475</v>
      </c>
      <c r="C878" s="6">
        <f t="shared" ca="1" si="111"/>
        <v>-0.48348955432785368</v>
      </c>
      <c r="D878" s="6">
        <f t="shared" ca="1" si="111"/>
        <v>2.3035175234760605</v>
      </c>
      <c r="E878" s="8">
        <f t="shared" ca="1" si="112"/>
        <v>1.8399039699587547E-2</v>
      </c>
      <c r="F878" s="8">
        <f t="shared" ca="1" si="113"/>
        <v>1.8860403948306764E-2</v>
      </c>
      <c r="G878" s="8">
        <f t="shared" ca="1" si="114"/>
        <v>5.2824053930591135E-2</v>
      </c>
      <c r="H878" s="10">
        <f t="shared" ca="1" si="115"/>
        <v>4089.8905434335434</v>
      </c>
      <c r="I878" s="10">
        <f t="shared" ca="1" si="116"/>
        <v>554.26005974787881</v>
      </c>
      <c r="J878" s="10">
        <f t="shared" ca="1" si="117"/>
        <v>2354.1145845888018</v>
      </c>
      <c r="K878" s="12">
        <f t="array" aca="1" ref="K878:L878" ca="1">Opt3Spd(H878:J878,$E$3:$G$3,$K$3:$M$3,$N$3:$P$3,$H$3,$I$3,$Q$3,$J$3)</f>
        <v>201.05288399563051</v>
      </c>
      <c r="L878" s="12">
        <f ca="1"/>
        <v>3.5728453094407087E-2</v>
      </c>
      <c r="M878" s="12">
        <f t="array" aca="1" ref="M878:N878" ca="1">Opt3Spd(H878:J878,$E$3:$G$3,$K$3:$M$3,$N$3:$P$3,$H$4,$I$3,$Q$3,$J$3)</f>
        <v>9.4106705234743515E-2</v>
      </c>
      <c r="N878" s="12">
        <f ca="1"/>
        <v>199.07695116269863</v>
      </c>
      <c r="O878" s="12">
        <f t="shared" ca="1" si="118"/>
        <v>0.1298351583291506</v>
      </c>
    </row>
    <row r="879" spans="2:15" x14ac:dyDescent="0.15">
      <c r="B879" s="6">
        <f t="shared" ca="1" si="111"/>
        <v>-1.5744424347119386</v>
      </c>
      <c r="C879" s="6">
        <f t="shared" ca="1" si="111"/>
        <v>-0.38722982048246091</v>
      </c>
      <c r="D879" s="6">
        <f t="shared" ca="1" si="111"/>
        <v>0.31279249011847909</v>
      </c>
      <c r="E879" s="8">
        <f t="shared" ca="1" si="112"/>
        <v>-3.5847533797276863E-2</v>
      </c>
      <c r="F879" s="8">
        <f t="shared" ca="1" si="113"/>
        <v>-6.7303438759048553E-2</v>
      </c>
      <c r="G879" s="8">
        <f t="shared" ca="1" si="114"/>
        <v>-5.5634376155196431E-2</v>
      </c>
      <c r="H879" s="10">
        <f t="shared" ca="1" si="115"/>
        <v>3872.036304270136</v>
      </c>
      <c r="I879" s="10">
        <f t="shared" ca="1" si="116"/>
        <v>507.38692931507762</v>
      </c>
      <c r="J879" s="10">
        <f t="shared" ca="1" si="117"/>
        <v>2111.6015349169807</v>
      </c>
      <c r="K879" s="12">
        <f t="array" aca="1" ref="K879:L879" ca="1">Opt3Spd(H879:J879,$E$3:$G$3,$K$3:$M$3,$N$3:$P$3,$H$3,$I$3,$Q$3,$J$3)</f>
        <v>179.49310535164977</v>
      </c>
      <c r="L879" s="12">
        <f ca="1"/>
        <v>7.6655444128164163E-2</v>
      </c>
      <c r="M879" s="12">
        <f t="array" aca="1" ref="M879:N879" ca="1">Opt3Spd(H879:J879,$E$3:$G$3,$K$3:$M$3,$N$3:$P$3,$H$4,$I$3,$Q$3,$J$3)</f>
        <v>2.6585936895894946E-2</v>
      </c>
      <c r="N879" s="12">
        <f ca="1"/>
        <v>220.61013602937427</v>
      </c>
      <c r="O879" s="12">
        <f t="shared" ca="1" si="118"/>
        <v>0.10324138102405911</v>
      </c>
    </row>
    <row r="880" spans="2:15" x14ac:dyDescent="0.15">
      <c r="B880" s="6">
        <f t="shared" ca="1" si="111"/>
        <v>-0.61462207226973797</v>
      </c>
      <c r="C880" s="6">
        <f t="shared" ca="1" si="111"/>
        <v>0.68123035679634847</v>
      </c>
      <c r="D880" s="6">
        <f t="shared" ca="1" si="111"/>
        <v>0.52493697185198995</v>
      </c>
      <c r="E880" s="8">
        <f t="shared" ca="1" si="112"/>
        <v>-1.3993960669811911E-2</v>
      </c>
      <c r="F880" s="8">
        <f t="shared" ca="1" si="113"/>
        <v>-7.1380321602062032E-3</v>
      </c>
      <c r="G880" s="8">
        <f t="shared" ca="1" si="114"/>
        <v>-1.5010441423006223E-2</v>
      </c>
      <c r="H880" s="10">
        <f t="shared" ca="1" si="115"/>
        <v>3959.8002539500353</v>
      </c>
      <c r="I880" s="10">
        <f t="shared" ca="1" si="116"/>
        <v>540.11691050484785</v>
      </c>
      <c r="J880" s="10">
        <f t="shared" ca="1" si="117"/>
        <v>2202.4366529781582</v>
      </c>
      <c r="K880" s="12">
        <f t="array" aca="1" ref="K880:L880" ca="1">Opt3Spd(H880:J880,$E$3:$G$3,$K$3:$M$3,$N$3:$P$3,$H$3,$I$3,$Q$3,$J$3)</f>
        <v>169.52814879771495</v>
      </c>
      <c r="L880" s="12">
        <f ca="1"/>
        <v>0.13327814451531594</v>
      </c>
      <c r="M880" s="12">
        <f t="array" aca="1" ref="M880:N880" ca="1">Opt3Spd(H880:J880,$E$3:$G$3,$K$3:$M$3,$N$3:$P$3,$H$4,$I$3,$Q$3,$J$3)</f>
        <v>1.7646733138802162E-2</v>
      </c>
      <c r="N880" s="12">
        <f ca="1"/>
        <v>230.62277607993917</v>
      </c>
      <c r="O880" s="12">
        <f t="shared" ca="1" si="118"/>
        <v>0.15092487765411811</v>
      </c>
    </row>
    <row r="881" spans="2:15" x14ac:dyDescent="0.15">
      <c r="B881" s="6">
        <f t="shared" ca="1" si="111"/>
        <v>0.63378311044657976</v>
      </c>
      <c r="C881" s="6">
        <f t="shared" ca="1" si="111"/>
        <v>0.97271673581107831</v>
      </c>
      <c r="D881" s="6">
        <f t="shared" ca="1" si="111"/>
        <v>-1.0560054684650682</v>
      </c>
      <c r="E881" s="8">
        <f t="shared" ca="1" si="112"/>
        <v>1.4430226835212185E-2</v>
      </c>
      <c r="F881" s="8">
        <f t="shared" ca="1" si="113"/>
        <v>4.5870540435599731E-2</v>
      </c>
      <c r="G881" s="8">
        <f t="shared" ca="1" si="114"/>
        <v>1.4858245499856546E-2</v>
      </c>
      <c r="H881" s="10">
        <f t="shared" ca="1" si="115"/>
        <v>4073.9517909702117</v>
      </c>
      <c r="I881" s="10">
        <f t="shared" ca="1" si="116"/>
        <v>568.95357399696627</v>
      </c>
      <c r="J881" s="10">
        <f t="shared" ca="1" si="117"/>
        <v>2269.2230369376789</v>
      </c>
      <c r="K881" s="12">
        <f t="array" aca="1" ref="K881:L881" ca="1">Opt3Spd(H881:J881,$E$3:$G$3,$K$3:$M$3,$N$3:$P$3,$H$3,$I$3,$Q$3,$J$3)</f>
        <v>204.04314209919062</v>
      </c>
      <c r="L881" s="12">
        <f ca="1"/>
        <v>2.8587992964276054E-2</v>
      </c>
      <c r="M881" s="12">
        <f t="array" aca="1" ref="M881:N881" ca="1">Opt3Spd(H881:J881,$E$3:$G$3,$K$3:$M$3,$N$3:$P$3,$H$4,$I$3,$Q$3,$J$3)</f>
        <v>0.10100832858761954</v>
      </c>
      <c r="N881" s="12">
        <f ca="1"/>
        <v>196.08645422236128</v>
      </c>
      <c r="O881" s="12">
        <f t="shared" ca="1" si="118"/>
        <v>0.1295963215518956</v>
      </c>
    </row>
    <row r="882" spans="2:15" x14ac:dyDescent="0.15">
      <c r="B882" s="6">
        <f t="shared" ca="1" si="111"/>
        <v>-0.68913657695271713</v>
      </c>
      <c r="C882" s="6">
        <f t="shared" ca="1" si="111"/>
        <v>-7.0593567210589181E-2</v>
      </c>
      <c r="D882" s="6">
        <f t="shared" ca="1" si="111"/>
        <v>-0.94669461950658884</v>
      </c>
      <c r="E882" s="8">
        <f t="shared" ca="1" si="112"/>
        <v>-1.569053665513789E-2</v>
      </c>
      <c r="F882" s="8">
        <f t="shared" ca="1" si="113"/>
        <v>-2.7185339317424728E-2</v>
      </c>
      <c r="G882" s="8">
        <f t="shared" ca="1" si="114"/>
        <v>-3.5607877481742815E-2</v>
      </c>
      <c r="H882" s="10">
        <f t="shared" ca="1" si="115"/>
        <v>3952.9868047929663</v>
      </c>
      <c r="I882" s="10">
        <f t="shared" ca="1" si="116"/>
        <v>529.21117541132094</v>
      </c>
      <c r="J882" s="10">
        <f t="shared" ca="1" si="117"/>
        <v>2156.3807859508233</v>
      </c>
      <c r="K882" s="12">
        <f t="array" aca="1" ref="K882:L882" ca="1">Opt3Spd(H882:J882,$E$3:$G$3,$K$3:$M$3,$N$3:$P$3,$H$3,$I$3,$Q$3,$J$3)</f>
        <v>203.08416397049814</v>
      </c>
      <c r="L882" s="12">
        <f ca="1"/>
        <v>2.5632811057221261E-2</v>
      </c>
      <c r="M882" s="12">
        <f t="array" aca="1" ref="M882:N882" ca="1">Opt3Spd(H882:J882,$E$3:$G$3,$K$3:$M$3,$N$3:$P$3,$H$4,$I$3,$Q$3,$J$3)</f>
        <v>8.6927365849959415E-2</v>
      </c>
      <c r="N882" s="12">
        <f ca="1"/>
        <v>197.02839620640904</v>
      </c>
      <c r="O882" s="12">
        <f t="shared" ca="1" si="118"/>
        <v>0.11256017690718068</v>
      </c>
    </row>
    <row r="883" spans="2:15" x14ac:dyDescent="0.15">
      <c r="B883" s="6">
        <f t="shared" ca="1" si="111"/>
        <v>0.9712409157880223</v>
      </c>
      <c r="C883" s="6">
        <f t="shared" ca="1" si="111"/>
        <v>-0.28045886330516123</v>
      </c>
      <c r="D883" s="6">
        <f t="shared" ca="1" si="111"/>
        <v>0.32824113560053098</v>
      </c>
      <c r="E883" s="8">
        <f t="shared" ca="1" si="112"/>
        <v>2.2113600844593177E-2</v>
      </c>
      <c r="F883" s="8">
        <f t="shared" ca="1" si="113"/>
        <v>2.9579413603614997E-2</v>
      </c>
      <c r="G883" s="8">
        <f t="shared" ca="1" si="114"/>
        <v>3.8364418545951989E-2</v>
      </c>
      <c r="H883" s="10">
        <f t="shared" ca="1" si="115"/>
        <v>4104.8082209918866</v>
      </c>
      <c r="I883" s="10">
        <f t="shared" ca="1" si="116"/>
        <v>560.09120100036648</v>
      </c>
      <c r="J883" s="10">
        <f t="shared" ca="1" si="117"/>
        <v>2321.7828398687484</v>
      </c>
      <c r="K883" s="12">
        <f t="array" aca="1" ref="K883:L883" ca="1">Opt3Spd(H883:J883,$E$3:$G$3,$K$3:$M$3,$N$3:$P$3,$H$3,$I$3,$Q$3,$J$3)</f>
        <v>222.78248149671231</v>
      </c>
      <c r="L883" s="12">
        <f ca="1"/>
        <v>1.1602039786339446E-2</v>
      </c>
      <c r="M883" s="12">
        <f t="array" aca="1" ref="M883:N883" ca="1">Opt3Spd(H883:J883,$E$3:$G$3,$K$3:$M$3,$N$3:$P$3,$H$4,$I$3,$Q$3,$J$3)</f>
        <v>0.2333633252671099</v>
      </c>
      <c r="N883" s="12">
        <f ca="1"/>
        <v>177.46248386834114</v>
      </c>
      <c r="O883" s="12">
        <f t="shared" ca="1" si="118"/>
        <v>0.24496536505344935</v>
      </c>
    </row>
    <row r="884" spans="2:15" x14ac:dyDescent="0.15">
      <c r="B884" s="6">
        <f t="shared" ca="1" si="111"/>
        <v>0.72484686633835549</v>
      </c>
      <c r="C884" s="6">
        <f t="shared" ca="1" si="111"/>
        <v>6.5522393465885356E-2</v>
      </c>
      <c r="D884" s="6">
        <f t="shared" ca="1" si="111"/>
        <v>-1.0540039875228036</v>
      </c>
      <c r="E884" s="8">
        <f t="shared" ca="1" si="112"/>
        <v>1.6503602777746824E-2</v>
      </c>
      <c r="F884" s="8">
        <f t="shared" ca="1" si="113"/>
        <v>2.8393380879131916E-2</v>
      </c>
      <c r="G884" s="8">
        <f t="shared" ca="1" si="114"/>
        <v>1.5591542917821215E-2</v>
      </c>
      <c r="H884" s="10">
        <f t="shared" ca="1" si="115"/>
        <v>4082.2784687554308</v>
      </c>
      <c r="I884" s="10">
        <f t="shared" ca="1" si="116"/>
        <v>559.4459991982477</v>
      </c>
      <c r="J884" s="10">
        <f t="shared" ca="1" si="117"/>
        <v>2270.8626899642486</v>
      </c>
      <c r="K884" s="12">
        <f t="array" aca="1" ref="K884:L884" ca="1">Opt3Spd(H884:J884,$E$3:$G$3,$K$3:$M$3,$N$3:$P$3,$H$3,$I$3,$Q$3,$J$3)</f>
        <v>226.74235279769459</v>
      </c>
      <c r="L884" s="12">
        <f ca="1"/>
        <v>8.8277415845823271E-3</v>
      </c>
      <c r="M884" s="12">
        <f t="array" aca="1" ref="M884:N884" ca="1">Opt3Spd(H884:J884,$E$3:$G$3,$K$3:$M$3,$N$3:$P$3,$H$4,$I$3,$Q$3,$J$3)</f>
        <v>0.26490896587246837</v>
      </c>
      <c r="N884" s="12">
        <f ca="1"/>
        <v>173.53138390976247</v>
      </c>
      <c r="O884" s="12">
        <f t="shared" ca="1" si="118"/>
        <v>0.2737367074570507</v>
      </c>
    </row>
    <row r="885" spans="2:15" x14ac:dyDescent="0.15">
      <c r="B885" s="6">
        <f t="shared" ca="1" si="111"/>
        <v>1.3241575738567637</v>
      </c>
      <c r="C885" s="6">
        <f t="shared" ca="1" si="111"/>
        <v>2.137731710504418</v>
      </c>
      <c r="D885" s="6">
        <f t="shared" ca="1" si="111"/>
        <v>0.8313189345221017</v>
      </c>
      <c r="E885" s="8">
        <f t="shared" ca="1" si="112"/>
        <v>3.0148948183320035E-2</v>
      </c>
      <c r="F885" s="8">
        <f t="shared" ca="1" si="113"/>
        <v>9.8260900693202813E-2</v>
      </c>
      <c r="G885" s="8">
        <f t="shared" ca="1" si="114"/>
        <v>6.3709254638923296E-2</v>
      </c>
      <c r="H885" s="10">
        <f t="shared" ca="1" si="115"/>
        <v>4137.0781759042129</v>
      </c>
      <c r="I885" s="10">
        <f t="shared" ca="1" si="116"/>
        <v>597.45392997710235</v>
      </c>
      <c r="J885" s="10">
        <f t="shared" ca="1" si="117"/>
        <v>2378.4538933726326</v>
      </c>
      <c r="K885" s="12">
        <f t="array" aca="1" ref="K885:L885" ca="1">Opt3Spd(H885:J885,$E$3:$G$3,$K$3:$M$3,$N$3:$P$3,$H$3,$I$3,$Q$3,$J$3)</f>
        <v>167.10499827346302</v>
      </c>
      <c r="L885" s="12">
        <f ca="1"/>
        <v>0.18005701893025616</v>
      </c>
      <c r="M885" s="12">
        <f t="array" aca="1" ref="M885:N885" ca="1">Opt3Spd(H885:J885,$E$3:$G$3,$K$3:$M$3,$N$3:$P$3,$H$4,$I$3,$Q$3,$J$3)</f>
        <v>1.9653322037029408E-2</v>
      </c>
      <c r="N885" s="12">
        <f ca="1"/>
        <v>233.09471206750425</v>
      </c>
      <c r="O885" s="12">
        <f t="shared" ca="1" si="118"/>
        <v>0.19971034096728557</v>
      </c>
    </row>
    <row r="886" spans="2:15" x14ac:dyDescent="0.15">
      <c r="B886" s="6">
        <f t="shared" ca="1" si="111"/>
        <v>-0.42076648755588963</v>
      </c>
      <c r="C886" s="6">
        <f t="shared" ca="1" si="111"/>
        <v>-0.72889464007878679</v>
      </c>
      <c r="D886" s="6">
        <f t="shared" ca="1" si="111"/>
        <v>-0.89827440777267753</v>
      </c>
      <c r="E886" s="8">
        <f t="shared" ca="1" si="112"/>
        <v>-9.5801793389676451E-3</v>
      </c>
      <c r="F886" s="8">
        <f t="shared" ca="1" si="113"/>
        <v>-3.236390117656545E-2</v>
      </c>
      <c r="G886" s="8">
        <f t="shared" ca="1" si="114"/>
        <v>-2.7143602529877159E-2</v>
      </c>
      <c r="H886" s="10">
        <f t="shared" ca="1" si="115"/>
        <v>3977.5259997747062</v>
      </c>
      <c r="I886" s="10">
        <f t="shared" ca="1" si="116"/>
        <v>526.39403775994845</v>
      </c>
      <c r="J886" s="10">
        <f t="shared" ca="1" si="117"/>
        <v>2175.3069047431945</v>
      </c>
      <c r="K886" s="12">
        <f t="array" aca="1" ref="K886:L886" ca="1">Opt3Spd(H886:J886,$E$3:$G$3,$K$3:$M$3,$N$3:$P$3,$H$3,$I$3,$Q$3,$J$3)</f>
        <v>222.6515432931651</v>
      </c>
      <c r="L886" s="12">
        <f ca="1"/>
        <v>9.4563059737993171E-3</v>
      </c>
      <c r="M886" s="12">
        <f t="array" aca="1" ref="M886:N886" ca="1">Opt3Spd(H886:J886,$E$3:$G$3,$K$3:$M$3,$N$3:$P$3,$H$4,$I$3,$Q$3,$J$3)</f>
        <v>0.20804790695773789</v>
      </c>
      <c r="N886" s="12">
        <f ca="1"/>
        <v>177.56596091976644</v>
      </c>
      <c r="O886" s="12">
        <f t="shared" ca="1" si="118"/>
        <v>0.21750421293153721</v>
      </c>
    </row>
    <row r="887" spans="2:15" x14ac:dyDescent="0.15">
      <c r="B887" s="6">
        <f t="shared" ca="1" si="111"/>
        <v>-1.1218253960572719</v>
      </c>
      <c r="C887" s="6">
        <f t="shared" ca="1" si="111"/>
        <v>-1.1602263908526338</v>
      </c>
      <c r="D887" s="6">
        <f t="shared" ca="1" si="111"/>
        <v>-0.13448979587946844</v>
      </c>
      <c r="E887" s="8">
        <f t="shared" ca="1" si="112"/>
        <v>-2.5542168397642478E-2</v>
      </c>
      <c r="F887" s="8">
        <f t="shared" ca="1" si="113"/>
        <v>-6.8284310396621917E-2</v>
      </c>
      <c r="G887" s="8">
        <f t="shared" ca="1" si="114"/>
        <v>-4.6014871267437758E-2</v>
      </c>
      <c r="H887" s="10">
        <f t="shared" ca="1" si="115"/>
        <v>3913.4226517150678</v>
      </c>
      <c r="I887" s="10">
        <f t="shared" ca="1" si="116"/>
        <v>506.85333514423763</v>
      </c>
      <c r="J887" s="10">
        <f t="shared" ca="1" si="117"/>
        <v>2133.110747846009</v>
      </c>
      <c r="K887" s="12">
        <f t="array" aca="1" ref="K887:L887" ca="1">Opt3Spd(H887:J887,$E$3:$G$3,$K$3:$M$3,$N$3:$P$3,$H$3,$I$3,$Q$3,$J$3)</f>
        <v>210.91847381585649</v>
      </c>
      <c r="L887" s="12">
        <f ca="1"/>
        <v>1.6532254573576211E-2</v>
      </c>
      <c r="M887" s="12">
        <f t="array" aca="1" ref="M887:N887" ca="1">Opt3Spd(H887:J887,$E$3:$G$3,$K$3:$M$3,$N$3:$P$3,$H$4,$I$3,$Q$3,$J$3)</f>
        <v>0.12124375697946732</v>
      </c>
      <c r="N887" s="12">
        <f ca="1"/>
        <v>189.21930219569657</v>
      </c>
      <c r="O887" s="12">
        <f t="shared" ca="1" si="118"/>
        <v>0.13777601155304353</v>
      </c>
    </row>
    <row r="888" spans="2:15" x14ac:dyDescent="0.15">
      <c r="B888" s="6">
        <f t="shared" ca="1" si="111"/>
        <v>0.33478436383350763</v>
      </c>
      <c r="C888" s="6">
        <f t="shared" ca="1" si="111"/>
        <v>0.12714811770656786</v>
      </c>
      <c r="D888" s="6">
        <f t="shared" ca="1" si="111"/>
        <v>0.12513034100334913</v>
      </c>
      <c r="E888" s="8">
        <f t="shared" ca="1" si="112"/>
        <v>7.6225040260155634E-3</v>
      </c>
      <c r="F888" s="8">
        <f t="shared" ca="1" si="113"/>
        <v>1.5341273613880732E-2</v>
      </c>
      <c r="G888" s="8">
        <f t="shared" ca="1" si="114"/>
        <v>1.4001560706360917E-2</v>
      </c>
      <c r="H888" s="10">
        <f t="shared" ca="1" si="115"/>
        <v>4046.6119761684786</v>
      </c>
      <c r="I888" s="10">
        <f t="shared" ca="1" si="116"/>
        <v>552.34565284595112</v>
      </c>
      <c r="J888" s="10">
        <f t="shared" ca="1" si="117"/>
        <v>2267.3074897394226</v>
      </c>
      <c r="K888" s="12">
        <f t="array" aca="1" ref="K888:L888" ca="1">Opt3Spd(H888:J888,$E$3:$G$3,$K$3:$M$3,$N$3:$P$3,$H$3,$I$3,$Q$3,$J$3)</f>
        <v>204.23298648483478</v>
      </c>
      <c r="L888" s="12">
        <f ca="1"/>
        <v>2.7799739589227102E-2</v>
      </c>
      <c r="M888" s="12">
        <f t="array" aca="1" ref="M888:N888" ca="1">Opt3Spd(H888:J888,$E$3:$G$3,$K$3:$M$3,$N$3:$P$3,$H$4,$I$3,$Q$3,$J$3)</f>
        <v>0.10097016406172266</v>
      </c>
      <c r="N888" s="12">
        <f ca="1"/>
        <v>195.89578341881617</v>
      </c>
      <c r="O888" s="12">
        <f t="shared" ca="1" si="118"/>
        <v>0.12876990365094976</v>
      </c>
    </row>
    <row r="889" spans="2:15" x14ac:dyDescent="0.15">
      <c r="B889" s="6">
        <f t="shared" ca="1" si="111"/>
        <v>-0.77462309881673919</v>
      </c>
      <c r="C889" s="6">
        <f t="shared" ca="1" si="111"/>
        <v>0.20716979454079965</v>
      </c>
      <c r="D889" s="6">
        <f t="shared" ca="1" si="111"/>
        <v>-0.25552634115340594</v>
      </c>
      <c r="E889" s="8">
        <f t="shared" ca="1" si="112"/>
        <v>-1.7636927907157755E-2</v>
      </c>
      <c r="F889" s="8">
        <f t="shared" ca="1" si="113"/>
        <v>-2.3970972822854486E-2</v>
      </c>
      <c r="G889" s="8">
        <f t="shared" ca="1" si="114"/>
        <v>-3.0579121068002882E-2</v>
      </c>
      <c r="H889" s="10">
        <f t="shared" ca="1" si="115"/>
        <v>3945.1700975248546</v>
      </c>
      <c r="I889" s="10">
        <f t="shared" ca="1" si="116"/>
        <v>530.9597907843671</v>
      </c>
      <c r="J889" s="10">
        <f t="shared" ca="1" si="117"/>
        <v>2167.6250852919457</v>
      </c>
      <c r="K889" s="12">
        <f t="array" aca="1" ref="K889:L889" ca="1">Opt3Spd(H889:J889,$E$3:$G$3,$K$3:$M$3,$N$3:$P$3,$H$3,$I$3,$Q$3,$J$3)</f>
        <v>186.87943750198519</v>
      </c>
      <c r="L889" s="12">
        <f ca="1"/>
        <v>5.7547878091099847E-2</v>
      </c>
      <c r="M889" s="12">
        <f t="array" aca="1" ref="M889:N889" ca="1">Opt3Spd(H889:J889,$E$3:$G$3,$K$3:$M$3,$N$3:$P$3,$H$4,$I$3,$Q$3,$J$3)</f>
        <v>4.0791850165636134E-2</v>
      </c>
      <c r="N889" s="12">
        <f ca="1"/>
        <v>213.21890222627155</v>
      </c>
      <c r="O889" s="12">
        <f t="shared" ca="1" si="118"/>
        <v>9.8339728256735981E-2</v>
      </c>
    </row>
    <row r="890" spans="2:15" x14ac:dyDescent="0.15">
      <c r="B890" s="6">
        <f t="shared" ca="1" si="111"/>
        <v>0.94460788956764319</v>
      </c>
      <c r="C890" s="6">
        <f t="shared" ca="1" si="111"/>
        <v>0.86483818390500056</v>
      </c>
      <c r="D890" s="6">
        <f t="shared" ca="1" si="111"/>
        <v>-2.0110356548593749</v>
      </c>
      <c r="E890" s="8">
        <f t="shared" ca="1" si="112"/>
        <v>2.1507209472949613E-2</v>
      </c>
      <c r="F890" s="8">
        <f t="shared" ca="1" si="113"/>
        <v>5.4920158869393429E-2</v>
      </c>
      <c r="G890" s="8">
        <f t="shared" ca="1" si="114"/>
        <v>1.5790285611990768E-2</v>
      </c>
      <c r="H890" s="10">
        <f t="shared" ca="1" si="115"/>
        <v>4102.3729532433654</v>
      </c>
      <c r="I890" s="10">
        <f t="shared" ca="1" si="116"/>
        <v>573.87656642495006</v>
      </c>
      <c r="J890" s="10">
        <f t="shared" ca="1" si="117"/>
        <v>2271.3070786284111</v>
      </c>
      <c r="K890" s="12">
        <f t="array" aca="1" ref="K890:L890" ca="1">Opt3Spd(H890:J890,$E$3:$G$3,$K$3:$M$3,$N$3:$P$3,$H$3,$I$3,$Q$3,$J$3)</f>
        <v>223.52755939784811</v>
      </c>
      <c r="L890" s="12">
        <f ca="1"/>
        <v>1.0651748608779599E-2</v>
      </c>
      <c r="M890" s="12">
        <f t="array" aca="1" ref="M890:N890" ca="1">Opt3Spd(H890:J890,$E$3:$G$3,$K$3:$M$3,$N$3:$P$3,$H$4,$I$3,$Q$3,$J$3)</f>
        <v>0.23363929388813531</v>
      </c>
      <c r="N890" s="12">
        <f ca="1"/>
        <v>176.7167316446488</v>
      </c>
      <c r="O890" s="12">
        <f t="shared" ca="1" si="118"/>
        <v>0.24429104249691491</v>
      </c>
    </row>
    <row r="891" spans="2:15" x14ac:dyDescent="0.15">
      <c r="B891" s="6">
        <f t="shared" ca="1" si="111"/>
        <v>0.83172737206011715</v>
      </c>
      <c r="C891" s="6">
        <f t="shared" ca="1" si="111"/>
        <v>-0.46805143602608851</v>
      </c>
      <c r="D891" s="6">
        <f t="shared" ca="1" si="111"/>
        <v>2.5930645447729276E-2</v>
      </c>
      <c r="E891" s="8">
        <f t="shared" ca="1" si="112"/>
        <v>1.893710079371709E-2</v>
      </c>
      <c r="F891" s="8">
        <f t="shared" ca="1" si="113"/>
        <v>2.0091894285666143E-2</v>
      </c>
      <c r="G891" s="8">
        <f t="shared" ca="1" si="114"/>
        <v>2.9473811960273558E-2</v>
      </c>
      <c r="H891" s="10">
        <f t="shared" ca="1" si="115"/>
        <v>4092.0513967875681</v>
      </c>
      <c r="I891" s="10">
        <f t="shared" ca="1" si="116"/>
        <v>554.92999049140235</v>
      </c>
      <c r="J891" s="10">
        <f t="shared" ca="1" si="117"/>
        <v>2301.9034435431718</v>
      </c>
      <c r="K891" s="12">
        <f t="array" aca="1" ref="K891:L891" ca="1">Opt3Spd(H891:J891,$E$3:$G$3,$K$3:$M$3,$N$3:$P$3,$H$3,$I$3,$Q$3,$J$3)</f>
        <v>228.22013954936551</v>
      </c>
      <c r="L891" s="12">
        <f ca="1"/>
        <v>8.4493196270614135E-3</v>
      </c>
      <c r="M891" s="12">
        <f t="array" aca="1" ref="M891:N891" ca="1">Opt3Spd(H891:J891,$E$3:$G$3,$K$3:$M$3,$N$3:$P$3,$H$4,$I$3,$Q$3,$J$3)</f>
        <v>0.28663012770211083</v>
      </c>
      <c r="N891" s="12">
        <f ca="1"/>
        <v>172.07493989796365</v>
      </c>
      <c r="O891" s="12">
        <f t="shared" ca="1" si="118"/>
        <v>0.29507944732917224</v>
      </c>
    </row>
    <row r="892" spans="2:15" x14ac:dyDescent="0.15">
      <c r="B892" s="6">
        <f t="shared" ca="1" si="111"/>
        <v>-0.59701879682475512</v>
      </c>
      <c r="C892" s="6">
        <f t="shared" ca="1" si="111"/>
        <v>-9.3552277709039872E-2</v>
      </c>
      <c r="D892" s="6">
        <f t="shared" ca="1" si="111"/>
        <v>0.62149748360540946</v>
      </c>
      <c r="E892" s="8">
        <f t="shared" ca="1" si="112"/>
        <v>-1.3593162268076598E-2</v>
      </c>
      <c r="F892" s="8">
        <f t="shared" ca="1" si="113"/>
        <v>-2.4296153128758359E-2</v>
      </c>
      <c r="G892" s="8">
        <f t="shared" ca="1" si="114"/>
        <v>-1.5584232763135499E-2</v>
      </c>
      <c r="H892" s="10">
        <f t="shared" ca="1" si="115"/>
        <v>3961.4098603314042</v>
      </c>
      <c r="I892" s="10">
        <f t="shared" ca="1" si="116"/>
        <v>530.7828926979555</v>
      </c>
      <c r="J892" s="10">
        <f t="shared" ca="1" si="117"/>
        <v>2201.1536555416292</v>
      </c>
      <c r="K892" s="12">
        <f t="array" aca="1" ref="K892:L892" ca="1">Opt3Spd(H892:J892,$E$3:$G$3,$K$3:$M$3,$N$3:$P$3,$H$3,$I$3,$Q$3,$J$3)</f>
        <v>186.64051706116902</v>
      </c>
      <c r="L892" s="12">
        <f ca="1"/>
        <v>6.0112817308436206E-2</v>
      </c>
      <c r="M892" s="12">
        <f t="array" aca="1" ref="M892:N892" ca="1">Opt3Spd(H892:J892,$E$3:$G$3,$K$3:$M$3,$N$3:$P$3,$H$4,$I$3,$Q$3,$J$3)</f>
        <v>4.1615350377551152E-2</v>
      </c>
      <c r="N892" s="12">
        <f ca="1"/>
        <v>213.46121110651697</v>
      </c>
      <c r="O892" s="12">
        <f t="shared" ca="1" si="118"/>
        <v>0.10172816768598736</v>
      </c>
    </row>
    <row r="893" spans="2:15" x14ac:dyDescent="0.15">
      <c r="B893" s="6">
        <f t="shared" ca="1" si="111"/>
        <v>4.1657259998014097E-2</v>
      </c>
      <c r="C893" s="6">
        <f t="shared" ca="1" si="111"/>
        <v>-5.3166027359149645E-2</v>
      </c>
      <c r="D893" s="6">
        <f t="shared" ca="1" si="111"/>
        <v>-0.57554632054271604</v>
      </c>
      <c r="E893" s="8">
        <f t="shared" ca="1" si="112"/>
        <v>9.4846912326393006E-4</v>
      </c>
      <c r="F893" s="8">
        <f t="shared" ca="1" si="113"/>
        <v>3.2300721296714375E-4</v>
      </c>
      <c r="G893" s="8">
        <f t="shared" ca="1" si="114"/>
        <v>-4.7552456907958302E-3</v>
      </c>
      <c r="H893" s="10">
        <f t="shared" ca="1" si="115"/>
        <v>4019.8090519990283</v>
      </c>
      <c r="I893" s="10">
        <f t="shared" ca="1" si="116"/>
        <v>544.17571592385411</v>
      </c>
      <c r="J893" s="10">
        <f t="shared" ca="1" si="117"/>
        <v>2225.3672706353805</v>
      </c>
      <c r="K893" s="12">
        <f t="array" aca="1" ref="K893:L893" ca="1">Opt3Spd(H893:J893,$E$3:$G$3,$K$3:$M$3,$N$3:$P$3,$H$3,$I$3,$Q$3,$J$3)</f>
        <v>211.46255568042329</v>
      </c>
      <c r="L893" s="12">
        <f ca="1"/>
        <v>1.8284477251654607E-2</v>
      </c>
      <c r="M893" s="12">
        <f t="array" aca="1" ref="M893:N893" ca="1">Opt3Spd(H893:J893,$E$3:$G$3,$K$3:$M$3,$N$3:$P$3,$H$4,$I$3,$Q$3,$J$3)</f>
        <v>0.13409267192028906</v>
      </c>
      <c r="N893" s="12">
        <f ca="1"/>
        <v>188.68982146874865</v>
      </c>
      <c r="O893" s="12">
        <f t="shared" ca="1" si="118"/>
        <v>0.15237714917194367</v>
      </c>
    </row>
    <row r="894" spans="2:15" x14ac:dyDescent="0.15">
      <c r="B894" s="6">
        <f t="shared" ca="1" si="111"/>
        <v>-0.16058157752285449</v>
      </c>
      <c r="C894" s="6">
        <f t="shared" ca="1" si="111"/>
        <v>0.5245495598606108</v>
      </c>
      <c r="D894" s="6">
        <f t="shared" ca="1" si="111"/>
        <v>0.46885496391393428</v>
      </c>
      <c r="E894" s="8">
        <f t="shared" ca="1" si="112"/>
        <v>-3.6561854536928604E-3</v>
      </c>
      <c r="F894" s="8">
        <f t="shared" ca="1" si="113"/>
        <v>6.1020705797132056E-3</v>
      </c>
      <c r="G894" s="8">
        <f t="shared" ca="1" si="114"/>
        <v>6.1798351193279055E-4</v>
      </c>
      <c r="H894" s="10">
        <f t="shared" ca="1" si="115"/>
        <v>4001.3167592179698</v>
      </c>
      <c r="I894" s="10">
        <f t="shared" ca="1" si="116"/>
        <v>547.31952639536405</v>
      </c>
      <c r="J894" s="10">
        <f t="shared" ca="1" si="117"/>
        <v>2237.3818111326818</v>
      </c>
      <c r="K894" s="12">
        <f t="array" aca="1" ref="K894:L894" ca="1">Opt3Spd(H894:J894,$E$3:$G$3,$K$3:$M$3,$N$3:$P$3,$H$3,$I$3,$Q$3,$J$3)</f>
        <v>181.99285094101765</v>
      </c>
      <c r="L894" s="12">
        <f ca="1"/>
        <v>7.8239521971454451E-2</v>
      </c>
      <c r="M894" s="12">
        <f t="array" aca="1" ref="M894:N894" ca="1">Opt3Spd(H894:J894,$E$3:$G$3,$K$3:$M$3,$N$3:$P$3,$H$4,$I$3,$Q$3,$J$3)</f>
        <v>3.4531343794102831E-2</v>
      </c>
      <c r="N894" s="12">
        <f ca="1"/>
        <v>218.1199199247479</v>
      </c>
      <c r="O894" s="12">
        <f t="shared" ca="1" si="118"/>
        <v>0.11277086576555728</v>
      </c>
    </row>
    <row r="895" spans="2:15" x14ac:dyDescent="0.15">
      <c r="B895" s="6">
        <f t="shared" ca="1" si="111"/>
        <v>-0.4587226759718584</v>
      </c>
      <c r="C895" s="6">
        <f t="shared" ca="1" si="111"/>
        <v>0.69125911760482261</v>
      </c>
      <c r="D895" s="6">
        <f t="shared" ca="1" si="111"/>
        <v>-0.70071888607976351</v>
      </c>
      <c r="E895" s="8">
        <f t="shared" ca="1" si="112"/>
        <v>-1.0444380987156955E-2</v>
      </c>
      <c r="F895" s="8">
        <f t="shared" ca="1" si="113"/>
        <v>-1.124629121549009E-3</v>
      </c>
      <c r="G895" s="8">
        <f t="shared" ca="1" si="114"/>
        <v>-2.2310816431306758E-2</v>
      </c>
      <c r="H895" s="10">
        <f t="shared" ca="1" si="115"/>
        <v>3974.0553659555776</v>
      </c>
      <c r="I895" s="10">
        <f t="shared" ca="1" si="116"/>
        <v>543.38820175787737</v>
      </c>
      <c r="J895" s="10">
        <f t="shared" ca="1" si="117"/>
        <v>2186.1130144595982</v>
      </c>
      <c r="K895" s="12">
        <f t="array" aca="1" ref="K895:L895" ca="1">Opt3Spd(H895:J895,$E$3:$G$3,$K$3:$M$3,$N$3:$P$3,$H$3,$I$3,$Q$3,$J$3)</f>
        <v>186.63748528863107</v>
      </c>
      <c r="L895" s="12">
        <f ca="1"/>
        <v>5.9749375456249254E-2</v>
      </c>
      <c r="M895" s="12">
        <f t="array" aca="1" ref="M895:N895" ca="1">Opt3Spd(H895:J895,$E$3:$G$3,$K$3:$M$3,$N$3:$P$3,$H$4,$I$3,$Q$3,$J$3)</f>
        <v>4.1199959914001383E-2</v>
      </c>
      <c r="N895" s="12">
        <f ca="1"/>
        <v>213.46346404673918</v>
      </c>
      <c r="O895" s="12">
        <f t="shared" ca="1" si="118"/>
        <v>0.10094933537025064</v>
      </c>
    </row>
    <row r="896" spans="2:15" x14ac:dyDescent="0.15">
      <c r="B896" s="6">
        <f t="shared" ref="B896:D959" ca="1" si="119">NORMINV(RAND(),0,1)</f>
        <v>0.31233685991356525</v>
      </c>
      <c r="C896" s="6">
        <f t="shared" ca="1" si="119"/>
        <v>-0.41101818634284409</v>
      </c>
      <c r="D896" s="6">
        <f t="shared" ca="1" si="119"/>
        <v>-0.55186984609517831</v>
      </c>
      <c r="E896" s="8">
        <f t="shared" ca="1" si="112"/>
        <v>7.1114102967730179E-3</v>
      </c>
      <c r="F896" s="8">
        <f t="shared" ca="1" si="113"/>
        <v>2.1369822140187285E-3</v>
      </c>
      <c r="G896" s="8">
        <f t="shared" ca="1" si="114"/>
        <v>4.4024749944975572E-3</v>
      </c>
      <c r="H896" s="10">
        <f t="shared" ca="1" si="115"/>
        <v>4044.5594237518408</v>
      </c>
      <c r="I896" s="10">
        <f t="shared" ca="1" si="116"/>
        <v>545.16251832442617</v>
      </c>
      <c r="J896" s="10">
        <f t="shared" ca="1" si="117"/>
        <v>2245.8439340876967</v>
      </c>
      <c r="K896" s="12">
        <f t="array" aca="1" ref="K896:L896" ca="1">Opt3Spd(H896:J896,$E$3:$G$3,$K$3:$M$3,$N$3:$P$3,$H$3,$I$3,$Q$3,$J$3)</f>
        <v>224.38698298889176</v>
      </c>
      <c r="L896" s="12">
        <f ca="1"/>
        <v>9.5555999810130743E-3</v>
      </c>
      <c r="M896" s="12">
        <f t="array" aca="1" ref="M896:N896" ca="1">Opt3Spd(H896:J896,$E$3:$G$3,$K$3:$M$3,$N$3:$P$3,$H$4,$I$3,$Q$3,$J$3)</f>
        <v>0.23559485441515093</v>
      </c>
      <c r="N896" s="12">
        <f ca="1"/>
        <v>175.85816746550441</v>
      </c>
      <c r="O896" s="12">
        <f t="shared" ca="1" si="118"/>
        <v>0.24515045439616401</v>
      </c>
    </row>
    <row r="897" spans="2:15" x14ac:dyDescent="0.15">
      <c r="B897" s="6">
        <f t="shared" ca="1" si="119"/>
        <v>-0.14063325976869789</v>
      </c>
      <c r="C897" s="6">
        <f t="shared" ca="1" si="119"/>
        <v>0.72247176960227388</v>
      </c>
      <c r="D897" s="6">
        <f t="shared" ca="1" si="119"/>
        <v>0.9827432842020174</v>
      </c>
      <c r="E897" s="8">
        <f t="shared" ca="1" si="112"/>
        <v>-3.2019941926311108E-3</v>
      </c>
      <c r="F897" s="8">
        <f t="shared" ca="1" si="113"/>
        <v>1.1391957991861486E-2</v>
      </c>
      <c r="G897" s="8">
        <f t="shared" ca="1" si="114"/>
        <v>7.3998948995971387E-3</v>
      </c>
      <c r="H897" s="10">
        <f t="shared" ca="1" si="115"/>
        <v>4003.1407913223934</v>
      </c>
      <c r="I897" s="10">
        <f t="shared" ca="1" si="116"/>
        <v>550.19722514757268</v>
      </c>
      <c r="J897" s="10">
        <f t="shared" ca="1" si="117"/>
        <v>2252.5461649954996</v>
      </c>
      <c r="K897" s="12">
        <f t="array" aca="1" ref="K897:L897" ca="1">Opt3Spd(H897:J897,$E$3:$G$3,$K$3:$M$3,$N$3:$P$3,$H$3,$I$3,$Q$3,$J$3)</f>
        <v>171.67930149755057</v>
      </c>
      <c r="L897" s="12">
        <f ca="1"/>
        <v>0.12715290902315246</v>
      </c>
      <c r="M897" s="12">
        <f t="array" aca="1" ref="M897:N897" ca="1">Opt3Spd(H897:J897,$E$3:$G$3,$K$3:$M$3,$N$3:$P$3,$H$4,$I$3,$Q$3,$J$3)</f>
        <v>2.0916455847698856E-2</v>
      </c>
      <c r="N897" s="12">
        <f ca="1"/>
        <v>228.46876786732028</v>
      </c>
      <c r="O897" s="12">
        <f t="shared" ca="1" si="118"/>
        <v>0.14806936487085132</v>
      </c>
    </row>
    <row r="898" spans="2:15" x14ac:dyDescent="0.15">
      <c r="B898" s="6">
        <f t="shared" ca="1" si="119"/>
        <v>1.7608415625439449</v>
      </c>
      <c r="C898" s="6">
        <f t="shared" ca="1" si="119"/>
        <v>-1.9635906556087046</v>
      </c>
      <c r="D898" s="6">
        <f t="shared" ca="1" si="119"/>
        <v>-0.41504262507041778</v>
      </c>
      <c r="E898" s="8">
        <f t="shared" ca="1" si="112"/>
        <v>4.0091543541566632E-2</v>
      </c>
      <c r="F898" s="8">
        <f t="shared" ca="1" si="113"/>
        <v>2.017580821482249E-2</v>
      </c>
      <c r="G898" s="8">
        <f t="shared" ca="1" si="114"/>
        <v>5.4568737323801797E-2</v>
      </c>
      <c r="H898" s="10">
        <f t="shared" ca="1" si="115"/>
        <v>4177.0076388629323</v>
      </c>
      <c r="I898" s="10">
        <f t="shared" ca="1" si="116"/>
        <v>554.97563966886344</v>
      </c>
      <c r="J898" s="10">
        <f t="shared" ca="1" si="117"/>
        <v>2358.0156966560207</v>
      </c>
      <c r="K898" s="12">
        <f t="array" aca="1" ref="K898:L898" ca="1">Opt3Spd(H898:J898,$E$3:$G$3,$K$3:$M$3,$N$3:$P$3,$H$3,$I$3,$Q$3,$J$3)</f>
        <v>285.03911854352918</v>
      </c>
      <c r="L898" s="12">
        <f ca="1"/>
        <v>3.5147878861607751E-4</v>
      </c>
      <c r="M898" s="12">
        <f t="array" aca="1" ref="M898:N898" ca="1">Opt3Spd(H898:J898,$E$3:$G$3,$K$3:$M$3,$N$3:$P$3,$H$4,$I$3,$Q$3,$J$3)</f>
        <v>2.1938954572581224</v>
      </c>
      <c r="N898" s="12">
        <f ca="1"/>
        <v>117.15512839251755</v>
      </c>
      <c r="O898" s="12">
        <f t="shared" ca="1" si="118"/>
        <v>2.1942469360467385</v>
      </c>
    </row>
    <row r="899" spans="2:15" x14ac:dyDescent="0.15">
      <c r="B899" s="6">
        <f t="shared" ca="1" si="119"/>
        <v>-0.90993040562115868</v>
      </c>
      <c r="C899" s="6">
        <f t="shared" ca="1" si="119"/>
        <v>0.44562298212974782</v>
      </c>
      <c r="D899" s="6">
        <f t="shared" ca="1" si="119"/>
        <v>-1.1696656475557372</v>
      </c>
      <c r="E899" s="8">
        <f t="shared" ca="1" si="112"/>
        <v>-2.0717658676826942E-2</v>
      </c>
      <c r="F899" s="8">
        <f t="shared" ca="1" si="113"/>
        <v>-2.3508316284781242E-2</v>
      </c>
      <c r="G899" s="8">
        <f t="shared" ca="1" si="114"/>
        <v>-4.4596244557677162E-2</v>
      </c>
      <c r="H899" s="10">
        <f t="shared" ca="1" si="115"/>
        <v>3932.7978827538627</v>
      </c>
      <c r="I899" s="10">
        <f t="shared" ca="1" si="116"/>
        <v>531.21147594107902</v>
      </c>
      <c r="J899" s="10">
        <f t="shared" ca="1" si="117"/>
        <v>2136.282797169034</v>
      </c>
      <c r="K899" s="12">
        <f t="array" aca="1" ref="K899:L899" ca="1">Opt3Spd(H899:J899,$E$3:$G$3,$K$3:$M$3,$N$3:$P$3,$H$3,$I$3,$Q$3,$J$3)</f>
        <v>189.76669721222493</v>
      </c>
      <c r="L899" s="12">
        <f ca="1"/>
        <v>4.8574548605529344E-2</v>
      </c>
      <c r="M899" s="12">
        <f t="array" aca="1" ref="M899:N899" ca="1">Opt3Spd(H899:J899,$E$3:$G$3,$K$3:$M$3,$N$3:$P$3,$H$4,$I$3,$Q$3,$J$3)</f>
        <v>4.559733215376216E-2</v>
      </c>
      <c r="N899" s="12">
        <f ca="1"/>
        <v>210.32747466853436</v>
      </c>
      <c r="O899" s="12">
        <f t="shared" ca="1" si="118"/>
        <v>9.4171880759291504E-2</v>
      </c>
    </row>
    <row r="900" spans="2:15" x14ac:dyDescent="0.15">
      <c r="B900" s="6">
        <f t="shared" ca="1" si="119"/>
        <v>0.58983901685181239</v>
      </c>
      <c r="C900" s="6">
        <f t="shared" ca="1" si="119"/>
        <v>0.17444413317793736</v>
      </c>
      <c r="D900" s="6">
        <f t="shared" ca="1" si="119"/>
        <v>-0.1432540338659668</v>
      </c>
      <c r="E900" s="8">
        <f t="shared" ca="1" si="112"/>
        <v>1.3429690171820399E-2</v>
      </c>
      <c r="F900" s="8">
        <f t="shared" ca="1" si="113"/>
        <v>2.588941202537394E-2</v>
      </c>
      <c r="G900" s="8">
        <f t="shared" ca="1" si="114"/>
        <v>2.0650039500353087E-2</v>
      </c>
      <c r="H900" s="10">
        <f t="shared" ca="1" si="115"/>
        <v>4069.9336357300313</v>
      </c>
      <c r="I900" s="10">
        <f t="shared" ca="1" si="116"/>
        <v>558.08384014180342</v>
      </c>
      <c r="J900" s="10">
        <f t="shared" ca="1" si="117"/>
        <v>2282.1734883227896</v>
      </c>
      <c r="K900" s="12">
        <f t="array" aca="1" ref="K900:L900" ca="1">Opt3Spd(H900:J900,$E$3:$G$3,$K$3:$M$3,$N$3:$P$3,$H$3,$I$3,$Q$3,$J$3)</f>
        <v>210.93305491170258</v>
      </c>
      <c r="L900" s="12">
        <f ca="1"/>
        <v>2.0307569951683035E-2</v>
      </c>
      <c r="M900" s="12">
        <f t="array" aca="1" ref="M900:N900" ca="1">Opt3Spd(H900:J900,$E$3:$G$3,$K$3:$M$3,$N$3:$P$3,$H$4,$I$3,$Q$3,$J$3)</f>
        <v>0.13750913453903912</v>
      </c>
      <c r="N900" s="12">
        <f ca="1"/>
        <v>189.22476179278814</v>
      </c>
      <c r="O900" s="12">
        <f t="shared" ca="1" si="118"/>
        <v>0.15781670449072216</v>
      </c>
    </row>
    <row r="901" spans="2:15" x14ac:dyDescent="0.15">
      <c r="B901" s="6">
        <f t="shared" ca="1" si="119"/>
        <v>0.73192520064995403</v>
      </c>
      <c r="C901" s="6">
        <f t="shared" ca="1" si="119"/>
        <v>1.0824072042756117</v>
      </c>
      <c r="D901" s="6">
        <f t="shared" ca="1" si="119"/>
        <v>-0.96623706002502463</v>
      </c>
      <c r="E901" s="8">
        <f t="shared" ref="E901:E964" ca="1" si="120">B901*$U$3*$C$6</f>
        <v>1.6664765118693178E-2</v>
      </c>
      <c r="F901" s="8">
        <f t="shared" ref="F901:F964" ca="1" si="121">($N$3*B901+C901*SQRT(1-$N$3^2))*$V$3*$C$6</f>
        <v>5.2032594741216576E-2</v>
      </c>
      <c r="G901" s="8">
        <f t="shared" ref="G901:G964" ca="1" si="122">(D901/$T$3+($P$3-$N$3*$O$3)*C901+$O$3*B901*SQRT(1/(1-$N$3^2)))*$W$3*$C$6</f>
        <v>1.9738562267013787E-2</v>
      </c>
      <c r="H901" s="10">
        <f t="shared" ref="H901:H964" ca="1" si="123">B$3*(1+E901)</f>
        <v>4082.9256967166716</v>
      </c>
      <c r="I901" s="10">
        <f t="shared" ref="I901:I964" ca="1" si="124">C$3*(1+F901)</f>
        <v>572.30573153922182</v>
      </c>
      <c r="J901" s="10">
        <f t="shared" ref="J901:J964" ca="1" si="125">D$3*(1+G901)</f>
        <v>2280.135425229043</v>
      </c>
      <c r="K901" s="12">
        <f t="array" aca="1" ref="K901:L901" ca="1">Opt3Spd(H901:J901,$E$3:$G$3,$K$3:$M$3,$N$3:$P$3,$H$3,$I$3,$Q$3,$J$3)</f>
        <v>202.20061185719487</v>
      </c>
      <c r="L901" s="12">
        <f ca="1"/>
        <v>3.179821779986014E-2</v>
      </c>
      <c r="M901" s="12">
        <f t="array" aca="1" ref="M901:N901" ca="1">Opt3Spd(H901:J901,$E$3:$G$3,$K$3:$M$3,$N$3:$P$3,$H$4,$I$3,$Q$3,$J$3)</f>
        <v>9.4009977932705269E-2</v>
      </c>
      <c r="N901" s="12">
        <f ca="1"/>
        <v>197.92519633853769</v>
      </c>
      <c r="O901" s="12">
        <f t="shared" ca="1" si="118"/>
        <v>0.12580819573256541</v>
      </c>
    </row>
    <row r="902" spans="2:15" x14ac:dyDescent="0.15">
      <c r="B902" s="6">
        <f t="shared" ca="1" si="119"/>
        <v>0.69220820620520795</v>
      </c>
      <c r="C902" s="6">
        <f t="shared" ca="1" si="119"/>
        <v>0.22500591600373837</v>
      </c>
      <c r="D902" s="6">
        <f t="shared" ca="1" si="119"/>
        <v>-0.71258781111504288</v>
      </c>
      <c r="E902" s="8">
        <f t="shared" ca="1" si="120"/>
        <v>1.5760472736009286E-2</v>
      </c>
      <c r="F902" s="8">
        <f t="shared" ca="1" si="121"/>
        <v>3.0848984685251414E-2</v>
      </c>
      <c r="G902" s="8">
        <f t="shared" ca="1" si="122"/>
        <v>1.8492552738400801E-2</v>
      </c>
      <c r="H902" s="10">
        <f t="shared" ca="1" si="123"/>
        <v>4079.2940585078131</v>
      </c>
      <c r="I902" s="10">
        <f t="shared" ca="1" si="124"/>
        <v>560.78184766877666</v>
      </c>
      <c r="J902" s="10">
        <f t="shared" ca="1" si="125"/>
        <v>2277.3493479230642</v>
      </c>
      <c r="K902" s="12">
        <f t="array" aca="1" ref="K902:L902" ca="1">Opt3Spd(H902:J902,$E$3:$G$3,$K$3:$M$3,$N$3:$P$3,$H$3,$I$3,$Q$3,$J$3)</f>
        <v>218.38225431501996</v>
      </c>
      <c r="L902" s="12">
        <f ca="1"/>
        <v>1.3826038781417083E-2</v>
      </c>
      <c r="M902" s="12">
        <f t="array" aca="1" ref="M902:N902" ca="1">Opt3Spd(H902:J902,$E$3:$G$3,$K$3:$M$3,$N$3:$P$3,$H$4,$I$3,$Q$3,$J$3)</f>
        <v>0.1884922636908648</v>
      </c>
      <c r="N902" s="12">
        <f ca="1"/>
        <v>181.82006398745233</v>
      </c>
      <c r="O902" s="12">
        <f t="shared" ca="1" si="118"/>
        <v>0.20231830247228189</v>
      </c>
    </row>
    <row r="903" spans="2:15" x14ac:dyDescent="0.15">
      <c r="B903" s="6">
        <f t="shared" ca="1" si="119"/>
        <v>0.59803358103222148</v>
      </c>
      <c r="C903" s="6">
        <f t="shared" ca="1" si="119"/>
        <v>-0.53009882929746854</v>
      </c>
      <c r="D903" s="6">
        <f t="shared" ca="1" si="119"/>
        <v>-1.8248293668599731</v>
      </c>
      <c r="E903" s="8">
        <f t="shared" ca="1" si="120"/>
        <v>1.361626727996657E-2</v>
      </c>
      <c r="F903" s="8">
        <f t="shared" ca="1" si="121"/>
        <v>9.9969933644373076E-3</v>
      </c>
      <c r="G903" s="8">
        <f t="shared" ca="1" si="122"/>
        <v>9.9191328787735311E-4</v>
      </c>
      <c r="H903" s="10">
        <f t="shared" ca="1" si="123"/>
        <v>4070.682929396346</v>
      </c>
      <c r="I903" s="10">
        <f t="shared" ca="1" si="124"/>
        <v>549.43836439025392</v>
      </c>
      <c r="J903" s="10">
        <f t="shared" ca="1" si="125"/>
        <v>2238.2179181116935</v>
      </c>
      <c r="K903" s="12">
        <f t="array" aca="1" ref="K903:L903" ca="1">Opt3Spd(H903:J903,$E$3:$G$3,$K$3:$M$3,$N$3:$P$3,$H$3,$I$3,$Q$3,$J$3)</f>
        <v>247.47525328995516</v>
      </c>
      <c r="L903" s="12">
        <f ca="1"/>
        <v>2.6659738623493467E-3</v>
      </c>
      <c r="M903" s="12">
        <f t="array" aca="1" ref="M903:N903" ca="1">Opt3Spd(H903:J903,$E$3:$G$3,$K$3:$M$3,$N$3:$P$3,$H$4,$I$3,$Q$3,$J$3)</f>
        <v>0.58040039125285858</v>
      </c>
      <c r="N903" s="12">
        <f ca="1"/>
        <v>153.10781307516004</v>
      </c>
      <c r="O903" s="12">
        <f t="shared" ca="1" si="118"/>
        <v>0.58306636511520793</v>
      </c>
    </row>
    <row r="904" spans="2:15" x14ac:dyDescent="0.15">
      <c r="B904" s="6">
        <f t="shared" ca="1" si="119"/>
        <v>1.4976100000265438</v>
      </c>
      <c r="C904" s="6">
        <f t="shared" ca="1" si="119"/>
        <v>0.14742798042447214</v>
      </c>
      <c r="D904" s="6">
        <f t="shared" ca="1" si="119"/>
        <v>-4.6478818552895601E-3</v>
      </c>
      <c r="E904" s="8">
        <f t="shared" ca="1" si="120"/>
        <v>3.4098182256446674E-2</v>
      </c>
      <c r="F904" s="8">
        <f t="shared" ca="1" si="121"/>
        <v>5.8940769630048191E-2</v>
      </c>
      <c r="G904" s="8">
        <f t="shared" ca="1" si="122"/>
        <v>5.5398220957564609E-2</v>
      </c>
      <c r="H904" s="10">
        <f t="shared" ca="1" si="123"/>
        <v>4152.9382999418895</v>
      </c>
      <c r="I904" s="10">
        <f t="shared" ca="1" si="124"/>
        <v>576.06377867874619</v>
      </c>
      <c r="J904" s="10">
        <f t="shared" ca="1" si="125"/>
        <v>2359.8704220611144</v>
      </c>
      <c r="K904" s="12">
        <f t="array" aca="1" ref="K904:L904" ca="1">Opt3Spd(H904:J904,$E$3:$G$3,$K$3:$M$3,$N$3:$P$3,$H$3,$I$3,$Q$3,$J$3)</f>
        <v>226.31135769760454</v>
      </c>
      <c r="L904" s="12">
        <f ca="1"/>
        <v>1.0314672266076741E-2</v>
      </c>
      <c r="M904" s="12">
        <f t="array" aca="1" ref="M904:N904" ca="1">Opt3Spd(H904:J904,$E$3:$G$3,$K$3:$M$3,$N$3:$P$3,$H$4,$I$3,$Q$3,$J$3)</f>
        <v>0.27794795342769163</v>
      </c>
      <c r="N904" s="12">
        <f ca="1"/>
        <v>173.97690492808923</v>
      </c>
      <c r="O904" s="12">
        <f t="shared" ca="1" si="118"/>
        <v>0.28826262569376837</v>
      </c>
    </row>
    <row r="905" spans="2:15" x14ac:dyDescent="0.15">
      <c r="B905" s="6">
        <f t="shared" ca="1" si="119"/>
        <v>1.6670745108690244</v>
      </c>
      <c r="C905" s="6">
        <f t="shared" ca="1" si="119"/>
        <v>0.34252791481783951</v>
      </c>
      <c r="D905" s="6">
        <f t="shared" ca="1" si="119"/>
        <v>-0.1940955029400859</v>
      </c>
      <c r="E905" s="8">
        <f t="shared" ca="1" si="120"/>
        <v>3.7956617881612156E-2</v>
      </c>
      <c r="F905" s="8">
        <f t="shared" ca="1" si="121"/>
        <v>6.9711858616655936E-2</v>
      </c>
      <c r="G905" s="8">
        <f t="shared" ca="1" si="122"/>
        <v>6.0172245121091018E-2</v>
      </c>
      <c r="H905" s="10">
        <f t="shared" ca="1" si="123"/>
        <v>4168.4337774125543</v>
      </c>
      <c r="I905" s="10">
        <f t="shared" ca="1" si="124"/>
        <v>581.92325108746081</v>
      </c>
      <c r="J905" s="10">
        <f t="shared" ca="1" si="125"/>
        <v>2370.5451400907596</v>
      </c>
      <c r="K905" s="12">
        <f t="array" aca="1" ref="K905:L905" ca="1">Opt3Spd(H905:J905,$E$3:$G$3,$K$3:$M$3,$N$3:$P$3,$H$3,$I$3,$Q$3,$J$3)</f>
        <v>227.09412075078444</v>
      </c>
      <c r="L905" s="12">
        <f ca="1"/>
        <v>1.0115123547166149E-2</v>
      </c>
      <c r="M905" s="12">
        <f t="array" aca="1" ref="M905:N905" ca="1">Opt3Spd(H905:J905,$E$3:$G$3,$K$3:$M$3,$N$3:$P$3,$H$4,$I$3,$Q$3,$J$3)</f>
        <v>0.28954676379194311</v>
      </c>
      <c r="N905" s="12">
        <f ca="1"/>
        <v>173.20554113655467</v>
      </c>
      <c r="O905" s="12">
        <f t="shared" ca="1" si="118"/>
        <v>0.29966188733910926</v>
      </c>
    </row>
    <row r="906" spans="2:15" x14ac:dyDescent="0.15">
      <c r="B906" s="6">
        <f t="shared" ca="1" si="119"/>
        <v>-0.33951784074333324</v>
      </c>
      <c r="C906" s="6">
        <f t="shared" ca="1" si="119"/>
        <v>-0.49400614864967701</v>
      </c>
      <c r="D906" s="6">
        <f t="shared" ca="1" si="119"/>
        <v>1.5416111489377078</v>
      </c>
      <c r="E906" s="8">
        <f t="shared" ca="1" si="120"/>
        <v>-7.7302777176809882E-3</v>
      </c>
      <c r="F906" s="8">
        <f t="shared" ca="1" si="121"/>
        <v>-2.3950369708976793E-2</v>
      </c>
      <c r="G906" s="8">
        <f t="shared" ca="1" si="122"/>
        <v>2.5154485896922893E-3</v>
      </c>
      <c r="H906" s="10">
        <f t="shared" ca="1" si="123"/>
        <v>3984.955204685793</v>
      </c>
      <c r="I906" s="10">
        <f t="shared" ca="1" si="124"/>
        <v>530.97099887831666</v>
      </c>
      <c r="J906" s="10">
        <f t="shared" ca="1" si="125"/>
        <v>2241.6245430465519</v>
      </c>
      <c r="K906" s="12">
        <f t="array" aca="1" ref="K906:L906" ca="1">Opt3Spd(H906:J906,$E$3:$G$3,$K$3:$M$3,$N$3:$P$3,$H$3,$I$3,$Q$3,$J$3)</f>
        <v>189.64353633324504</v>
      </c>
      <c r="L906" s="12">
        <f ca="1"/>
        <v>5.420137603459807E-2</v>
      </c>
      <c r="M906" s="12">
        <f t="array" aca="1" ref="M906:N906" ca="1">Opt3Spd(H906:J906,$E$3:$G$3,$K$3:$M$3,$N$3:$P$3,$H$4,$I$3,$Q$3,$J$3)</f>
        <v>4.9949791485298434E-2</v>
      </c>
      <c r="N906" s="12">
        <f ca="1"/>
        <v>210.46061483427485</v>
      </c>
      <c r="O906" s="12">
        <f t="shared" ca="1" si="118"/>
        <v>0.1041511675198965</v>
      </c>
    </row>
    <row r="907" spans="2:15" x14ac:dyDescent="0.15">
      <c r="B907" s="6">
        <f t="shared" ca="1" si="119"/>
        <v>1.6913542076676131E-2</v>
      </c>
      <c r="C907" s="6">
        <f t="shared" ca="1" si="119"/>
        <v>0.96608297412678046</v>
      </c>
      <c r="D907" s="6">
        <f t="shared" ca="1" si="119"/>
        <v>0.33504213165735097</v>
      </c>
      <c r="E907" s="8">
        <f t="shared" ca="1" si="120"/>
        <v>3.8509427709641395E-4</v>
      </c>
      <c r="F907" s="8">
        <f t="shared" ca="1" si="121"/>
        <v>2.2836178431604914E-2</v>
      </c>
      <c r="G907" s="8">
        <f t="shared" ca="1" si="122"/>
        <v>6.9951088312235022E-3</v>
      </c>
      <c r="H907" s="10">
        <f t="shared" ca="1" si="123"/>
        <v>4017.5465386168194</v>
      </c>
      <c r="I907" s="10">
        <f t="shared" ca="1" si="124"/>
        <v>556.42288106679302</v>
      </c>
      <c r="J907" s="10">
        <f t="shared" ca="1" si="125"/>
        <v>2251.6410633466157</v>
      </c>
      <c r="K907" s="12">
        <f t="array" aca="1" ref="K907:L907" ca="1">Opt3Spd(H907:J907,$E$3:$G$3,$K$3:$M$3,$N$3:$P$3,$H$3,$I$3,$Q$3,$J$3)</f>
        <v>176.55187950017421</v>
      </c>
      <c r="L907" s="12">
        <f ca="1"/>
        <v>0.10248226353155587</v>
      </c>
      <c r="M907" s="12">
        <f t="array" aca="1" ref="M907:N907" ca="1">Opt3Spd(H907:J907,$E$3:$G$3,$K$3:$M$3,$N$3:$P$3,$H$4,$I$3,$Q$3,$J$3)</f>
        <v>2.6849415598758863E-2</v>
      </c>
      <c r="N907" s="12">
        <f ca="1"/>
        <v>223.57745217895609</v>
      </c>
      <c r="O907" s="12">
        <f t="shared" ref="O907:O970" ca="1" si="126">L907+M907</f>
        <v>0.12933167913031474</v>
      </c>
    </row>
    <row r="908" spans="2:15" x14ac:dyDescent="0.15">
      <c r="B908" s="6">
        <f t="shared" ca="1" si="119"/>
        <v>1.0379124747341399</v>
      </c>
      <c r="C908" s="6">
        <f t="shared" ca="1" si="119"/>
        <v>1.7404598942940228</v>
      </c>
      <c r="D908" s="6">
        <f t="shared" ca="1" si="119"/>
        <v>-0.4780327578257067</v>
      </c>
      <c r="E908" s="8">
        <f t="shared" ca="1" si="120"/>
        <v>2.363160551084531E-2</v>
      </c>
      <c r="F908" s="8">
        <f t="shared" ca="1" si="121"/>
        <v>7.8510381251737954E-2</v>
      </c>
      <c r="G908" s="8">
        <f t="shared" ca="1" si="122"/>
        <v>3.8091211897848504E-2</v>
      </c>
      <c r="H908" s="10">
        <f t="shared" ca="1" si="123"/>
        <v>4110.9045277315554</v>
      </c>
      <c r="I908" s="10">
        <f t="shared" ca="1" si="124"/>
        <v>586.70964740094553</v>
      </c>
      <c r="J908" s="10">
        <f t="shared" ca="1" si="125"/>
        <v>2321.1719498035891</v>
      </c>
      <c r="K908" s="12">
        <f t="array" aca="1" ref="K908:L908" ca="1">Opt3Spd(H908:J908,$E$3:$G$3,$K$3:$M$3,$N$3:$P$3,$H$3,$I$3,$Q$3,$J$3)</f>
        <v>186.65387639347136</v>
      </c>
      <c r="L908" s="12">
        <f ca="1"/>
        <v>7.0759405223270733E-2</v>
      </c>
      <c r="M908" s="12">
        <f t="array" aca="1" ref="M908:N908" ca="1">Opt3Spd(H908:J908,$E$3:$G$3,$K$3:$M$3,$N$3:$P$3,$H$4,$I$3,$Q$3,$J$3)</f>
        <v>4.7996891514799245E-2</v>
      </c>
      <c r="N908" s="12">
        <f ca="1"/>
        <v>213.46487990326671</v>
      </c>
      <c r="O908" s="12">
        <f t="shared" ca="1" si="126"/>
        <v>0.11875629673806998</v>
      </c>
    </row>
    <row r="909" spans="2:15" x14ac:dyDescent="0.15">
      <c r="B909" s="6">
        <f t="shared" ca="1" si="119"/>
        <v>7.6107441218994751E-2</v>
      </c>
      <c r="C909" s="6">
        <f t="shared" ca="1" si="119"/>
        <v>1.8186626387529687</v>
      </c>
      <c r="D909" s="6">
        <f t="shared" ca="1" si="119"/>
        <v>-1.0023540422151609</v>
      </c>
      <c r="E909" s="8">
        <f t="shared" ca="1" si="120"/>
        <v>1.7328446002037176E-3</v>
      </c>
      <c r="F909" s="8">
        <f t="shared" ca="1" si="121"/>
        <v>4.4631413500866815E-2</v>
      </c>
      <c r="G909" s="8">
        <f t="shared" ca="1" si="122"/>
        <v>-2.6025437913254432E-3</v>
      </c>
      <c r="H909" s="10">
        <f t="shared" ca="1" si="123"/>
        <v>4022.9591039144179</v>
      </c>
      <c r="I909" s="10">
        <f t="shared" ca="1" si="124"/>
        <v>568.2794889444715</v>
      </c>
      <c r="J909" s="10">
        <f t="shared" ca="1" si="125"/>
        <v>2230.1807120825965</v>
      </c>
      <c r="K909" s="12">
        <f t="array" aca="1" ref="K909:L909" ca="1">Opt3Spd(H909:J909,$E$3:$G$3,$K$3:$M$3,$N$3:$P$3,$H$3,$I$3,$Q$3,$J$3)</f>
        <v>173.73695753080324</v>
      </c>
      <c r="L909" s="12">
        <f ca="1"/>
        <v>0.11539196883813929</v>
      </c>
      <c r="M909" s="12">
        <f t="array" aca="1" ref="M909:N909" ca="1">Opt3Spd(H909:J909,$E$3:$G$3,$K$3:$M$3,$N$3:$P$3,$H$4,$I$3,$Q$3,$J$3)</f>
        <v>2.2952966283599441E-2</v>
      </c>
      <c r="N909" s="12">
        <f ca="1"/>
        <v>226.40138740431851</v>
      </c>
      <c r="O909" s="12">
        <f t="shared" ca="1" si="126"/>
        <v>0.13834493512173873</v>
      </c>
    </row>
    <row r="910" spans="2:15" x14ac:dyDescent="0.15">
      <c r="B910" s="6">
        <f t="shared" ca="1" si="119"/>
        <v>-0.72009162280940053</v>
      </c>
      <c r="C910" s="6">
        <f t="shared" ca="1" si="119"/>
        <v>0.38202727923669927</v>
      </c>
      <c r="D910" s="6">
        <f t="shared" ca="1" si="119"/>
        <v>-5.1807953627361819E-2</v>
      </c>
      <c r="E910" s="8">
        <f t="shared" ca="1" si="120"/>
        <v>-1.6395333495008848E-2</v>
      </c>
      <c r="F910" s="8">
        <f t="shared" ca="1" si="121"/>
        <v>-1.7928497809096989E-2</v>
      </c>
      <c r="G910" s="8">
        <f t="shared" ca="1" si="122"/>
        <v>-2.5897894071274033E-2</v>
      </c>
      <c r="H910" s="10">
        <f t="shared" ca="1" si="123"/>
        <v>3950.1563406840442</v>
      </c>
      <c r="I910" s="10">
        <f t="shared" ca="1" si="124"/>
        <v>534.24689719185119</v>
      </c>
      <c r="J910" s="10">
        <f t="shared" ca="1" si="125"/>
        <v>2178.092308856631</v>
      </c>
      <c r="K910" s="12">
        <f t="array" aca="1" ref="K910:L910" ca="1">Opt3Spd(H910:J910,$E$3:$G$3,$K$3:$M$3,$N$3:$P$3,$H$3,$I$3,$Q$3,$J$3)</f>
        <v>181.3906493716554</v>
      </c>
      <c r="L910" s="12">
        <f ca="1"/>
        <v>7.5498622888744649E-2</v>
      </c>
      <c r="M910" s="12">
        <f t="array" aca="1" ref="M910:N910" ca="1">Opt3Spd(H910:J910,$E$3:$G$3,$K$3:$M$3,$N$3:$P$3,$H$4,$I$3,$Q$3,$J$3)</f>
        <v>3.1452299296149455E-2</v>
      </c>
      <c r="N910" s="12">
        <f ca="1"/>
        <v>218.71630155052949</v>
      </c>
      <c r="O910" s="12">
        <f t="shared" ca="1" si="126"/>
        <v>0.1069509221848941</v>
      </c>
    </row>
    <row r="911" spans="2:15" x14ac:dyDescent="0.15">
      <c r="B911" s="6">
        <f t="shared" ca="1" si="119"/>
        <v>-0.71372168073010245</v>
      </c>
      <c r="C911" s="6">
        <f t="shared" ca="1" si="119"/>
        <v>-0.24970012073079476</v>
      </c>
      <c r="D911" s="6">
        <f t="shared" ca="1" si="119"/>
        <v>0.44086792348254422</v>
      </c>
      <c r="E911" s="8">
        <f t="shared" ca="1" si="120"/>
        <v>-1.6250300111164549E-2</v>
      </c>
      <c r="F911" s="8">
        <f t="shared" ca="1" si="121"/>
        <v>-3.2214677771611772E-2</v>
      </c>
      <c r="G911" s="8">
        <f t="shared" ca="1" si="122"/>
        <v>-2.2249256102725948E-2</v>
      </c>
      <c r="H911" s="10">
        <f t="shared" ca="1" si="123"/>
        <v>3950.7387947535631</v>
      </c>
      <c r="I911" s="10">
        <f t="shared" ca="1" si="124"/>
        <v>526.47521529224321</v>
      </c>
      <c r="J911" s="10">
        <f t="shared" ca="1" si="125"/>
        <v>2186.2506633543048</v>
      </c>
      <c r="K911" s="12">
        <f t="array" aca="1" ref="K911:L911" ca="1">Opt3Spd(H911:J911,$E$3:$G$3,$K$3:$M$3,$N$3:$P$3,$H$3,$I$3,$Q$3,$J$3)</f>
        <v>190.30271765722318</v>
      </c>
      <c r="L911" s="12">
        <f ca="1"/>
        <v>4.9599048401660184E-2</v>
      </c>
      <c r="M911" s="12">
        <f t="array" aca="1" ref="M911:N911" ca="1">Opt3Spd(H911:J911,$E$3:$G$3,$K$3:$M$3,$N$3:$P$3,$H$4,$I$3,$Q$3,$J$3)</f>
        <v>4.8943143734857308E-2</v>
      </c>
      <c r="N911" s="12">
        <f ca="1"/>
        <v>209.79582453491332</v>
      </c>
      <c r="O911" s="12">
        <f t="shared" ca="1" si="126"/>
        <v>9.8542192136517492E-2</v>
      </c>
    </row>
    <row r="912" spans="2:15" x14ac:dyDescent="0.15">
      <c r="B912" s="6">
        <f t="shared" ca="1" si="119"/>
        <v>-6.4787795480858376E-2</v>
      </c>
      <c r="C912" s="6">
        <f t="shared" ca="1" si="119"/>
        <v>0.20449500850633218</v>
      </c>
      <c r="D912" s="6">
        <f t="shared" ca="1" si="119"/>
        <v>2.093879871797853E-3</v>
      </c>
      <c r="E912" s="8">
        <f t="shared" ca="1" si="120"/>
        <v>-1.4751143877648697E-3</v>
      </c>
      <c r="F912" s="8">
        <f t="shared" ca="1" si="121"/>
        <v>2.2978257247635902E-3</v>
      </c>
      <c r="G912" s="8">
        <f t="shared" ca="1" si="122"/>
        <v>-1.7642489734599589E-3</v>
      </c>
      <c r="H912" s="10">
        <f t="shared" ca="1" si="123"/>
        <v>4010.0759406187367</v>
      </c>
      <c r="I912" s="10">
        <f t="shared" ca="1" si="124"/>
        <v>545.25001719427144</v>
      </c>
      <c r="J912" s="10">
        <f t="shared" ca="1" si="125"/>
        <v>2232.0551392953435</v>
      </c>
      <c r="K912" s="12">
        <f t="array" aca="1" ref="K912:L912" ca="1">Opt3Spd(H912:J912,$E$3:$G$3,$K$3:$M$3,$N$3:$P$3,$H$3,$I$3,$Q$3,$J$3)</f>
        <v>196.68694414974607</v>
      </c>
      <c r="L912" s="12">
        <f ca="1"/>
        <v>3.860068951530593E-2</v>
      </c>
      <c r="M912" s="12">
        <f t="array" aca="1" ref="M912:N912" ca="1">Opt3Spd(H912:J912,$E$3:$G$3,$K$3:$M$3,$N$3:$P$3,$H$4,$I$3,$Q$3,$J$3)</f>
        <v>6.9327638310057615E-2</v>
      </c>
      <c r="N912" s="12">
        <f ca="1"/>
        <v>203.42098417807929</v>
      </c>
      <c r="O912" s="12">
        <f t="shared" ca="1" si="126"/>
        <v>0.10792832782536355</v>
      </c>
    </row>
    <row r="913" spans="2:15" x14ac:dyDescent="0.15">
      <c r="B913" s="6">
        <f t="shared" ca="1" si="119"/>
        <v>0.13815286210142746</v>
      </c>
      <c r="C913" s="6">
        <f t="shared" ca="1" si="119"/>
        <v>0.64132051822198521</v>
      </c>
      <c r="D913" s="6">
        <f t="shared" ca="1" si="119"/>
        <v>-0.49165496600050729</v>
      </c>
      <c r="E913" s="8">
        <f t="shared" ca="1" si="120"/>
        <v>3.1455195084840013E-3</v>
      </c>
      <c r="F913" s="8">
        <f t="shared" ca="1" si="121"/>
        <v>1.9867570420998997E-2</v>
      </c>
      <c r="G913" s="8">
        <f t="shared" ca="1" si="122"/>
        <v>1.6996191960113151E-3</v>
      </c>
      <c r="H913" s="10">
        <f t="shared" ca="1" si="123"/>
        <v>4028.6324063460715</v>
      </c>
      <c r="I913" s="10">
        <f t="shared" ca="1" si="124"/>
        <v>554.80795830902343</v>
      </c>
      <c r="J913" s="10">
        <f t="shared" ca="1" si="125"/>
        <v>2239.8003485222812</v>
      </c>
      <c r="K913" s="12">
        <f t="array" aca="1" ref="K913:L913" ca="1">Opt3Spd(H913:J913,$E$3:$G$3,$K$3:$M$3,$N$3:$P$3,$H$3,$I$3,$Q$3,$J$3)</f>
        <v>196.07989799813959</v>
      </c>
      <c r="L913" s="12">
        <f ca="1"/>
        <v>4.0399207646032664E-2</v>
      </c>
      <c r="M913" s="12">
        <f t="array" aca="1" ref="M913:N913" ca="1">Opt3Spd(H913:J913,$E$3:$G$3,$K$3:$M$3,$N$3:$P$3,$H$4,$I$3,$Q$3,$J$3)</f>
        <v>6.8117859518005197E-2</v>
      </c>
      <c r="N913" s="12">
        <f ca="1"/>
        <v>204.02861906902444</v>
      </c>
      <c r="O913" s="12">
        <f t="shared" ca="1" si="126"/>
        <v>0.10851706716403786</v>
      </c>
    </row>
    <row r="914" spans="2:15" x14ac:dyDescent="0.15">
      <c r="B914" s="6">
        <f t="shared" ca="1" si="119"/>
        <v>-0.29671397102300601</v>
      </c>
      <c r="C914" s="6">
        <f t="shared" ca="1" si="119"/>
        <v>1.5454877391206376</v>
      </c>
      <c r="D914" s="6">
        <f t="shared" ca="1" si="119"/>
        <v>-0.76339799627488181</v>
      </c>
      <c r="E914" s="8">
        <f t="shared" ca="1" si="120"/>
        <v>-6.755702126586478E-3</v>
      </c>
      <c r="F914" s="8">
        <f t="shared" ca="1" si="121"/>
        <v>2.4522275730710703E-2</v>
      </c>
      <c r="G914" s="8">
        <f t="shared" ca="1" si="122"/>
        <v>-1.4546803218873099E-2</v>
      </c>
      <c r="H914" s="10">
        <f t="shared" ca="1" si="123"/>
        <v>3988.8691002596288</v>
      </c>
      <c r="I914" s="10">
        <f t="shared" ca="1" si="124"/>
        <v>557.34011799750658</v>
      </c>
      <c r="J914" s="10">
        <f t="shared" ca="1" si="125"/>
        <v>2203.4733480025998</v>
      </c>
      <c r="K914" s="12">
        <f t="array" aca="1" ref="K914:L914" ca="1">Opt3Spd(H914:J914,$E$3:$G$3,$K$3:$M$3,$N$3:$P$3,$H$3,$I$3,$Q$3,$J$3)</f>
        <v>170.51739839711263</v>
      </c>
      <c r="L914" s="12">
        <f ca="1"/>
        <v>0.12916093479407209</v>
      </c>
      <c r="M914" s="12">
        <f t="array" aca="1" ref="M914:N914" ca="1">Opt3Spd(H914:J914,$E$3:$G$3,$K$3:$M$3,$N$3:$P$3,$H$4,$I$3,$Q$3,$J$3)</f>
        <v>1.8775859680153495E-2</v>
      </c>
      <c r="N914" s="12">
        <f ca="1"/>
        <v>229.63053839736159</v>
      </c>
      <c r="O914" s="12">
        <f t="shared" ca="1" si="126"/>
        <v>0.14793679447422559</v>
      </c>
    </row>
    <row r="915" spans="2:15" x14ac:dyDescent="0.15">
      <c r="B915" s="6">
        <f t="shared" ca="1" si="119"/>
        <v>0.37033752845088325</v>
      </c>
      <c r="C915" s="6">
        <f t="shared" ca="1" si="119"/>
        <v>0.12662356219803708</v>
      </c>
      <c r="D915" s="6">
        <f t="shared" ca="1" si="119"/>
        <v>-0.53930486856649273</v>
      </c>
      <c r="E915" s="8">
        <f t="shared" ca="1" si="120"/>
        <v>8.4319926691838378E-3</v>
      </c>
      <c r="F915" s="8">
        <f t="shared" ca="1" si="121"/>
        <v>1.6648006785576704E-2</v>
      </c>
      <c r="G915" s="8">
        <f t="shared" ca="1" si="122"/>
        <v>8.2279389700180526E-3</v>
      </c>
      <c r="H915" s="10">
        <f t="shared" ca="1" si="123"/>
        <v>4049.8628825594424</v>
      </c>
      <c r="I915" s="10">
        <f t="shared" ca="1" si="124"/>
        <v>553.05651569135375</v>
      </c>
      <c r="J915" s="10">
        <f t="shared" ca="1" si="125"/>
        <v>2254.3976715369599</v>
      </c>
      <c r="K915" s="12">
        <f t="array" aca="1" ref="K915:L915" ca="1">Opt3Spd(H915:J915,$E$3:$G$3,$K$3:$M$3,$N$3:$P$3,$H$3,$I$3,$Q$3,$J$3)</f>
        <v>212.79142751843142</v>
      </c>
      <c r="L915" s="12">
        <f ca="1"/>
        <v>1.7805833634838564E-2</v>
      </c>
      <c r="M915" s="12">
        <f t="array" aca="1" ref="M915:N915" ca="1">Opt3Spd(H915:J915,$E$3:$G$3,$K$3:$M$3,$N$3:$P$3,$H$4,$I$3,$Q$3,$J$3)</f>
        <v>0.14564275862329978</v>
      </c>
      <c r="N915" s="12">
        <f ca="1"/>
        <v>187.37202107382672</v>
      </c>
      <c r="O915" s="12">
        <f t="shared" ca="1" si="126"/>
        <v>0.16344859225813835</v>
      </c>
    </row>
    <row r="916" spans="2:15" x14ac:dyDescent="0.15">
      <c r="B916" s="6">
        <f t="shared" ca="1" si="119"/>
        <v>0.32129645267758433</v>
      </c>
      <c r="C916" s="6">
        <f t="shared" ca="1" si="119"/>
        <v>5.168560637930298E-2</v>
      </c>
      <c r="D916" s="6">
        <f t="shared" ca="1" si="119"/>
        <v>0.64912621631175471</v>
      </c>
      <c r="E916" s="8">
        <f t="shared" ca="1" si="120"/>
        <v>7.315405881074437E-3</v>
      </c>
      <c r="F916" s="8">
        <f t="shared" ca="1" si="121"/>
        <v>1.3106189828163913E-2</v>
      </c>
      <c r="G916" s="8">
        <f t="shared" ca="1" si="122"/>
        <v>1.8869127864147291E-2</v>
      </c>
      <c r="H916" s="10">
        <f t="shared" ca="1" si="123"/>
        <v>4045.378670018395</v>
      </c>
      <c r="I916" s="10">
        <f t="shared" ca="1" si="124"/>
        <v>551.12976726652118</v>
      </c>
      <c r="J916" s="10">
        <f t="shared" ca="1" si="125"/>
        <v>2278.1913699042334</v>
      </c>
      <c r="K916" s="12">
        <f t="array" aca="1" ref="K916:L916" ca="1">Opt3Spd(H916:J916,$E$3:$G$3,$K$3:$M$3,$N$3:$P$3,$H$3,$I$3,$Q$3,$J$3)</f>
        <v>199.51081539254415</v>
      </c>
      <c r="L916" s="12">
        <f ca="1"/>
        <v>3.5457952699971429E-2</v>
      </c>
      <c r="M916" s="12">
        <f t="array" aca="1" ref="M916:N916" ca="1">Opt3Spd(H916:J916,$E$3:$G$3,$K$3:$M$3,$N$3:$P$3,$H$4,$I$3,$Q$3,$J$3)</f>
        <v>8.2296734558832796E-2</v>
      </c>
      <c r="N916" s="12">
        <f ca="1"/>
        <v>200.60693929471466</v>
      </c>
      <c r="O916" s="12">
        <f t="shared" ca="1" si="126"/>
        <v>0.11775468725880422</v>
      </c>
    </row>
    <row r="917" spans="2:15" x14ac:dyDescent="0.15">
      <c r="B917" s="6">
        <f t="shared" ca="1" si="119"/>
        <v>-0.99795352033515483</v>
      </c>
      <c r="C917" s="6">
        <f t="shared" ca="1" si="119"/>
        <v>4.5977450467326215E-2</v>
      </c>
      <c r="D917" s="6">
        <f t="shared" ca="1" si="119"/>
        <v>1.1809501113530736</v>
      </c>
      <c r="E917" s="8">
        <f t="shared" ca="1" si="120"/>
        <v>-2.2721804087344203E-2</v>
      </c>
      <c r="F917" s="8">
        <f t="shared" ca="1" si="121"/>
        <v>-3.5960653337814771E-2</v>
      </c>
      <c r="G917" s="8">
        <f t="shared" ca="1" si="122"/>
        <v>-2.3948992492999435E-2</v>
      </c>
      <c r="H917" s="10">
        <f t="shared" ca="1" si="123"/>
        <v>3924.7492347852253</v>
      </c>
      <c r="I917" s="10">
        <f t="shared" ca="1" si="124"/>
        <v>524.43740458422883</v>
      </c>
      <c r="J917" s="10">
        <f t="shared" ca="1" si="125"/>
        <v>2182.4500527856535</v>
      </c>
      <c r="K917" s="12">
        <f t="array" aca="1" ref="K917:L917" ca="1">Opt3Spd(H917:J917,$E$3:$G$3,$K$3:$M$3,$N$3:$P$3,$H$3,$I$3,$Q$3,$J$3)</f>
        <v>169.55412877177014</v>
      </c>
      <c r="L917" s="12">
        <f ca="1"/>
        <v>0.12976771413786992</v>
      </c>
      <c r="M917" s="12">
        <f t="array" aca="1" ref="M917:N917" ca="1">Opt3Spd(H917:J917,$E$3:$G$3,$K$3:$M$3,$N$3:$P$3,$H$4,$I$3,$Q$3,$J$3)</f>
        <v>1.7186221001808999E-2</v>
      </c>
      <c r="N917" s="12">
        <f ca="1"/>
        <v>230.59282516336955</v>
      </c>
      <c r="O917" s="12">
        <f t="shared" ca="1" si="126"/>
        <v>0.14695393513967892</v>
      </c>
    </row>
    <row r="918" spans="2:15" x14ac:dyDescent="0.15">
      <c r="B918" s="6">
        <f t="shared" ca="1" si="119"/>
        <v>-0.34898016317147013</v>
      </c>
      <c r="C918" s="6">
        <f t="shared" ca="1" si="119"/>
        <v>1.9980591152709026</v>
      </c>
      <c r="D918" s="6">
        <f t="shared" ca="1" si="119"/>
        <v>-0.30358064034276533</v>
      </c>
      <c r="E918" s="8">
        <f t="shared" ca="1" si="120"/>
        <v>-7.9457196516412015E-3</v>
      </c>
      <c r="F918" s="8">
        <f t="shared" ca="1" si="121"/>
        <v>3.2987474624979071E-2</v>
      </c>
      <c r="G918" s="8">
        <f t="shared" ca="1" si="122"/>
        <v>-1.0254717294214821E-2</v>
      </c>
      <c r="H918" s="10">
        <f t="shared" ca="1" si="123"/>
        <v>3984.089989879009</v>
      </c>
      <c r="I918" s="10">
        <f t="shared" ca="1" si="124"/>
        <v>561.94518619598853</v>
      </c>
      <c r="J918" s="10">
        <f t="shared" ca="1" si="125"/>
        <v>2213.0704521301359</v>
      </c>
      <c r="K918" s="12">
        <f t="array" aca="1" ref="K918:L918" ca="1">Opt3Spd(H918:J918,$E$3:$G$3,$K$3:$M$3,$N$3:$P$3,$H$3,$I$3,$Q$3,$J$3)</f>
        <v>153.71382174696123</v>
      </c>
      <c r="L918" s="12">
        <f ca="1"/>
        <v>0.27135584660186396</v>
      </c>
      <c r="M918" s="12">
        <f t="array" aca="1" ref="M918:N918" ca="1">Opt3Spd(H918:J918,$E$3:$G$3,$K$3:$M$3,$N$3:$P$3,$H$4,$I$3,$Q$3,$J$3)</f>
        <v>7.734714121213293E-3</v>
      </c>
      <c r="N918" s="12">
        <f ca="1"/>
        <v>246.56526881376186</v>
      </c>
      <c r="O918" s="12">
        <f t="shared" ca="1" si="126"/>
        <v>0.27909056072307725</v>
      </c>
    </row>
    <row r="919" spans="2:15" x14ac:dyDescent="0.15">
      <c r="B919" s="6">
        <f t="shared" ca="1" si="119"/>
        <v>-0.4105873642780038</v>
      </c>
      <c r="C919" s="6">
        <f t="shared" ca="1" si="119"/>
        <v>3.8001760446755815E-2</v>
      </c>
      <c r="D919" s="6">
        <f t="shared" ca="1" si="119"/>
        <v>-0.57339136210394104</v>
      </c>
      <c r="E919" s="8">
        <f t="shared" ca="1" si="120"/>
        <v>-9.3484169971469848E-3</v>
      </c>
      <c r="F919" s="8">
        <f t="shared" ca="1" si="121"/>
        <v>-1.4356525997131442E-2</v>
      </c>
      <c r="G919" s="8">
        <f t="shared" ca="1" si="122"/>
        <v>-2.1082363414394435E-2</v>
      </c>
      <c r="H919" s="10">
        <f t="shared" ca="1" si="123"/>
        <v>3978.4567573394579</v>
      </c>
      <c r="I919" s="10">
        <f t="shared" ca="1" si="124"/>
        <v>536.19004985756055</v>
      </c>
      <c r="J919" s="10">
        <f t="shared" ca="1" si="125"/>
        <v>2188.8598354054143</v>
      </c>
      <c r="K919" s="12">
        <f t="array" aca="1" ref="K919:L919" ca="1">Opt3Spd(H919:J919,$E$3:$G$3,$K$3:$M$3,$N$3:$P$3,$H$3,$I$3,$Q$3,$J$3)</f>
        <v>201.15214903596052</v>
      </c>
      <c r="L919" s="12">
        <f ca="1"/>
        <v>2.9389171306547723E-2</v>
      </c>
      <c r="M919" s="12">
        <f t="array" aca="1" ref="M919:N919" ca="1">Opt3Spd(H919:J919,$E$3:$G$3,$K$3:$M$3,$N$3:$P$3,$H$4,$I$3,$Q$3,$J$3)</f>
        <v>8.1878105838386617E-2</v>
      </c>
      <c r="N919" s="12">
        <f ca="1"/>
        <v>198.95911824118443</v>
      </c>
      <c r="O919" s="12">
        <f t="shared" ca="1" si="126"/>
        <v>0.11126727714493434</v>
      </c>
    </row>
    <row r="920" spans="2:15" x14ac:dyDescent="0.15">
      <c r="B920" s="6">
        <f t="shared" ca="1" si="119"/>
        <v>-0.33775472768075271</v>
      </c>
      <c r="C920" s="6">
        <f t="shared" ca="1" si="119"/>
        <v>-1.4092995921191771</v>
      </c>
      <c r="D920" s="6">
        <f t="shared" ca="1" si="119"/>
        <v>8.4298676628206046E-2</v>
      </c>
      <c r="E920" s="8">
        <f t="shared" ca="1" si="120"/>
        <v>-7.6901344557199118E-3</v>
      </c>
      <c r="F920" s="8">
        <f t="shared" ca="1" si="121"/>
        <v>-4.492619033711194E-2</v>
      </c>
      <c r="G920" s="8">
        <f t="shared" ca="1" si="122"/>
        <v>-1.5601676740015301E-2</v>
      </c>
      <c r="H920" s="10">
        <f t="shared" ca="1" si="123"/>
        <v>3985.116420025829</v>
      </c>
      <c r="I920" s="10">
        <f t="shared" ca="1" si="124"/>
        <v>519.56015245661104</v>
      </c>
      <c r="J920" s="10">
        <f t="shared" ca="1" si="125"/>
        <v>2201.1146508093257</v>
      </c>
      <c r="K920" s="12">
        <f t="array" aca="1" ref="K920:L920" ca="1">Opt3Spd(H920:J920,$E$3:$G$3,$K$3:$M$3,$N$3:$P$3,$H$3,$I$3,$Q$3,$J$3)</f>
        <v>228.27004052406232</v>
      </c>
      <c r="L920" s="12">
        <f ca="1"/>
        <v>7.1898334738307312E-3</v>
      </c>
      <c r="M920" s="12">
        <f t="array" aca="1" ref="M920:N920" ca="1">Opt3Spd(H920:J920,$E$3:$G$3,$K$3:$M$3,$N$3:$P$3,$H$4,$I$3,$Q$3,$J$3)</f>
        <v>0.26704099804171122</v>
      </c>
      <c r="N920" s="12">
        <f ca="1"/>
        <v>172.00419030745323</v>
      </c>
      <c r="O920" s="12">
        <f t="shared" ca="1" si="126"/>
        <v>0.27423083151554195</v>
      </c>
    </row>
    <row r="921" spans="2:15" x14ac:dyDescent="0.15">
      <c r="B921" s="6">
        <f t="shared" ca="1" si="119"/>
        <v>2.4118134229314272</v>
      </c>
      <c r="C921" s="6">
        <f t="shared" ca="1" si="119"/>
        <v>0.7895460625291375</v>
      </c>
      <c r="D921" s="6">
        <f t="shared" ca="1" si="119"/>
        <v>-0.12673394099960117</v>
      </c>
      <c r="E921" s="8">
        <f t="shared" ca="1" si="120"/>
        <v>5.4913130696378043E-2</v>
      </c>
      <c r="F921" s="8">
        <f t="shared" ca="1" si="121"/>
        <v>0.1076131194802197</v>
      </c>
      <c r="G921" s="8">
        <f t="shared" ca="1" si="122"/>
        <v>8.9548028695370929E-2</v>
      </c>
      <c r="H921" s="10">
        <f t="shared" ca="1" si="123"/>
        <v>4236.5311328766547</v>
      </c>
      <c r="I921" s="10">
        <f t="shared" ca="1" si="124"/>
        <v>602.54153699723952</v>
      </c>
      <c r="J921" s="10">
        <f t="shared" ca="1" si="125"/>
        <v>2436.2293921628493</v>
      </c>
      <c r="K921" s="12">
        <f t="array" aca="1" ref="K921:L921" ca="1">Opt3Spd(H921:J921,$E$3:$G$3,$K$3:$M$3,$N$3:$P$3,$H$3,$I$3,$Q$3,$J$3)</f>
        <v>229.36005842430313</v>
      </c>
      <c r="L921" s="12">
        <f ca="1"/>
        <v>1.0080824656142795E-2</v>
      </c>
      <c r="M921" s="12">
        <f t="array" aca="1" ref="M921:N921" ca="1">Opt3Spd(H921:J921,$E$3:$G$3,$K$3:$M$3,$N$3:$P$3,$H$4,$I$3,$Q$3,$J$3)</f>
        <v>0.33379791799099934</v>
      </c>
      <c r="N921" s="12">
        <f ca="1"/>
        <v>170.98382031834402</v>
      </c>
      <c r="O921" s="12">
        <f t="shared" ca="1" si="126"/>
        <v>0.34387874264714213</v>
      </c>
    </row>
    <row r="922" spans="2:15" x14ac:dyDescent="0.15">
      <c r="B922" s="6">
        <f t="shared" ca="1" si="119"/>
        <v>4.625823845160449E-2</v>
      </c>
      <c r="C922" s="6">
        <f t="shared" ca="1" si="119"/>
        <v>-3.0759447620765764E-2</v>
      </c>
      <c r="D922" s="6">
        <f t="shared" ca="1" si="119"/>
        <v>1.5084282597325296E-3</v>
      </c>
      <c r="E922" s="8">
        <f t="shared" ca="1" si="120"/>
        <v>1.0532260371906056E-3</v>
      </c>
      <c r="F922" s="8">
        <f t="shared" ca="1" si="121"/>
        <v>1.0087672791040444E-3</v>
      </c>
      <c r="G922" s="8">
        <f t="shared" ca="1" si="122"/>
        <v>1.6262280418852832E-3</v>
      </c>
      <c r="H922" s="10">
        <f t="shared" ca="1" si="123"/>
        <v>4020.2297557653578</v>
      </c>
      <c r="I922" s="10">
        <f t="shared" ca="1" si="124"/>
        <v>544.54876939983262</v>
      </c>
      <c r="J922" s="10">
        <f t="shared" ca="1" si="125"/>
        <v>2239.6362459016555</v>
      </c>
      <c r="K922" s="12">
        <f t="array" aca="1" ref="K922:L922" ca="1">Opt3Spd(H922:J922,$E$3:$G$3,$K$3:$M$3,$N$3:$P$3,$H$3,$I$3,$Q$3,$J$3)</f>
        <v>204.16049220717946</v>
      </c>
      <c r="L922" s="12">
        <f ca="1"/>
        <v>2.6890432381833307E-2</v>
      </c>
      <c r="M922" s="12">
        <f t="array" aca="1" ref="M922:N922" ca="1">Opt3Spd(H922:J922,$E$3:$G$3,$K$3:$M$3,$N$3:$P$3,$H$4,$I$3,$Q$3,$J$3)</f>
        <v>9.8134761850252161E-2</v>
      </c>
      <c r="N922" s="12">
        <f ca="1"/>
        <v>195.96453298705262</v>
      </c>
      <c r="O922" s="12">
        <f t="shared" ca="1" si="126"/>
        <v>0.12502519423208547</v>
      </c>
    </row>
    <row r="923" spans="2:15" x14ac:dyDescent="0.15">
      <c r="B923" s="6">
        <f t="shared" ca="1" si="119"/>
        <v>0.10183125448722354</v>
      </c>
      <c r="C923" s="6">
        <f t="shared" ca="1" si="119"/>
        <v>-1.5983073894401691</v>
      </c>
      <c r="D923" s="6">
        <f t="shared" ca="1" si="119"/>
        <v>-1.0387953099905776</v>
      </c>
      <c r="E923" s="8">
        <f t="shared" ca="1" si="120"/>
        <v>2.3185346484374497E-3</v>
      </c>
      <c r="F923" s="8">
        <f t="shared" ca="1" si="121"/>
        <v>-3.2965405459966582E-2</v>
      </c>
      <c r="G923" s="8">
        <f t="shared" ca="1" si="122"/>
        <v>-1.1965068062383807E-2</v>
      </c>
      <c r="H923" s="10">
        <f t="shared" ca="1" si="123"/>
        <v>4025.3112351481245</v>
      </c>
      <c r="I923" s="10">
        <f t="shared" ca="1" si="124"/>
        <v>526.06681942977821</v>
      </c>
      <c r="J923" s="10">
        <f t="shared" ca="1" si="125"/>
        <v>2209.2461078125098</v>
      </c>
      <c r="K923" s="12">
        <f t="array" aca="1" ref="K923:L923" ca="1">Opt3Spd(H923:J923,$E$3:$G$3,$K$3:$M$3,$N$3:$P$3,$H$3,$I$3,$Q$3,$J$3)</f>
        <v>253.98298835021933</v>
      </c>
      <c r="L923" s="12">
        <f ca="1"/>
        <v>1.7181959947265568E-3</v>
      </c>
      <c r="M923" s="12">
        <f t="array" aca="1" ref="M923:N923" ca="1">Opt3Spd(H923:J923,$E$3:$G$3,$K$3:$M$3,$N$3:$P$3,$H$4,$I$3,$Q$3,$J$3)</f>
        <v>0.72405197706385138</v>
      </c>
      <c r="N923" s="12">
        <f ca="1"/>
        <v>146.74278182283925</v>
      </c>
      <c r="O923" s="12">
        <f t="shared" ca="1" si="126"/>
        <v>0.72577017305857794</v>
      </c>
    </row>
    <row r="924" spans="2:15" x14ac:dyDescent="0.15">
      <c r="B924" s="6">
        <f t="shared" ca="1" si="119"/>
        <v>0.3171902382867044</v>
      </c>
      <c r="C924" s="6">
        <f t="shared" ca="1" si="119"/>
        <v>0.94094625383302177</v>
      </c>
      <c r="D924" s="6">
        <f t="shared" ca="1" si="119"/>
        <v>-0.31026139975562661</v>
      </c>
      <c r="E924" s="8">
        <f t="shared" ca="1" si="120"/>
        <v>7.2219139528142181E-3</v>
      </c>
      <c r="F924" s="8">
        <f t="shared" ca="1" si="121"/>
        <v>3.3396641731126317E-2</v>
      </c>
      <c r="G924" s="8">
        <f t="shared" ca="1" si="122"/>
        <v>1.1079361557060548E-2</v>
      </c>
      <c r="H924" s="10">
        <f t="shared" ca="1" si="123"/>
        <v>4045.0032064345019</v>
      </c>
      <c r="I924" s="10">
        <f t="shared" ca="1" si="124"/>
        <v>562.16777310173268</v>
      </c>
      <c r="J924" s="10">
        <f t="shared" ca="1" si="125"/>
        <v>2260.7734524415873</v>
      </c>
      <c r="K924" s="12">
        <f t="array" aca="1" ref="K924:L924" ca="1">Opt3Spd(H924:J924,$E$3:$G$3,$K$3:$M$3,$N$3:$P$3,$H$3,$I$3,$Q$3,$J$3)</f>
        <v>190.20313186663498</v>
      </c>
      <c r="L924" s="12">
        <f ca="1"/>
        <v>5.5088615699332877E-2</v>
      </c>
      <c r="M924" s="12">
        <f t="array" aca="1" ref="M924:N924" ca="1">Opt3Spd(H924:J924,$E$3:$G$3,$K$3:$M$3,$N$3:$P$3,$H$4,$I$3,$Q$3,$J$3)</f>
        <v>5.2875823970651048E-2</v>
      </c>
      <c r="N924" s="12">
        <f ca="1"/>
        <v>209.90483257303501</v>
      </c>
      <c r="O924" s="12">
        <f t="shared" ca="1" si="126"/>
        <v>0.10796443966998392</v>
      </c>
    </row>
    <row r="925" spans="2:15" x14ac:dyDescent="0.15">
      <c r="B925" s="6">
        <f t="shared" ca="1" si="119"/>
        <v>0.60824496927784544</v>
      </c>
      <c r="C925" s="6">
        <f t="shared" ca="1" si="119"/>
        <v>8.1625324639879329E-2</v>
      </c>
      <c r="D925" s="6">
        <f t="shared" ca="1" si="119"/>
        <v>-6.6026472249138171E-2</v>
      </c>
      <c r="E925" s="8">
        <f t="shared" ca="1" si="120"/>
        <v>1.3848764243451358E-2</v>
      </c>
      <c r="F925" s="8">
        <f t="shared" ca="1" si="121"/>
        <v>2.4438388620649818E-2</v>
      </c>
      <c r="G925" s="8">
        <f t="shared" ca="1" si="122"/>
        <v>2.1879503374302705E-2</v>
      </c>
      <c r="H925" s="10">
        <f t="shared" ca="1" si="123"/>
        <v>4071.6166372017001</v>
      </c>
      <c r="I925" s="10">
        <f t="shared" ca="1" si="124"/>
        <v>557.29448340963347</v>
      </c>
      <c r="J925" s="10">
        <f t="shared" ca="1" si="125"/>
        <v>2284.9225695449409</v>
      </c>
      <c r="K925" s="12">
        <f t="array" aca="1" ref="K925:L925" ca="1">Opt3Spd(H925:J925,$E$3:$G$3,$K$3:$M$3,$N$3:$P$3,$H$3,$I$3,$Q$3,$J$3)</f>
        <v>212.50297626786414</v>
      </c>
      <c r="L925" s="12">
        <f ca="1"/>
        <v>1.8797294048226831E-2</v>
      </c>
      <c r="M925" s="12">
        <f t="array" aca="1" ref="M925:N925" ca="1">Opt3Spd(H925:J925,$E$3:$G$3,$K$3:$M$3,$N$3:$P$3,$H$4,$I$3,$Q$3,$J$3)</f>
        <v>0.14742049242321897</v>
      </c>
      <c r="N925" s="12">
        <f ca="1"/>
        <v>187.66324151860729</v>
      </c>
      <c r="O925" s="12">
        <f t="shared" ca="1" si="126"/>
        <v>0.16621778647144581</v>
      </c>
    </row>
    <row r="926" spans="2:15" x14ac:dyDescent="0.15">
      <c r="B926" s="6">
        <f t="shared" ca="1" si="119"/>
        <v>0.35363753572690032</v>
      </c>
      <c r="C926" s="6">
        <f t="shared" ca="1" si="119"/>
        <v>-1.3730234379449024</v>
      </c>
      <c r="D926" s="6">
        <f t="shared" ca="1" si="119"/>
        <v>0.60576632737588898</v>
      </c>
      <c r="E926" s="8">
        <f t="shared" ca="1" si="120"/>
        <v>8.0517605689884534E-3</v>
      </c>
      <c r="F926" s="8">
        <f t="shared" ca="1" si="121"/>
        <v>-1.8446085426802032E-2</v>
      </c>
      <c r="G926" s="8">
        <f t="shared" ca="1" si="122"/>
        <v>1.5459482521788304E-2</v>
      </c>
      <c r="H926" s="10">
        <f t="shared" ca="1" si="123"/>
        <v>4048.3358704450579</v>
      </c>
      <c r="I926" s="10">
        <f t="shared" ca="1" si="124"/>
        <v>533.96532952781968</v>
      </c>
      <c r="J926" s="10">
        <f t="shared" ca="1" si="125"/>
        <v>2270.5674029187185</v>
      </c>
      <c r="K926" s="12">
        <f t="array" aca="1" ref="K926:L926" ca="1">Opt3Spd(H926:J926,$E$3:$G$3,$K$3:$M$3,$N$3:$P$3,$H$3,$I$3,$Q$3,$J$3)</f>
        <v>233.71355862952464</v>
      </c>
      <c r="L926" s="12">
        <f ca="1"/>
        <v>5.9168883374240977E-3</v>
      </c>
      <c r="M926" s="12">
        <f t="array" aca="1" ref="M926:N926" ca="1">Opt3Spd(H926:J926,$E$3:$G$3,$K$3:$M$3,$N$3:$P$3,$H$4,$I$3,$Q$3,$J$3)</f>
        <v>0.34800533866749461</v>
      </c>
      <c r="N926" s="12">
        <f ca="1"/>
        <v>166.64036359748027</v>
      </c>
      <c r="O926" s="12">
        <f t="shared" ca="1" si="126"/>
        <v>0.35392222700491871</v>
      </c>
    </row>
    <row r="927" spans="2:15" x14ac:dyDescent="0.15">
      <c r="B927" s="6">
        <f t="shared" ca="1" si="119"/>
        <v>0.63081929386559821</v>
      </c>
      <c r="C927" s="6">
        <f t="shared" ca="1" si="119"/>
        <v>-0.30267337229605057</v>
      </c>
      <c r="D927" s="6">
        <f t="shared" ca="1" si="119"/>
        <v>-0.80446250040152567</v>
      </c>
      <c r="E927" s="8">
        <f t="shared" ca="1" si="120"/>
        <v>1.4362745476279486E-2</v>
      </c>
      <c r="F927" s="8">
        <f t="shared" ca="1" si="121"/>
        <v>1.6441300223365551E-2</v>
      </c>
      <c r="G927" s="8">
        <f t="shared" ca="1" si="122"/>
        <v>1.3726640255691137E-2</v>
      </c>
      <c r="H927" s="10">
        <f t="shared" ca="1" si="123"/>
        <v>4073.6807858327388</v>
      </c>
      <c r="I927" s="10">
        <f t="shared" ca="1" si="124"/>
        <v>552.94406732151094</v>
      </c>
      <c r="J927" s="10">
        <f t="shared" ca="1" si="125"/>
        <v>2266.6927676117252</v>
      </c>
      <c r="K927" s="12">
        <f t="array" aca="1" ref="K927:L927" ca="1">Opt3Spd(H927:J927,$E$3:$G$3,$K$3:$M$3,$N$3:$P$3,$H$3,$I$3,$Q$3,$J$3)</f>
        <v>230.63097376192377</v>
      </c>
      <c r="L927" s="12">
        <f ca="1"/>
        <v>7.0794494647543615E-3</v>
      </c>
      <c r="M927" s="12">
        <f t="array" aca="1" ref="M927:N927" ca="1">Opt3Spd(H927:J927,$E$3:$G$3,$K$3:$M$3,$N$3:$P$3,$H$4,$I$3,$Q$3,$J$3)</f>
        <v>0.30838235842979245</v>
      </c>
      <c r="N927" s="12">
        <f ca="1"/>
        <v>169.68448804597077</v>
      </c>
      <c r="O927" s="12">
        <f t="shared" ca="1" si="126"/>
        <v>0.31546180789454681</v>
      </c>
    </row>
    <row r="928" spans="2:15" x14ac:dyDescent="0.15">
      <c r="B928" s="6">
        <f t="shared" ca="1" si="119"/>
        <v>-0.83840188409376759</v>
      </c>
      <c r="C928" s="6">
        <f t="shared" ca="1" si="119"/>
        <v>-0.53611300530186301</v>
      </c>
      <c r="D928" s="6">
        <f t="shared" ca="1" si="119"/>
        <v>-0.45701720205280216</v>
      </c>
      <c r="E928" s="8">
        <f t="shared" ca="1" si="120"/>
        <v>-1.9089068747852159E-2</v>
      </c>
      <c r="F928" s="8">
        <f t="shared" ca="1" si="121"/>
        <v>-4.3423706781995003E-2</v>
      </c>
      <c r="G928" s="8">
        <f t="shared" ca="1" si="122"/>
        <v>-3.7226471351040458E-2</v>
      </c>
      <c r="H928" s="10">
        <f t="shared" ca="1" si="123"/>
        <v>3939.3382999086257</v>
      </c>
      <c r="I928" s="10">
        <f t="shared" ca="1" si="124"/>
        <v>520.37750351059469</v>
      </c>
      <c r="J928" s="10">
        <f t="shared" ca="1" si="125"/>
        <v>2152.7616100590735</v>
      </c>
      <c r="K928" s="12">
        <f t="array" aca="1" ref="K928:L928" ca="1">Opt3Spd(H928:J928,$E$3:$G$3,$K$3:$M$3,$N$3:$P$3,$H$3,$I$3,$Q$3,$J$3)</f>
        <v>205.37610549459396</v>
      </c>
      <c r="L928" s="12">
        <f ca="1"/>
        <v>2.2616232456812213E-2</v>
      </c>
      <c r="M928" s="12">
        <f t="array" aca="1" ref="M928:N928" ca="1">Opt3Spd(H928:J928,$E$3:$G$3,$K$3:$M$3,$N$3:$P$3,$H$4,$I$3,$Q$3,$J$3)</f>
        <v>9.6075710579656359E-2</v>
      </c>
      <c r="N928" s="12">
        <f ca="1"/>
        <v>194.74258644844252</v>
      </c>
      <c r="O928" s="12">
        <f t="shared" ca="1" si="126"/>
        <v>0.11869194303646857</v>
      </c>
    </row>
    <row r="929" spans="2:15" x14ac:dyDescent="0.15">
      <c r="B929" s="6">
        <f t="shared" ca="1" si="119"/>
        <v>-0.7028079559230036</v>
      </c>
      <c r="C929" s="6">
        <f t="shared" ca="1" si="119"/>
        <v>1.3234283966715068</v>
      </c>
      <c r="D929" s="6">
        <f t="shared" ca="1" si="119"/>
        <v>-0.98060344362406016</v>
      </c>
      <c r="E929" s="8">
        <f t="shared" ca="1" si="120"/>
        <v>-1.6001812068508203E-2</v>
      </c>
      <c r="F929" s="8">
        <f t="shared" ca="1" si="121"/>
        <v>4.3540110618447347E-3</v>
      </c>
      <c r="G929" s="8">
        <f t="shared" ca="1" si="122"/>
        <v>-3.2424569075651617E-2</v>
      </c>
      <c r="H929" s="10">
        <f t="shared" ca="1" si="123"/>
        <v>3951.7367227328714</v>
      </c>
      <c r="I929" s="10">
        <f t="shared" ca="1" si="124"/>
        <v>546.36858201764358</v>
      </c>
      <c r="J929" s="10">
        <f t="shared" ca="1" si="125"/>
        <v>2163.4986635468431</v>
      </c>
      <c r="K929" s="12">
        <f t="array" aca="1" ref="K929:L929" ca="1">Opt3Spd(H929:J929,$E$3:$G$3,$K$3:$M$3,$N$3:$P$3,$H$3,$I$3,$Q$3,$J$3)</f>
        <v>170.91927875756801</v>
      </c>
      <c r="L929" s="12">
        <f ca="1"/>
        <v>0.1216190263480712</v>
      </c>
      <c r="M929" s="12">
        <f t="array" aca="1" ref="M929:N929" ca="1">Opt3Spd(H929:J929,$E$3:$G$3,$K$3:$M$3,$N$3:$P$3,$H$4,$I$3,$Q$3,$J$3)</f>
        <v>1.8250763786481272E-2</v>
      </c>
      <c r="N929" s="12">
        <f ca="1"/>
        <v>229.22059103256655</v>
      </c>
      <c r="O929" s="12">
        <f t="shared" ca="1" si="126"/>
        <v>0.13986979013455247</v>
      </c>
    </row>
    <row r="930" spans="2:15" x14ac:dyDescent="0.15">
      <c r="B930" s="6">
        <f t="shared" ca="1" si="119"/>
        <v>1.363862914750362</v>
      </c>
      <c r="C930" s="6">
        <f t="shared" ca="1" si="119"/>
        <v>0.19159305627988477</v>
      </c>
      <c r="D930" s="6">
        <f t="shared" ca="1" si="119"/>
        <v>-1.4619081800305547</v>
      </c>
      <c r="E930" s="8">
        <f t="shared" ca="1" si="120"/>
        <v>3.1052975233299841E-2</v>
      </c>
      <c r="F930" s="8">
        <f t="shared" ca="1" si="121"/>
        <v>5.4994908574102178E-2</v>
      </c>
      <c r="G930" s="8">
        <f t="shared" ca="1" si="122"/>
        <v>3.5088507277688336E-2</v>
      </c>
      <c r="H930" s="10">
        <f t="shared" ca="1" si="123"/>
        <v>4140.708748536932</v>
      </c>
      <c r="I930" s="10">
        <f t="shared" ca="1" si="124"/>
        <v>573.91723026431157</v>
      </c>
      <c r="J930" s="10">
        <f t="shared" ca="1" si="125"/>
        <v>2314.4579022729113</v>
      </c>
      <c r="K930" s="12">
        <f t="array" aca="1" ref="K930:L930" ca="1">Opt3Spd(H930:J930,$E$3:$G$3,$K$3:$M$3,$N$3:$P$3,$H$3,$I$3,$Q$3,$J$3)</f>
        <v>240.21682567184575</v>
      </c>
      <c r="L930" s="12">
        <f ca="1"/>
        <v>4.5966942677750922E-3</v>
      </c>
      <c r="M930" s="12">
        <f t="array" aca="1" ref="M930:N930" ca="1">Opt3Spd(H930:J930,$E$3:$G$3,$K$3:$M$3,$N$3:$P$3,$H$4,$I$3,$Q$3,$J$3)</f>
        <v>0.46436048402056684</v>
      </c>
      <c r="N930" s="12">
        <f ca="1"/>
        <v>160.25213150644259</v>
      </c>
      <c r="O930" s="12">
        <f t="shared" ca="1" si="126"/>
        <v>0.46895717828834194</v>
      </c>
    </row>
    <row r="931" spans="2:15" x14ac:dyDescent="0.15">
      <c r="B931" s="6">
        <f t="shared" ca="1" si="119"/>
        <v>-0.85349277082119523</v>
      </c>
      <c r="C931" s="6">
        <f t="shared" ca="1" si="119"/>
        <v>-1.009176517045647</v>
      </c>
      <c r="D931" s="6">
        <f t="shared" ca="1" si="119"/>
        <v>-0.24326820016499207</v>
      </c>
      <c r="E931" s="8">
        <f t="shared" ca="1" si="120"/>
        <v>-1.9432664080438148E-2</v>
      </c>
      <c r="F931" s="8">
        <f t="shared" ca="1" si="121"/>
        <v>-5.4858500023650267E-2</v>
      </c>
      <c r="G931" s="8">
        <f t="shared" ca="1" si="122"/>
        <v>-3.687709585277954E-2</v>
      </c>
      <c r="H931" s="10">
        <f t="shared" ca="1" si="123"/>
        <v>3937.9584210529601</v>
      </c>
      <c r="I931" s="10">
        <f t="shared" ca="1" si="124"/>
        <v>514.15697598713427</v>
      </c>
      <c r="J931" s="10">
        <f t="shared" ca="1" si="125"/>
        <v>2153.5428136731848</v>
      </c>
      <c r="K931" s="12">
        <f t="array" aca="1" ref="K931:L931" ca="1">Opt3Spd(H931:J931,$E$3:$G$3,$K$3:$M$3,$N$3:$P$3,$H$3,$I$3,$Q$3,$J$3)</f>
        <v>213.55065667160875</v>
      </c>
      <c r="L931" s="12">
        <f ca="1"/>
        <v>1.480403465575364E-2</v>
      </c>
      <c r="M931" s="12">
        <f t="array" aca="1" ref="M931:N931" ca="1">Opt3Spd(H931:J931,$E$3:$G$3,$K$3:$M$3,$N$3:$P$3,$H$4,$I$3,$Q$3,$J$3)</f>
        <v>0.13838257020544731</v>
      </c>
      <c r="N931" s="12">
        <f ca="1"/>
        <v>186.60252993325244</v>
      </c>
      <c r="O931" s="12">
        <f t="shared" ca="1" si="126"/>
        <v>0.15318660486120095</v>
      </c>
    </row>
    <row r="932" spans="2:15" x14ac:dyDescent="0.15">
      <c r="B932" s="6">
        <f t="shared" ca="1" si="119"/>
        <v>-0.25710723311136013</v>
      </c>
      <c r="C932" s="6">
        <f t="shared" ca="1" si="119"/>
        <v>0.10397485371236428</v>
      </c>
      <c r="D932" s="6">
        <f t="shared" ca="1" si="119"/>
        <v>-0.53426326834907878</v>
      </c>
      <c r="E932" s="8">
        <f t="shared" ca="1" si="120"/>
        <v>-5.8539201086574583E-3</v>
      </c>
      <c r="F932" s="8">
        <f t="shared" ca="1" si="121"/>
        <v>-7.1467858848650164E-3</v>
      </c>
      <c r="G932" s="8">
        <f t="shared" ca="1" si="122"/>
        <v>-1.4835401307701335E-2</v>
      </c>
      <c r="H932" s="10">
        <f t="shared" ca="1" si="123"/>
        <v>3992.4906568436318</v>
      </c>
      <c r="I932" s="10">
        <f t="shared" ca="1" si="124"/>
        <v>540.11214847863346</v>
      </c>
      <c r="J932" s="10">
        <f t="shared" ca="1" si="125"/>
        <v>2202.8280426759798</v>
      </c>
      <c r="K932" s="12">
        <f t="array" aca="1" ref="K932:L932" ca="1">Opt3Spd(H932:J932,$E$3:$G$3,$K$3:$M$3,$N$3:$P$3,$H$3,$I$3,$Q$3,$J$3)</f>
        <v>201.92598393079675</v>
      </c>
      <c r="L932" s="12">
        <f ca="1"/>
        <v>2.878599096857215E-2</v>
      </c>
      <c r="M932" s="12">
        <f t="array" aca="1" ref="M932:N932" ca="1">Opt3Spd(H932:J932,$E$3:$G$3,$K$3:$M$3,$N$3:$P$3,$H$4,$I$3,$Q$3,$J$3)</f>
        <v>8.5922503214355572E-2</v>
      </c>
      <c r="N932" s="12">
        <f ca="1"/>
        <v>198.18872456338619</v>
      </c>
      <c r="O932" s="12">
        <f t="shared" ca="1" si="126"/>
        <v>0.11470849418292772</v>
      </c>
    </row>
    <row r="933" spans="2:15" x14ac:dyDescent="0.15">
      <c r="B933" s="6">
        <f t="shared" ca="1" si="119"/>
        <v>-0.45628933731430993</v>
      </c>
      <c r="C933" s="6">
        <f t="shared" ca="1" si="119"/>
        <v>-0.72497751425406087</v>
      </c>
      <c r="D933" s="6">
        <f t="shared" ca="1" si="119"/>
        <v>0.2848396928036509</v>
      </c>
      <c r="E933" s="8">
        <f t="shared" ca="1" si="120"/>
        <v>-1.038897776132695E-2</v>
      </c>
      <c r="F933" s="8">
        <f t="shared" ca="1" si="121"/>
        <v>-3.3591519770571482E-2</v>
      </c>
      <c r="G933" s="8">
        <f t="shared" ca="1" si="122"/>
        <v>-1.5833504111742801E-2</v>
      </c>
      <c r="H933" s="10">
        <f t="shared" ca="1" si="123"/>
        <v>3974.2778653105111</v>
      </c>
      <c r="I933" s="10">
        <f t="shared" ca="1" si="124"/>
        <v>525.72621324480906</v>
      </c>
      <c r="J933" s="10">
        <f t="shared" ca="1" si="125"/>
        <v>2200.5962848061431</v>
      </c>
      <c r="K933" s="12">
        <f t="array" aca="1" ref="K933:L933" ca="1">Opt3Spd(H933:J933,$E$3:$G$3,$K$3:$M$3,$N$3:$P$3,$H$3,$I$3,$Q$3,$J$3)</f>
        <v>207.83889086238128</v>
      </c>
      <c r="L933" s="12">
        <f ca="1"/>
        <v>2.1109146636263176E-2</v>
      </c>
      <c r="M933" s="12">
        <f t="array" aca="1" ref="M933:N933" ca="1">Opt3Spd(H933:J933,$E$3:$G$3,$K$3:$M$3,$N$3:$P$3,$H$4,$I$3,$Q$3,$J$3)</f>
        <v>0.11161740729367153</v>
      </c>
      <c r="N933" s="12">
        <f ca="1"/>
        <v>192.29383569154865</v>
      </c>
      <c r="O933" s="12">
        <f t="shared" ca="1" si="126"/>
        <v>0.13272655392993471</v>
      </c>
    </row>
    <row r="934" spans="2:15" x14ac:dyDescent="0.15">
      <c r="B934" s="6">
        <f t="shared" ca="1" si="119"/>
        <v>0.16331985543949262</v>
      </c>
      <c r="C934" s="6">
        <f t="shared" ca="1" si="119"/>
        <v>-0.65547065679967842</v>
      </c>
      <c r="D934" s="6">
        <f t="shared" ca="1" si="119"/>
        <v>-0.35775167927875845</v>
      </c>
      <c r="E934" s="8">
        <f t="shared" ca="1" si="120"/>
        <v>3.718531658291304E-3</v>
      </c>
      <c r="F934" s="8">
        <f t="shared" ca="1" si="121"/>
        <v>-9.0101774817855276E-3</v>
      </c>
      <c r="G934" s="8">
        <f t="shared" ca="1" si="122"/>
        <v>2.8614556484374916E-4</v>
      </c>
      <c r="H934" s="10">
        <f t="shared" ca="1" si="123"/>
        <v>4030.9336231396978</v>
      </c>
      <c r="I934" s="10">
        <f t="shared" ca="1" si="124"/>
        <v>539.09846344990865</v>
      </c>
      <c r="J934" s="10">
        <f t="shared" ca="1" si="125"/>
        <v>2236.6398214829906</v>
      </c>
      <c r="K934" s="12">
        <f t="array" aca="1" ref="K934:L934" ca="1">Opt3Spd(H934:J934,$E$3:$G$3,$K$3:$M$3,$N$3:$P$3,$H$3,$I$3,$Q$3,$J$3)</f>
        <v>225.06523347136135</v>
      </c>
      <c r="L934" s="12">
        <f ca="1"/>
        <v>9.0625930129135668E-3</v>
      </c>
      <c r="M934" s="12">
        <f t="array" aca="1" ref="M934:N934" ca="1">Opt3Spd(H934:J934,$E$3:$G$3,$K$3:$M$3,$N$3:$P$3,$H$4,$I$3,$Q$3,$J$3)</f>
        <v>0.24042885905681644</v>
      </c>
      <c r="N934" s="12">
        <f ca="1"/>
        <v>175.18425798070837</v>
      </c>
      <c r="O934" s="12">
        <f t="shared" ca="1" si="126"/>
        <v>0.24949145206973</v>
      </c>
    </row>
    <row r="935" spans="2:15" x14ac:dyDescent="0.15">
      <c r="B935" s="6">
        <f t="shared" ca="1" si="119"/>
        <v>1.2349793209151305</v>
      </c>
      <c r="C935" s="6">
        <f t="shared" ca="1" si="119"/>
        <v>-1.0849804356075743</v>
      </c>
      <c r="D935" s="6">
        <f t="shared" ca="1" si="119"/>
        <v>0.32347550158326577</v>
      </c>
      <c r="E935" s="8">
        <f t="shared" ca="1" si="120"/>
        <v>2.8118502124558797E-2</v>
      </c>
      <c r="F935" s="8">
        <f t="shared" ca="1" si="121"/>
        <v>2.0867656754841701E-2</v>
      </c>
      <c r="G935" s="8">
        <f t="shared" ca="1" si="122"/>
        <v>4.5667467389307964E-2</v>
      </c>
      <c r="H935" s="10">
        <f t="shared" ca="1" si="123"/>
        <v>4128.9239045322283</v>
      </c>
      <c r="I935" s="10">
        <f t="shared" ca="1" si="124"/>
        <v>555.35200527463383</v>
      </c>
      <c r="J935" s="10">
        <f t="shared" ca="1" si="125"/>
        <v>2338.1124570824927</v>
      </c>
      <c r="K935" s="12">
        <f t="array" aca="1" ref="K935:L935" ca="1">Opt3Spd(H935:J935,$E$3:$G$3,$K$3:$M$3,$N$3:$P$3,$H$3,$I$3,$Q$3,$J$3)</f>
        <v>246.30778078120056</v>
      </c>
      <c r="L935" s="12">
        <f ca="1"/>
        <v>3.3132296330222744E-3</v>
      </c>
      <c r="M935" s="12">
        <f t="array" aca="1" ref="M935:N935" ca="1">Opt3Spd(H935:J935,$E$3:$G$3,$K$3:$M$3,$N$3:$P$3,$H$4,$I$3,$Q$3,$J$3)</f>
        <v>0.58805383803764499</v>
      </c>
      <c r="N935" s="12">
        <f ca="1"/>
        <v>154.2835862864701</v>
      </c>
      <c r="O935" s="12">
        <f t="shared" ca="1" si="126"/>
        <v>0.59136706767066727</v>
      </c>
    </row>
    <row r="936" spans="2:15" x14ac:dyDescent="0.15">
      <c r="B936" s="6">
        <f t="shared" ca="1" si="119"/>
        <v>0.45466295367337184</v>
      </c>
      <c r="C936" s="6">
        <f t="shared" ca="1" si="119"/>
        <v>0.91082735746637955</v>
      </c>
      <c r="D936" s="6">
        <f t="shared" ca="1" si="119"/>
        <v>0.23075522233054505</v>
      </c>
      <c r="E936" s="8">
        <f t="shared" ca="1" si="120"/>
        <v>1.0351947609413817E-2</v>
      </c>
      <c r="F936" s="8">
        <f t="shared" ca="1" si="121"/>
        <v>3.7803600067513758E-2</v>
      </c>
      <c r="G936" s="8">
        <f t="shared" ca="1" si="122"/>
        <v>2.1805930774393384E-2</v>
      </c>
      <c r="H936" s="10">
        <f t="shared" ca="1" si="123"/>
        <v>4057.5734215994057</v>
      </c>
      <c r="I936" s="10">
        <f t="shared" ca="1" si="124"/>
        <v>564.56515843672742</v>
      </c>
      <c r="J936" s="10">
        <f t="shared" ca="1" si="125"/>
        <v>2284.7580612115435</v>
      </c>
      <c r="K936" s="12">
        <f t="array" aca="1" ref="K936:L936" ca="1">Opt3Spd(H936:J936,$E$3:$G$3,$K$3:$M$3,$N$3:$P$3,$H$3,$I$3,$Q$3,$J$3)</f>
        <v>186.95599487584627</v>
      </c>
      <c r="L936" s="12">
        <f ca="1"/>
        <v>6.5857380976240165E-2</v>
      </c>
      <c r="M936" s="12">
        <f t="array" aca="1" ref="M936:N936" ca="1">Opt3Spd(H936:J936,$E$3:$G$3,$K$3:$M$3,$N$3:$P$3,$H$4,$I$3,$Q$3,$J$3)</f>
        <v>4.6381796371242068E-2</v>
      </c>
      <c r="N936" s="12">
        <f ca="1"/>
        <v>213.1562443015012</v>
      </c>
      <c r="O936" s="12">
        <f t="shared" ca="1" si="126"/>
        <v>0.11223917734748223</v>
      </c>
    </row>
    <row r="937" spans="2:15" x14ac:dyDescent="0.15">
      <c r="B937" s="6">
        <f t="shared" ca="1" si="119"/>
        <v>9.2004144885305866E-2</v>
      </c>
      <c r="C937" s="6">
        <f t="shared" ca="1" si="119"/>
        <v>-0.36490461176433842</v>
      </c>
      <c r="D937" s="6">
        <f t="shared" ca="1" si="119"/>
        <v>5.8305369641332108E-2</v>
      </c>
      <c r="E937" s="8">
        <f t="shared" ca="1" si="120"/>
        <v>2.0947870944986228E-3</v>
      </c>
      <c r="F937" s="8">
        <f t="shared" ca="1" si="121"/>
        <v>-4.9758513097981861E-3</v>
      </c>
      <c r="G937" s="8">
        <f t="shared" ca="1" si="122"/>
        <v>2.9419054712039906E-3</v>
      </c>
      <c r="H937" s="10">
        <f t="shared" ca="1" si="123"/>
        <v>4024.4126649715067</v>
      </c>
      <c r="I937" s="10">
        <f t="shared" ca="1" si="124"/>
        <v>541.29313688746981</v>
      </c>
      <c r="J937" s="10">
        <f t="shared" ca="1" si="125"/>
        <v>2242.5781006336124</v>
      </c>
      <c r="K937" s="12">
        <f t="array" aca="1" ref="K937:L937" ca="1">Opt3Spd(H937:J937,$E$3:$G$3,$K$3:$M$3,$N$3:$P$3,$H$3,$I$3,$Q$3,$J$3)</f>
        <v>212.07263063731989</v>
      </c>
      <c r="L937" s="12">
        <f ca="1"/>
        <v>1.8035002570968572E-2</v>
      </c>
      <c r="M937" s="12">
        <f t="array" aca="1" ref="M937:N937" ca="1">Opt3Spd(H937:J937,$E$3:$G$3,$K$3:$M$3,$N$3:$P$3,$H$4,$I$3,$Q$3,$J$3)</f>
        <v>0.13941460315732357</v>
      </c>
      <c r="N937" s="12">
        <f ca="1"/>
        <v>188.0848189684084</v>
      </c>
      <c r="O937" s="12">
        <f t="shared" ca="1" si="126"/>
        <v>0.15744960572829214</v>
      </c>
    </row>
    <row r="938" spans="2:15" x14ac:dyDescent="0.15">
      <c r="B938" s="6">
        <f t="shared" ca="1" si="119"/>
        <v>-1.8023921739649274E-2</v>
      </c>
      <c r="C938" s="6">
        <f t="shared" ca="1" si="119"/>
        <v>0.99382796469214985</v>
      </c>
      <c r="D938" s="6">
        <f t="shared" ca="1" si="119"/>
        <v>1.2233872315477687</v>
      </c>
      <c r="E938" s="8">
        <f t="shared" ca="1" si="120"/>
        <v>-4.1037584447459587E-4</v>
      </c>
      <c r="F938" s="8">
        <f t="shared" ca="1" si="121"/>
        <v>2.2178040661017376E-2</v>
      </c>
      <c r="G938" s="8">
        <f t="shared" ca="1" si="122"/>
        <v>1.5255694781591316E-2</v>
      </c>
      <c r="H938" s="10">
        <f t="shared" ca="1" si="123"/>
        <v>4014.35193060859</v>
      </c>
      <c r="I938" s="10">
        <f t="shared" ca="1" si="124"/>
        <v>556.06485411959352</v>
      </c>
      <c r="J938" s="10">
        <f t="shared" ca="1" si="125"/>
        <v>2270.1117335316385</v>
      </c>
      <c r="K938" s="12">
        <f t="array" aca="1" ref="K938:L938" ca="1">Opt3Spd(H938:J938,$E$3:$G$3,$K$3:$M$3,$N$3:$P$3,$H$3,$I$3,$Q$3,$J$3)</f>
        <v>164.76806313139741</v>
      </c>
      <c r="L938" s="12">
        <f ca="1"/>
        <v>0.17576587997609749</v>
      </c>
      <c r="M938" s="12">
        <f t="array" aca="1" ref="M938:N938" ca="1">Opt3Spd(H938:J938,$E$3:$G$3,$K$3:$M$3,$N$3:$P$3,$H$4,$I$3,$Q$3,$J$3)</f>
        <v>1.4947270380582411E-2</v>
      </c>
      <c r="N938" s="12">
        <f ca="1"/>
        <v>235.42265001895927</v>
      </c>
      <c r="O938" s="12">
        <f t="shared" ca="1" si="126"/>
        <v>0.19071315035667991</v>
      </c>
    </row>
    <row r="939" spans="2:15" x14ac:dyDescent="0.15">
      <c r="B939" s="6">
        <f t="shared" ca="1" si="119"/>
        <v>-6.6763590464550271E-2</v>
      </c>
      <c r="C939" s="6">
        <f t="shared" ca="1" si="119"/>
        <v>0.16980218558152602</v>
      </c>
      <c r="D939" s="6">
        <f t="shared" ca="1" si="119"/>
        <v>-1.1614717227604077</v>
      </c>
      <c r="E939" s="8">
        <f t="shared" ca="1" si="120"/>
        <v>-1.5201000765984812E-3</v>
      </c>
      <c r="F939" s="8">
        <f t="shared" ca="1" si="121"/>
        <v>1.4270006800236924E-3</v>
      </c>
      <c r="G939" s="8">
        <f t="shared" ca="1" si="122"/>
        <v>-1.4333076359697779E-2</v>
      </c>
      <c r="H939" s="10">
        <f t="shared" ca="1" si="123"/>
        <v>4009.8952780923805</v>
      </c>
      <c r="I939" s="10">
        <f t="shared" ca="1" si="124"/>
        <v>544.7762883699329</v>
      </c>
      <c r="J939" s="10">
        <f t="shared" ca="1" si="125"/>
        <v>2203.9512412597155</v>
      </c>
      <c r="K939" s="12">
        <f t="array" aca="1" ref="K939:L939" ca="1">Opt3Spd(H939:J939,$E$3:$G$3,$K$3:$M$3,$N$3:$P$3,$H$3,$I$3,$Q$3,$J$3)</f>
        <v>211.29559648991881</v>
      </c>
      <c r="L939" s="12">
        <f ca="1"/>
        <v>1.8000419288682679E-2</v>
      </c>
      <c r="M939" s="12">
        <f t="array" aca="1" ref="M939:N939" ca="1">Opt3Spd(H939:J939,$E$3:$G$3,$K$3:$M$3,$N$3:$P$3,$H$4,$I$3,$Q$3,$J$3)</f>
        <v>0.13096831744859294</v>
      </c>
      <c r="N939" s="12">
        <f ca="1"/>
        <v>188.85337224681848</v>
      </c>
      <c r="O939" s="12">
        <f t="shared" ca="1" si="126"/>
        <v>0.14896873673727562</v>
      </c>
    </row>
    <row r="940" spans="2:15" x14ac:dyDescent="0.15">
      <c r="B940" s="6">
        <f t="shared" ca="1" si="119"/>
        <v>-0.18795549929180186</v>
      </c>
      <c r="C940" s="6">
        <f t="shared" ca="1" si="119"/>
        <v>0.32322729460845384</v>
      </c>
      <c r="D940" s="6">
        <f t="shared" ca="1" si="119"/>
        <v>-0.18915297594904693</v>
      </c>
      <c r="E940" s="8">
        <f t="shared" ca="1" si="120"/>
        <v>-4.2794458309170624E-3</v>
      </c>
      <c r="F940" s="8">
        <f t="shared" ca="1" si="121"/>
        <v>4.5857923282732564E-4</v>
      </c>
      <c r="G940" s="8">
        <f t="shared" ca="1" si="122"/>
        <v>-7.9819168979382415E-3</v>
      </c>
      <c r="H940" s="10">
        <f t="shared" ca="1" si="123"/>
        <v>3998.8137455430369</v>
      </c>
      <c r="I940" s="10">
        <f t="shared" ca="1" si="124"/>
        <v>544.24946710265806</v>
      </c>
      <c r="J940" s="10">
        <f t="shared" ca="1" si="125"/>
        <v>2218.1524338162099</v>
      </c>
      <c r="K940" s="12">
        <f t="array" aca="1" ref="K940:L940" ca="1">Opt3Spd(H940:J940,$E$3:$G$3,$K$3:$M$3,$N$3:$P$3,$H$3,$I$3,$Q$3,$J$3)</f>
        <v>193.98175407241752</v>
      </c>
      <c r="L940" s="12">
        <f ca="1"/>
        <v>4.3372801738314593E-2</v>
      </c>
      <c r="M940" s="12">
        <f t="array" aca="1" ref="M940:N940" ca="1">Opt3Spd(H940:J940,$E$3:$G$3,$K$3:$M$3,$N$3:$P$3,$H$4,$I$3,$Q$3,$J$3)</f>
        <v>6.033198117205707E-2</v>
      </c>
      <c r="N940" s="12">
        <f ca="1"/>
        <v>206.12195071049285</v>
      </c>
      <c r="O940" s="12">
        <f t="shared" ca="1" si="126"/>
        <v>0.10370478291037166</v>
      </c>
    </row>
    <row r="941" spans="2:15" x14ac:dyDescent="0.15">
      <c r="B941" s="6">
        <f t="shared" ca="1" si="119"/>
        <v>-1.2775101756807341</v>
      </c>
      <c r="C941" s="6">
        <f t="shared" ca="1" si="119"/>
        <v>0.42401020265714329</v>
      </c>
      <c r="D941" s="6">
        <f t="shared" ca="1" si="119"/>
        <v>-0.28037297507543801</v>
      </c>
      <c r="E941" s="8">
        <f t="shared" ca="1" si="120"/>
        <v>-2.9086861602189359E-2</v>
      </c>
      <c r="F941" s="8">
        <f t="shared" ca="1" si="121"/>
        <v>-3.7639988036088992E-2</v>
      </c>
      <c r="G941" s="8">
        <f t="shared" ca="1" si="122"/>
        <v>-4.8689585616998529E-2</v>
      </c>
      <c r="H941" s="10">
        <f t="shared" ca="1" si="123"/>
        <v>3899.1871638056077</v>
      </c>
      <c r="I941" s="10">
        <f t="shared" ca="1" si="124"/>
        <v>523.52384650836757</v>
      </c>
      <c r="J941" s="10">
        <f t="shared" ca="1" si="125"/>
        <v>2127.1300865603912</v>
      </c>
      <c r="K941" s="12">
        <f t="array" aca="1" ref="K941:L941" ca="1">Opt3Spd(H941:J941,$E$3:$G$3,$K$3:$M$3,$N$3:$P$3,$H$3,$I$3,$Q$3,$J$3)</f>
        <v>173.08932486935532</v>
      </c>
      <c r="L941" s="12">
        <f ca="1"/>
        <v>0.10535875733148714</v>
      </c>
      <c r="M941" s="12">
        <f t="array" aca="1" ref="M941:N941" ca="1">Opt3Spd(H941:J941,$E$3:$G$3,$K$3:$M$3,$N$3:$P$3,$H$4,$I$3,$Q$3,$J$3)</f>
        <v>1.9479637982787068E-2</v>
      </c>
      <c r="N941" s="12">
        <f ca="1"/>
        <v>227.03551352595895</v>
      </c>
      <c r="O941" s="12">
        <f t="shared" ca="1" si="126"/>
        <v>0.12483839531427421</v>
      </c>
    </row>
    <row r="942" spans="2:15" x14ac:dyDescent="0.15">
      <c r="B942" s="6">
        <f t="shared" ca="1" si="119"/>
        <v>-0.84002276697345857</v>
      </c>
      <c r="C942" s="6">
        <f t="shared" ca="1" si="119"/>
        <v>-1.1552211471486185</v>
      </c>
      <c r="D942" s="6">
        <f t="shared" ca="1" si="119"/>
        <v>0.19855285566063452</v>
      </c>
      <c r="E942" s="8">
        <f t="shared" ca="1" si="120"/>
        <v>-1.9125973656237576E-2</v>
      </c>
      <c r="F942" s="8">
        <f t="shared" ca="1" si="121"/>
        <v>-5.7716196766590608E-2</v>
      </c>
      <c r="G942" s="8">
        <f t="shared" ca="1" si="122"/>
        <v>-3.2099449393925214E-2</v>
      </c>
      <c r="H942" s="10">
        <f t="shared" ca="1" si="123"/>
        <v>3939.1900897965497</v>
      </c>
      <c r="I942" s="10">
        <f t="shared" ca="1" si="124"/>
        <v>512.60238895897476</v>
      </c>
      <c r="J942" s="10">
        <f t="shared" ca="1" si="125"/>
        <v>2164.2256311551832</v>
      </c>
      <c r="K942" s="12">
        <f t="array" aca="1" ref="K942:L942" ca="1">Opt3Spd(H942:J942,$E$3:$G$3,$K$3:$M$3,$N$3:$P$3,$H$3,$I$3,$Q$3,$J$3)</f>
        <v>211.92975016487344</v>
      </c>
      <c r="L942" s="12">
        <f ca="1"/>
        <v>1.6298280275123034E-2</v>
      </c>
      <c r="M942" s="12">
        <f t="array" aca="1" ref="M942:N942" ca="1">Opt3Spd(H942:J942,$E$3:$G$3,$K$3:$M$3,$N$3:$P$3,$H$4,$I$3,$Q$3,$J$3)</f>
        <v>0.12989705966056064</v>
      </c>
      <c r="N942" s="12">
        <f ca="1"/>
        <v>188.21644517506223</v>
      </c>
      <c r="O942" s="12">
        <f t="shared" ca="1" si="126"/>
        <v>0.14619533993568368</v>
      </c>
    </row>
    <row r="943" spans="2:15" x14ac:dyDescent="0.15">
      <c r="B943" s="6">
        <f t="shared" ca="1" si="119"/>
        <v>0.18786001203109018</v>
      </c>
      <c r="C943" s="6">
        <f t="shared" ca="1" si="119"/>
        <v>0.70391463949538347</v>
      </c>
      <c r="D943" s="6">
        <f t="shared" ca="1" si="119"/>
        <v>-2.0859253134144402</v>
      </c>
      <c r="E943" s="8">
        <f t="shared" ca="1" si="120"/>
        <v>4.2772717388511322E-3</v>
      </c>
      <c r="F943" s="8">
        <f t="shared" ca="1" si="121"/>
        <v>2.3150328206484164E-2</v>
      </c>
      <c r="G943" s="8">
        <f t="shared" ca="1" si="122"/>
        <v>-1.3276360741447803E-2</v>
      </c>
      <c r="H943" s="10">
        <f t="shared" ca="1" si="123"/>
        <v>4033.1775233032258</v>
      </c>
      <c r="I943" s="10">
        <f t="shared" ca="1" si="124"/>
        <v>556.59377854432739</v>
      </c>
      <c r="J943" s="10">
        <f t="shared" ca="1" si="125"/>
        <v>2206.3140573821229</v>
      </c>
      <c r="K943" s="12">
        <f t="array" aca="1" ref="K943:L943" ca="1">Opt3Spd(H943:J943,$E$3:$G$3,$K$3:$M$3,$N$3:$P$3,$H$3,$I$3,$Q$3,$J$3)</f>
        <v>214.4859258059289</v>
      </c>
      <c r="L943" s="12">
        <f ca="1"/>
        <v>1.5476864688253045E-2</v>
      </c>
      <c r="M943" s="12">
        <f t="array" aca="1" ref="M943:N943" ca="1">Opt3Spd(H943:J943,$E$3:$G$3,$K$3:$M$3,$N$3:$P$3,$H$4,$I$3,$Q$3,$J$3)</f>
        <v>0.15132535348731224</v>
      </c>
      <c r="N943" s="12">
        <f ca="1"/>
        <v>185.68087641224668</v>
      </c>
      <c r="O943" s="12">
        <f t="shared" ca="1" si="126"/>
        <v>0.16680221817556529</v>
      </c>
    </row>
    <row r="944" spans="2:15" x14ac:dyDescent="0.15">
      <c r="B944" s="6">
        <f t="shared" ca="1" si="119"/>
        <v>-1.3385461219627675</v>
      </c>
      <c r="C944" s="6">
        <f t="shared" ca="1" si="119"/>
        <v>0.54592099475318001</v>
      </c>
      <c r="D944" s="6">
        <f t="shared" ca="1" si="119"/>
        <v>-0.40150513963329565</v>
      </c>
      <c r="E944" s="8">
        <f t="shared" ca="1" si="120"/>
        <v>-3.0476552389832726E-2</v>
      </c>
      <c r="F944" s="8">
        <f t="shared" ca="1" si="121"/>
        <v>-3.7101480050860461E-2</v>
      </c>
      <c r="G944" s="8">
        <f t="shared" ca="1" si="122"/>
        <v>-5.1868471080620315E-2</v>
      </c>
      <c r="H944" s="10">
        <f t="shared" ca="1" si="123"/>
        <v>3893.6061656024317</v>
      </c>
      <c r="I944" s="10">
        <f t="shared" ca="1" si="124"/>
        <v>523.8167948523319</v>
      </c>
      <c r="J944" s="10">
        <f t="shared" ca="1" si="125"/>
        <v>2120.0220986637328</v>
      </c>
      <c r="K944" s="12">
        <f t="array" aca="1" ref="K944:L944" ca="1">Opt3Spd(H944:J944,$E$3:$G$3,$K$3:$M$3,$N$3:$P$3,$H$3,$I$3,$Q$3,$J$3)</f>
        <v>170.60557036871478</v>
      </c>
      <c r="L944" s="12">
        <f ca="1"/>
        <v>0.11732586188077221</v>
      </c>
      <c r="M944" s="12">
        <f t="array" aca="1" ref="M944:N944" ca="1">Opt3Spd(H944:J944,$E$3:$G$3,$K$3:$M$3,$N$3:$P$3,$H$4,$I$3,$Q$3,$J$3)</f>
        <v>1.6972481017430763E-2</v>
      </c>
      <c r="N944" s="12">
        <f ca="1"/>
        <v>229.52872797418343</v>
      </c>
      <c r="O944" s="12">
        <f t="shared" ca="1" si="126"/>
        <v>0.13429834289820297</v>
      </c>
    </row>
    <row r="945" spans="2:15" x14ac:dyDescent="0.15">
      <c r="B945" s="6">
        <f t="shared" ca="1" si="119"/>
        <v>-1.5750805206886906</v>
      </c>
      <c r="C945" s="6">
        <f t="shared" ca="1" si="119"/>
        <v>1.6716409197703845</v>
      </c>
      <c r="D945" s="6">
        <f t="shared" ca="1" si="119"/>
        <v>-0.88146661050600195</v>
      </c>
      <c r="E945" s="8">
        <f t="shared" ca="1" si="120"/>
        <v>-3.5862061993489625E-2</v>
      </c>
      <c r="F945" s="8">
        <f t="shared" ca="1" si="121"/>
        <v>-1.9996763521957485E-2</v>
      </c>
      <c r="G945" s="8">
        <f t="shared" ca="1" si="122"/>
        <v>-6.2403483706541467E-2</v>
      </c>
      <c r="H945" s="10">
        <f t="shared" ca="1" si="123"/>
        <v>3871.9779590341454</v>
      </c>
      <c r="I945" s="10">
        <f t="shared" ca="1" si="124"/>
        <v>533.12176064405514</v>
      </c>
      <c r="J945" s="10">
        <f t="shared" ca="1" si="125"/>
        <v>2096.4658104321734</v>
      </c>
      <c r="K945" s="12">
        <f t="array" aca="1" ref="K945:L945" ca="1">Opt3Spd(H945:J945,$E$3:$G$3,$K$3:$M$3,$N$3:$P$3,$H$3,$I$3,$Q$3,$J$3)</f>
        <v>146.08827831466078</v>
      </c>
      <c r="L945" s="12">
        <f ca="1"/>
        <v>0.33804152709035407</v>
      </c>
      <c r="M945" s="12">
        <f t="array" aca="1" ref="M945:N945" ca="1">Opt3Spd(H945:J945,$E$3:$G$3,$K$3:$M$3,$N$3:$P$3,$H$4,$I$3,$Q$3,$J$3)</f>
        <v>4.2357575154460259E-3</v>
      </c>
      <c r="N945" s="12">
        <f ca="1"/>
        <v>254.25399896994503</v>
      </c>
      <c r="O945" s="12">
        <f t="shared" ca="1" si="126"/>
        <v>0.34227728460580009</v>
      </c>
    </row>
    <row r="946" spans="2:15" x14ac:dyDescent="0.15">
      <c r="B946" s="6">
        <f t="shared" ca="1" si="119"/>
        <v>-0.76178712144689187</v>
      </c>
      <c r="C946" s="6">
        <f t="shared" ca="1" si="119"/>
        <v>-0.92716484707861913</v>
      </c>
      <c r="D946" s="6">
        <f t="shared" ca="1" si="119"/>
        <v>-1.9625137451516215</v>
      </c>
      <c r="E946" s="8">
        <f t="shared" ca="1" si="120"/>
        <v>-1.7344673250879471E-2</v>
      </c>
      <c r="F946" s="8">
        <f t="shared" ca="1" si="121"/>
        <v>-4.9571489924692083E-2</v>
      </c>
      <c r="G946" s="8">
        <f t="shared" ca="1" si="122"/>
        <v>-5.1585118216294322E-2</v>
      </c>
      <c r="H946" s="10">
        <f t="shared" ca="1" si="123"/>
        <v>3946.343792224468</v>
      </c>
      <c r="I946" s="10">
        <f t="shared" ca="1" si="124"/>
        <v>517.03310948096748</v>
      </c>
      <c r="J946" s="10">
        <f t="shared" ca="1" si="125"/>
        <v>2120.6556756683658</v>
      </c>
      <c r="K946" s="12">
        <f t="array" aca="1" ref="K946:L946" ca="1">Opt3Spd(H946:J946,$E$3:$G$3,$K$3:$M$3,$N$3:$P$3,$H$3,$I$3,$Q$3,$J$3)</f>
        <v>233.7677488369668</v>
      </c>
      <c r="L946" s="12">
        <f ca="1"/>
        <v>4.7696162296233524E-3</v>
      </c>
      <c r="M946" s="12">
        <f t="array" aca="1" ref="M946:N946" ca="1">Opt3Spd(H946:J946,$E$3:$G$3,$K$3:$M$3,$N$3:$P$3,$H$4,$I$3,$Q$3,$J$3)</f>
        <v>0.31691656527484824</v>
      </c>
      <c r="N946" s="12">
        <f ca="1"/>
        <v>166.55393734453767</v>
      </c>
      <c r="O946" s="12">
        <f t="shared" ca="1" si="126"/>
        <v>0.32168618150447159</v>
      </c>
    </row>
    <row r="947" spans="2:15" x14ac:dyDescent="0.15">
      <c r="B947" s="6">
        <f t="shared" ca="1" si="119"/>
        <v>-0.49009917101001471</v>
      </c>
      <c r="C947" s="6">
        <f t="shared" ca="1" si="119"/>
        <v>-0.11390911285042664</v>
      </c>
      <c r="D947" s="6">
        <f t="shared" ca="1" si="119"/>
        <v>1.0164946953995202</v>
      </c>
      <c r="E947" s="8">
        <f t="shared" ca="1" si="120"/>
        <v>-1.1158773550214485E-2</v>
      </c>
      <c r="F947" s="8">
        <f t="shared" ca="1" si="121"/>
        <v>-2.0798101222000587E-2</v>
      </c>
      <c r="G947" s="8">
        <f t="shared" ca="1" si="122"/>
        <v>-7.507348109087467E-3</v>
      </c>
      <c r="H947" s="10">
        <f t="shared" ca="1" si="123"/>
        <v>3971.1863654223389</v>
      </c>
      <c r="I947" s="10">
        <f t="shared" ca="1" si="124"/>
        <v>532.6858329352317</v>
      </c>
      <c r="J947" s="10">
        <f t="shared" ca="1" si="125"/>
        <v>2219.2135696280802</v>
      </c>
      <c r="K947" s="12">
        <f t="array" aca="1" ref="K947:L947" ca="1">Opt3Spd(H947:J947,$E$3:$G$3,$K$3:$M$3,$N$3:$P$3,$H$3,$I$3,$Q$3,$J$3)</f>
        <v>184.3504690028758</v>
      </c>
      <c r="L947" s="12">
        <f ca="1"/>
        <v>6.822109094764528E-2</v>
      </c>
      <c r="M947" s="12">
        <f t="array" aca="1" ref="M947:N947" ca="1">Opt3Spd(H947:J947,$E$3:$G$3,$K$3:$M$3,$N$3:$P$3,$H$4,$I$3,$Q$3,$J$3)</f>
        <v>3.7878616248964825E-2</v>
      </c>
      <c r="N947" s="12">
        <f ca="1"/>
        <v>215.75563070432082</v>
      </c>
      <c r="O947" s="12">
        <f t="shared" ca="1" si="126"/>
        <v>0.1060997071966101</v>
      </c>
    </row>
    <row r="948" spans="2:15" x14ac:dyDescent="0.15">
      <c r="B948" s="6">
        <f t="shared" ca="1" si="119"/>
        <v>-0.84382278026834034</v>
      </c>
      <c r="C948" s="6">
        <f t="shared" ca="1" si="119"/>
        <v>1.2077265423114694</v>
      </c>
      <c r="D948" s="6">
        <f t="shared" ca="1" si="119"/>
        <v>-8.008622859506688E-2</v>
      </c>
      <c r="E948" s="8">
        <f t="shared" ca="1" si="120"/>
        <v>-1.9212493875722957E-2</v>
      </c>
      <c r="F948" s="8">
        <f t="shared" ca="1" si="121"/>
        <v>-3.5365364618891006E-3</v>
      </c>
      <c r="G948" s="8">
        <f t="shared" ca="1" si="122"/>
        <v>-2.8347844657065566E-2</v>
      </c>
      <c r="H948" s="10">
        <f t="shared" ca="1" si="123"/>
        <v>3938.8426245950964</v>
      </c>
      <c r="I948" s="10">
        <f t="shared" ca="1" si="124"/>
        <v>542.07612416473228</v>
      </c>
      <c r="J948" s="10">
        <f t="shared" ca="1" si="125"/>
        <v>2172.6142193468013</v>
      </c>
      <c r="K948" s="12">
        <f t="array" aca="1" ref="K948:L948" ca="1">Opt3Spd(H948:J948,$E$3:$G$3,$K$3:$M$3,$N$3:$P$3,$H$3,$I$3,$Q$3,$J$3)</f>
        <v>160.40856570144615</v>
      </c>
      <c r="L948" s="12">
        <f ca="1"/>
        <v>0.19484944332225496</v>
      </c>
      <c r="M948" s="12">
        <f t="array" aca="1" ref="M948:N948" ca="1">Opt3Spd(H948:J948,$E$3:$G$3,$K$3:$M$3,$N$3:$P$3,$H$4,$I$3,$Q$3,$J$3)</f>
        <v>1.0506060993559219E-2</v>
      </c>
      <c r="N948" s="12">
        <f ca="1"/>
        <v>239.79678980286965</v>
      </c>
      <c r="O948" s="12">
        <f t="shared" ca="1" si="126"/>
        <v>0.20535550431581417</v>
      </c>
    </row>
    <row r="949" spans="2:15" x14ac:dyDescent="0.15">
      <c r="B949" s="6">
        <f t="shared" ca="1" si="119"/>
        <v>0.11282952083668825</v>
      </c>
      <c r="C949" s="6">
        <f t="shared" ca="1" si="119"/>
        <v>-0.90213471799837974</v>
      </c>
      <c r="D949" s="6">
        <f t="shared" ca="1" si="119"/>
        <v>0.97352015568161943</v>
      </c>
      <c r="E949" s="8">
        <f t="shared" ca="1" si="120"/>
        <v>2.5689475666754061E-3</v>
      </c>
      <c r="F949" s="8">
        <f t="shared" ca="1" si="121"/>
        <v>-1.6553477625728799E-2</v>
      </c>
      <c r="G949" s="8">
        <f t="shared" ca="1" si="122"/>
        <v>1.1897265438999695E-2</v>
      </c>
      <c r="H949" s="10">
        <f t="shared" ca="1" si="123"/>
        <v>4026.3168934277687</v>
      </c>
      <c r="I949" s="10">
        <f t="shared" ca="1" si="124"/>
        <v>534.99490817160358</v>
      </c>
      <c r="J949" s="10">
        <f t="shared" ca="1" si="125"/>
        <v>2262.6022855216033</v>
      </c>
      <c r="K949" s="12">
        <f t="array" aca="1" ref="K949:L949" ca="1">Opt3Spd(H949:J949,$E$3:$G$3,$K$3:$M$3,$N$3:$P$3,$H$3,$I$3,$Q$3,$J$3)</f>
        <v>214.04050369250263</v>
      </c>
      <c r="L949" s="12">
        <f ca="1"/>
        <v>1.6606100101398624E-2</v>
      </c>
      <c r="M949" s="12">
        <f t="array" aca="1" ref="M949:N949" ca="1">Opt3Spd(H949:J949,$E$3:$G$3,$K$3:$M$3,$N$3:$P$3,$H$4,$I$3,$Q$3,$J$3)</f>
        <v>0.1538645831501384</v>
      </c>
      <c r="N949" s="12">
        <f ca="1"/>
        <v>186.12996699074893</v>
      </c>
      <c r="O949" s="12">
        <f t="shared" ca="1" si="126"/>
        <v>0.17047068325153703</v>
      </c>
    </row>
    <row r="950" spans="2:15" x14ac:dyDescent="0.15">
      <c r="B950" s="6">
        <f t="shared" ca="1" si="119"/>
        <v>0.55176053003054959</v>
      </c>
      <c r="C950" s="6">
        <f t="shared" ca="1" si="119"/>
        <v>-0.47120640504808287</v>
      </c>
      <c r="D950" s="6">
        <f t="shared" ca="1" si="119"/>
        <v>-0.58672945552846156</v>
      </c>
      <c r="E950" s="8">
        <f t="shared" ca="1" si="120"/>
        <v>1.2562703984723554E-2</v>
      </c>
      <c r="F950" s="8">
        <f t="shared" ca="1" si="121"/>
        <v>9.6344114880604625E-3</v>
      </c>
      <c r="G950" s="8">
        <f t="shared" ca="1" si="122"/>
        <v>1.2652425317578337E-2</v>
      </c>
      <c r="H950" s="10">
        <f t="shared" ca="1" si="123"/>
        <v>4066.4518192026499</v>
      </c>
      <c r="I950" s="10">
        <f t="shared" ca="1" si="124"/>
        <v>549.24111984950491</v>
      </c>
      <c r="J950" s="10">
        <f t="shared" ca="1" si="125"/>
        <v>2264.2908230101052</v>
      </c>
      <c r="K950" s="12">
        <f t="array" aca="1" ref="K950:L950" ca="1">Opt3Spd(H950:J950,$E$3:$G$3,$K$3:$M$3,$N$3:$P$3,$H$3,$I$3,$Q$3,$J$3)</f>
        <v>230.52768599909223</v>
      </c>
      <c r="L950" s="12">
        <f ca="1"/>
        <v>7.0700607025173667E-3</v>
      </c>
      <c r="M950" s="12">
        <f t="array" aca="1" ref="M950:N950" ca="1">Opt3Spd(H950:J950,$E$3:$G$3,$K$3:$M$3,$N$3:$P$3,$H$4,$I$3,$Q$3,$J$3)</f>
        <v>0.30634288288990419</v>
      </c>
      <c r="N950" s="12">
        <f ca="1"/>
        <v>169.7857269445002</v>
      </c>
      <c r="O950" s="12">
        <f t="shared" ca="1" si="126"/>
        <v>0.31341294359242156</v>
      </c>
    </row>
    <row r="951" spans="2:15" x14ac:dyDescent="0.15">
      <c r="B951" s="6">
        <f t="shared" ca="1" si="119"/>
        <v>7.0188785211285579E-3</v>
      </c>
      <c r="C951" s="6">
        <f t="shared" ca="1" si="119"/>
        <v>0.5481834352038244</v>
      </c>
      <c r="D951" s="6">
        <f t="shared" ca="1" si="119"/>
        <v>0.7331970623042966</v>
      </c>
      <c r="E951" s="8">
        <f t="shared" ca="1" si="120"/>
        <v>1.5980862777696369E-4</v>
      </c>
      <c r="F951" s="8">
        <f t="shared" ca="1" si="121"/>
        <v>1.2862268212787208E-2</v>
      </c>
      <c r="G951" s="8">
        <f t="shared" ca="1" si="122"/>
        <v>9.6600109125964707E-3</v>
      </c>
      <c r="H951" s="10">
        <f t="shared" ca="1" si="123"/>
        <v>4016.6417914491522</v>
      </c>
      <c r="I951" s="10">
        <f t="shared" ca="1" si="124"/>
        <v>550.9970739077562</v>
      </c>
      <c r="J951" s="10">
        <f t="shared" ca="1" si="125"/>
        <v>2257.5997844005656</v>
      </c>
      <c r="K951" s="12">
        <f t="array" aca="1" ref="K951:L951" ca="1">Opt3Spd(H951:J951,$E$3:$G$3,$K$3:$M$3,$N$3:$P$3,$H$3,$I$3,$Q$3,$J$3)</f>
        <v>181.32901100715094</v>
      </c>
      <c r="L951" s="12">
        <f ca="1"/>
        <v>8.2430010691496136E-2</v>
      </c>
      <c r="M951" s="12">
        <f t="array" aca="1" ref="M951:N951" ca="1">Opt3Spd(H951:J951,$E$3:$G$3,$K$3:$M$3,$N$3:$P$3,$H$4,$I$3,$Q$3,$J$3)</f>
        <v>3.4148606836181372E-2</v>
      </c>
      <c r="N951" s="12">
        <f ca="1"/>
        <v>218.78756761037673</v>
      </c>
      <c r="O951" s="12">
        <f t="shared" ca="1" si="126"/>
        <v>0.11657861752767751</v>
      </c>
    </row>
    <row r="952" spans="2:15" x14ac:dyDescent="0.15">
      <c r="B952" s="6">
        <f t="shared" ca="1" si="119"/>
        <v>-0.64304909606423555</v>
      </c>
      <c r="C952" s="6">
        <f t="shared" ca="1" si="119"/>
        <v>-1.221322255239929</v>
      </c>
      <c r="D952" s="6">
        <f t="shared" ca="1" si="119"/>
        <v>0.46963078749762888</v>
      </c>
      <c r="E952" s="8">
        <f t="shared" ca="1" si="120"/>
        <v>-1.4641198494302897E-2</v>
      </c>
      <c r="F952" s="8">
        <f t="shared" ca="1" si="121"/>
        <v>-5.192931569849335E-2</v>
      </c>
      <c r="G952" s="8">
        <f t="shared" ca="1" si="122"/>
        <v>-2.2167038691302109E-2</v>
      </c>
      <c r="H952" s="10">
        <f t="shared" ca="1" si="123"/>
        <v>3957.2009468468796</v>
      </c>
      <c r="I952" s="10">
        <f t="shared" ca="1" si="124"/>
        <v>515.75045226001964</v>
      </c>
      <c r="J952" s="10">
        <f t="shared" ca="1" si="125"/>
        <v>2186.4345014862483</v>
      </c>
      <c r="K952" s="12">
        <f t="array" aca="1" ref="K952:L952" ca="1">Opt3Spd(H952:J952,$E$3:$G$3,$K$3:$M$3,$N$3:$P$3,$H$3,$I$3,$Q$3,$J$3)</f>
        <v>213.7981731149323</v>
      </c>
      <c r="L952" s="12">
        <f ca="1"/>
        <v>1.5200627208514561E-2</v>
      </c>
      <c r="M952" s="12">
        <f t="array" aca="1" ref="M952:N952" ca="1">Opt3Spd(H952:J952,$E$3:$G$3,$K$3:$M$3,$N$3:$P$3,$H$4,$I$3,$Q$3,$J$3)</f>
        <v>0.14341188461087739</v>
      </c>
      <c r="N952" s="12">
        <f ca="1"/>
        <v>186.3604393968871</v>
      </c>
      <c r="O952" s="12">
        <f t="shared" ca="1" si="126"/>
        <v>0.15861251181939195</v>
      </c>
    </row>
    <row r="953" spans="2:15" x14ac:dyDescent="0.15">
      <c r="B953" s="6">
        <f t="shared" ca="1" si="119"/>
        <v>-0.19891770466798472</v>
      </c>
      <c r="C953" s="6">
        <f t="shared" ca="1" si="119"/>
        <v>-0.56501456382533832</v>
      </c>
      <c r="D953" s="6">
        <f t="shared" ca="1" si="119"/>
        <v>0.59749570389790407</v>
      </c>
      <c r="E953" s="8">
        <f t="shared" ca="1" si="120"/>
        <v>-4.5290376985214834E-3</v>
      </c>
      <c r="F953" s="8">
        <f t="shared" ca="1" si="121"/>
        <v>-2.0367392925777127E-2</v>
      </c>
      <c r="G953" s="8">
        <f t="shared" ca="1" si="122"/>
        <v>-2.5829795943284545E-3</v>
      </c>
      <c r="H953" s="10">
        <f t="shared" ca="1" si="123"/>
        <v>3997.8113846027377</v>
      </c>
      <c r="I953" s="10">
        <f t="shared" ca="1" si="124"/>
        <v>532.92013824837727</v>
      </c>
      <c r="J953" s="10">
        <f t="shared" ca="1" si="125"/>
        <v>2230.2244576270818</v>
      </c>
      <c r="K953" s="12">
        <f t="array" aca="1" ref="K953:L953" ca="1">Opt3Spd(H953:J953,$E$3:$G$3,$K$3:$M$3,$N$3:$P$3,$H$3,$I$3,$Q$3,$J$3)</f>
        <v>205.05216723121293</v>
      </c>
      <c r="L953" s="12">
        <f ca="1"/>
        <v>2.5232639419982661E-2</v>
      </c>
      <c r="M953" s="12">
        <f t="array" aca="1" ref="M953:N953" ca="1">Opt3Spd(H953:J953,$E$3:$G$3,$K$3:$M$3,$N$3:$P$3,$H$4,$I$3,$Q$3,$J$3)</f>
        <v>0.10104031092956767</v>
      </c>
      <c r="N953" s="12">
        <f ca="1"/>
        <v>195.07410571913661</v>
      </c>
      <c r="O953" s="12">
        <f t="shared" ca="1" si="126"/>
        <v>0.12627295034955033</v>
      </c>
    </row>
    <row r="954" spans="2:15" x14ac:dyDescent="0.15">
      <c r="B954" s="6">
        <f t="shared" ca="1" si="119"/>
        <v>-0.97587449429518236</v>
      </c>
      <c r="C954" s="6">
        <f t="shared" ca="1" si="119"/>
        <v>1.5097816128365822</v>
      </c>
      <c r="D954" s="6">
        <f t="shared" ca="1" si="119"/>
        <v>2.4803087578018852</v>
      </c>
      <c r="E954" s="8">
        <f t="shared" ca="1" si="120"/>
        <v>-2.2219100009551941E-2</v>
      </c>
      <c r="F954" s="8">
        <f t="shared" ca="1" si="121"/>
        <v>-1.491006834995064E-3</v>
      </c>
      <c r="G954" s="8">
        <f t="shared" ca="1" si="122"/>
        <v>-5.0463257902674148E-3</v>
      </c>
      <c r="H954" s="10">
        <f t="shared" ca="1" si="123"/>
        <v>3926.7680943616392</v>
      </c>
      <c r="I954" s="10">
        <f t="shared" ca="1" si="124"/>
        <v>543.18889228176272</v>
      </c>
      <c r="J954" s="10">
        <f t="shared" ca="1" si="125"/>
        <v>2224.7164155329619</v>
      </c>
      <c r="K954" s="12">
        <f t="array" aca="1" ref="K954:L954" ca="1">Opt3Spd(H954:J954,$E$3:$G$3,$K$3:$M$3,$N$3:$P$3,$H$3,$I$3,$Q$3,$J$3)</f>
        <v>121.29442563679163</v>
      </c>
      <c r="L954" s="12">
        <f ca="1"/>
        <v>0.98676669245401172</v>
      </c>
      <c r="M954" s="12">
        <f t="array" aca="1" ref="M954:N954" ca="1">Opt3Spd(H954:J954,$E$3:$G$3,$K$3:$M$3,$N$3:$P$3,$H$4,$I$3,$Q$3,$J$3)</f>
        <v>1.1177746387831811E-3</v>
      </c>
      <c r="N954" s="12">
        <f ca="1"/>
        <v>279.69345883030115</v>
      </c>
      <c r="O954" s="12">
        <f t="shared" ca="1" si="126"/>
        <v>0.98788446709279487</v>
      </c>
    </row>
    <row r="955" spans="2:15" x14ac:dyDescent="0.15">
      <c r="B955" s="6">
        <f t="shared" ca="1" si="119"/>
        <v>-1.8606271798614609</v>
      </c>
      <c r="C955" s="6">
        <f t="shared" ca="1" si="119"/>
        <v>-0.38156871035530354</v>
      </c>
      <c r="D955" s="6">
        <f t="shared" ca="1" si="119"/>
        <v>1.0879672076653608</v>
      </c>
      <c r="E955" s="8">
        <f t="shared" ca="1" si="120"/>
        <v>-4.2363502306401533E-2</v>
      </c>
      <c r="F955" s="8">
        <f t="shared" ca="1" si="121"/>
        <v>-7.7788897041289856E-2</v>
      </c>
      <c r="G955" s="8">
        <f t="shared" ca="1" si="122"/>
        <v>-5.7873925837140225E-2</v>
      </c>
      <c r="H955" s="10">
        <f t="shared" ca="1" si="123"/>
        <v>3845.8681747374917</v>
      </c>
      <c r="I955" s="10">
        <f t="shared" ca="1" si="124"/>
        <v>501.68284000953832</v>
      </c>
      <c r="J955" s="10">
        <f t="shared" ca="1" si="125"/>
        <v>2106.5939018281542</v>
      </c>
      <c r="K955" s="12">
        <f t="array" aca="1" ref="K955:L955" ca="1">Opt3Spd(H955:J955,$E$3:$G$3,$K$3:$M$3,$N$3:$P$3,$H$3,$I$3,$Q$3,$J$3)</f>
        <v>165.02674632253184</v>
      </c>
      <c r="L955" s="12">
        <f ca="1"/>
        <v>0.14806651437856999</v>
      </c>
      <c r="M955" s="12">
        <f t="array" aca="1" ref="M955:N955" ca="1">Opt3Spd(H955:J955,$E$3:$G$3,$K$3:$M$3,$N$3:$P$3,$H$4,$I$3,$Q$3,$J$3)</f>
        <v>1.235582354464082E-2</v>
      </c>
      <c r="N955" s="12">
        <f ca="1"/>
        <v>235.13367601539139</v>
      </c>
      <c r="O955" s="12">
        <f t="shared" ca="1" si="126"/>
        <v>0.16042233792321081</v>
      </c>
    </row>
    <row r="956" spans="2:15" x14ac:dyDescent="0.15">
      <c r="B956" s="6">
        <f t="shared" ca="1" si="119"/>
        <v>-0.34483090549584083</v>
      </c>
      <c r="C956" s="6">
        <f t="shared" ca="1" si="119"/>
        <v>1.0970489848082452</v>
      </c>
      <c r="D956" s="6">
        <f t="shared" ca="1" si="119"/>
        <v>0.34856509016196635</v>
      </c>
      <c r="E956" s="8">
        <f t="shared" ca="1" si="120"/>
        <v>-7.8512476966929451E-3</v>
      </c>
      <c r="F956" s="8">
        <f t="shared" ca="1" si="121"/>
        <v>1.2428516392474939E-2</v>
      </c>
      <c r="G956" s="8">
        <f t="shared" ca="1" si="122"/>
        <v>-5.7705425679254463E-3</v>
      </c>
      <c r="H956" s="10">
        <f t="shared" ca="1" si="123"/>
        <v>3984.4693892500809</v>
      </c>
      <c r="I956" s="10">
        <f t="shared" ca="1" si="124"/>
        <v>550.76111291750635</v>
      </c>
      <c r="J956" s="10">
        <f t="shared" ca="1" si="125"/>
        <v>2223.0970668181189</v>
      </c>
      <c r="K956" s="12">
        <f t="array" aca="1" ref="K956:L956" ca="1">Opt3Spd(H956:J956,$E$3:$G$3,$K$3:$M$3,$N$3:$P$3,$H$3,$I$3,$Q$3,$J$3)</f>
        <v>166.85685310710187</v>
      </c>
      <c r="L956" s="12">
        <f ca="1"/>
        <v>0.15377793409061269</v>
      </c>
      <c r="M956" s="12">
        <f t="array" aca="1" ref="M956:N956" ca="1">Opt3Spd(H956:J956,$E$3:$G$3,$K$3:$M$3,$N$3:$P$3,$H$4,$I$3,$Q$3,$J$3)</f>
        <v>1.5782612117576367E-2</v>
      </c>
      <c r="N956" s="12">
        <f ca="1"/>
        <v>233.31270743910633</v>
      </c>
      <c r="O956" s="12">
        <f t="shared" ca="1" si="126"/>
        <v>0.16956054620818906</v>
      </c>
    </row>
    <row r="957" spans="2:15" x14ac:dyDescent="0.15">
      <c r="B957" s="6">
        <f t="shared" ca="1" si="119"/>
        <v>-0.15290650183479582</v>
      </c>
      <c r="C957" s="6">
        <f t="shared" ca="1" si="119"/>
        <v>-0.12306716097270955</v>
      </c>
      <c r="D957" s="6">
        <f t="shared" ca="1" si="119"/>
        <v>-0.82225017498923125</v>
      </c>
      <c r="E957" s="8">
        <f t="shared" ca="1" si="120"/>
        <v>-3.4814362668960249E-3</v>
      </c>
      <c r="F957" s="8">
        <f t="shared" ca="1" si="121"/>
        <v>-8.5009689941774672E-3</v>
      </c>
      <c r="G957" s="8">
        <f t="shared" ca="1" si="122"/>
        <v>-1.4734272430071551E-2</v>
      </c>
      <c r="H957" s="10">
        <f t="shared" ca="1" si="123"/>
        <v>4002.0185519521456</v>
      </c>
      <c r="I957" s="10">
        <f t="shared" ca="1" si="124"/>
        <v>539.37547286716745</v>
      </c>
      <c r="J957" s="10">
        <f t="shared" ca="1" si="125"/>
        <v>2203.0541668463602</v>
      </c>
      <c r="K957" s="12">
        <f t="array" aca="1" ref="K957:L957" ca="1">Opt3Spd(H957:J957,$E$3:$G$3,$K$3:$M$3,$N$3:$P$3,$H$3,$I$3,$Q$3,$J$3)</f>
        <v>212.50753240208314</v>
      </c>
      <c r="L957" s="12">
        <f ca="1"/>
        <v>1.682046058567721E-2</v>
      </c>
      <c r="M957" s="12">
        <f t="array" aca="1" ref="M957:N957" ca="1">Opt3Spd(H957:J957,$E$3:$G$3,$K$3:$M$3,$N$3:$P$3,$H$4,$I$3,$Q$3,$J$3)</f>
        <v>0.13780583258004597</v>
      </c>
      <c r="N957" s="12">
        <f ca="1"/>
        <v>187.64709389108259</v>
      </c>
      <c r="O957" s="12">
        <f t="shared" ca="1" si="126"/>
        <v>0.15462629316572318</v>
      </c>
    </row>
    <row r="958" spans="2:15" x14ac:dyDescent="0.15">
      <c r="B958" s="6">
        <f t="shared" ca="1" si="119"/>
        <v>2.4054179630103305</v>
      </c>
      <c r="C958" s="6">
        <f t="shared" ca="1" si="119"/>
        <v>0.23370510737196848</v>
      </c>
      <c r="D958" s="6">
        <f t="shared" ca="1" si="119"/>
        <v>-1.3706805207351864</v>
      </c>
      <c r="E958" s="8">
        <f t="shared" ca="1" si="120"/>
        <v>5.4767516312126133E-2</v>
      </c>
      <c r="F958" s="8">
        <f t="shared" ca="1" si="121"/>
        <v>9.4597941180420975E-2</v>
      </c>
      <c r="G958" s="8">
        <f t="shared" ca="1" si="122"/>
        <v>7.444764922837524E-2</v>
      </c>
      <c r="H958" s="10">
        <f t="shared" ca="1" si="123"/>
        <v>4235.9463455094983</v>
      </c>
      <c r="I958" s="10">
        <f t="shared" ca="1" si="124"/>
        <v>595.46128000214901</v>
      </c>
      <c r="J958" s="10">
        <f t="shared" ca="1" si="125"/>
        <v>2402.4649436746467</v>
      </c>
      <c r="K958" s="12">
        <f t="array" aca="1" ref="K958:L958" ca="1">Opt3Spd(H958:J958,$E$3:$G$3,$K$3:$M$3,$N$3:$P$3,$H$3,$I$3,$Q$3,$J$3)</f>
        <v>256.97795032209865</v>
      </c>
      <c r="L958" s="12">
        <f ca="1"/>
        <v>2.1246533622161223E-3</v>
      </c>
      <c r="M958" s="12">
        <f t="array" aca="1" ref="M958:N958" ca="1">Opt3Spd(H958:J958,$E$3:$G$3,$K$3:$M$3,$N$3:$P$3,$H$4,$I$3,$Q$3,$J$3)</f>
        <v>0.9020912732363513</v>
      </c>
      <c r="N958" s="12">
        <f ca="1"/>
        <v>143.92626560449992</v>
      </c>
      <c r="O958" s="12">
        <f t="shared" ca="1" si="126"/>
        <v>0.90421592659856742</v>
      </c>
    </row>
    <row r="959" spans="2:15" x14ac:dyDescent="0.15">
      <c r="B959" s="6">
        <f t="shared" ca="1" si="119"/>
        <v>0.62989452971964743</v>
      </c>
      <c r="C959" s="6">
        <f t="shared" ca="1" si="119"/>
        <v>-0.51007557649680491</v>
      </c>
      <c r="D959" s="6">
        <f t="shared" ca="1" si="119"/>
        <v>0.75152754470940153</v>
      </c>
      <c r="E959" s="8">
        <f t="shared" ca="1" si="120"/>
        <v>1.4341690077081901E-2</v>
      </c>
      <c r="F959" s="8">
        <f t="shared" ca="1" si="121"/>
        <v>1.1639132494150101E-2</v>
      </c>
      <c r="G959" s="8">
        <f t="shared" ca="1" si="122"/>
        <v>2.9666629924338682E-2</v>
      </c>
      <c r="H959" s="10">
        <f t="shared" ca="1" si="123"/>
        <v>4073.5962273495606</v>
      </c>
      <c r="I959" s="10">
        <f t="shared" ca="1" si="124"/>
        <v>550.33168807681761</v>
      </c>
      <c r="J959" s="10">
        <f t="shared" ca="1" si="125"/>
        <v>2302.3345845108211</v>
      </c>
      <c r="K959" s="12">
        <f t="array" aca="1" ref="K959:L959" ca="1">Opt3Spd(H959:J959,$E$3:$G$3,$K$3:$M$3,$N$3:$P$3,$H$3,$I$3,$Q$3,$J$3)</f>
        <v>216.91344107844679</v>
      </c>
      <c r="L959" s="12">
        <f ca="1"/>
        <v>1.5206907204856179E-2</v>
      </c>
      <c r="M959" s="12">
        <f t="array" aca="1" ref="M959:N959" ca="1">Opt3Spd(H959:J959,$E$3:$G$3,$K$3:$M$3,$N$3:$P$3,$H$4,$I$3,$Q$3,$J$3)</f>
        <v>0.17977258711896127</v>
      </c>
      <c r="N959" s="12">
        <f ca="1"/>
        <v>183.28153841587704</v>
      </c>
      <c r="O959" s="12">
        <f t="shared" ca="1" si="126"/>
        <v>0.19497949432381745</v>
      </c>
    </row>
    <row r="960" spans="2:15" x14ac:dyDescent="0.15">
      <c r="B960" s="6">
        <f t="shared" ref="B960:D1023" ca="1" si="127">NORMINV(RAND(),0,1)</f>
        <v>-2.6181404415370224</v>
      </c>
      <c r="C960" s="6">
        <f t="shared" ca="1" si="127"/>
        <v>-0.90306900525389344</v>
      </c>
      <c r="D960" s="6">
        <f t="shared" ca="1" si="127"/>
        <v>-0.85081161099492031</v>
      </c>
      <c r="E960" s="8">
        <f t="shared" ca="1" si="120"/>
        <v>-5.9610866612082494E-2</v>
      </c>
      <c r="F960" s="8">
        <f t="shared" ca="1" si="121"/>
        <v>-0.11787623608517452</v>
      </c>
      <c r="G960" s="8">
        <f t="shared" ca="1" si="122"/>
        <v>-0.10787154754620137</v>
      </c>
      <c r="H960" s="10">
        <f t="shared" ca="1" si="123"/>
        <v>3776.6027596858767</v>
      </c>
      <c r="I960" s="10">
        <f t="shared" ca="1" si="124"/>
        <v>479.87532756966505</v>
      </c>
      <c r="J960" s="10">
        <f t="shared" ca="1" si="125"/>
        <v>1994.799219686694</v>
      </c>
      <c r="K960" s="12">
        <f t="array" aca="1" ref="K960:L960" ca="1">Opt3Spd(H960:J960,$E$3:$G$3,$K$3:$M$3,$N$3:$P$3,$H$3,$I$3,$Q$3,$J$3)</f>
        <v>186.45154202216077</v>
      </c>
      <c r="L960" s="12">
        <f ca="1"/>
        <v>4.8916291095338238E-2</v>
      </c>
      <c r="M960" s="12">
        <f t="array" aca="1" ref="M960:N960" ca="1">Opt3Spd(H960:J960,$E$3:$G$3,$K$3:$M$3,$N$3:$P$3,$H$4,$I$3,$Q$3,$J$3)</f>
        <v>3.3782176298549516E-2</v>
      </c>
      <c r="N960" s="12">
        <f ca="1"/>
        <v>213.63115644523313</v>
      </c>
      <c r="O960" s="12">
        <f t="shared" ca="1" si="126"/>
        <v>8.2698467393887753E-2</v>
      </c>
    </row>
    <row r="961" spans="2:15" x14ac:dyDescent="0.15">
      <c r="B961" s="6">
        <f t="shared" ca="1" si="127"/>
        <v>-0.73526842340681853</v>
      </c>
      <c r="C961" s="6">
        <f t="shared" ca="1" si="127"/>
        <v>-0.84782259497937473</v>
      </c>
      <c r="D961" s="6">
        <f t="shared" ca="1" si="127"/>
        <v>0.11251729000931214</v>
      </c>
      <c r="E961" s="8">
        <f t="shared" ca="1" si="120"/>
        <v>-1.6740884948879573E-2</v>
      </c>
      <c r="F961" s="8">
        <f t="shared" ca="1" si="121"/>
        <v>-4.6763859015190194E-2</v>
      </c>
      <c r="G961" s="8">
        <f t="shared" ca="1" si="122"/>
        <v>-2.827511767481181E-2</v>
      </c>
      <c r="H961" s="10">
        <f t="shared" ca="1" si="123"/>
        <v>3948.7686060452997</v>
      </c>
      <c r="I961" s="10">
        <f t="shared" ca="1" si="124"/>
        <v>518.56046069573654</v>
      </c>
      <c r="J961" s="10">
        <f t="shared" ca="1" si="125"/>
        <v>2172.7768368791208</v>
      </c>
      <c r="K961" s="12">
        <f t="array" aca="1" ref="K961:L961" ca="1">Opt3Spd(H961:J961,$E$3:$G$3,$K$3:$M$3,$N$3:$P$3,$H$3,$I$3,$Q$3,$J$3)</f>
        <v>207.70396911780472</v>
      </c>
      <c r="L961" s="12">
        <f ca="1"/>
        <v>2.0518625243994393E-2</v>
      </c>
      <c r="M961" s="12">
        <f t="array" aca="1" ref="M961:N961" ca="1">Opt3Spd(H961:J961,$E$3:$G$3,$K$3:$M$3,$N$3:$P$3,$H$4,$I$3,$Q$3,$J$3)</f>
        <v>0.10841872475505809</v>
      </c>
      <c r="N961" s="12">
        <f ca="1"/>
        <v>192.42496823219435</v>
      </c>
      <c r="O961" s="12">
        <f t="shared" ca="1" si="126"/>
        <v>0.12893734999905249</v>
      </c>
    </row>
    <row r="962" spans="2:15" x14ac:dyDescent="0.15">
      <c r="B962" s="6">
        <f t="shared" ca="1" si="127"/>
        <v>2.2864859396843404</v>
      </c>
      <c r="C962" s="6">
        <f t="shared" ca="1" si="127"/>
        <v>0.83364253368026031</v>
      </c>
      <c r="D962" s="6">
        <f t="shared" ca="1" si="127"/>
        <v>-0.54754370031740973</v>
      </c>
      <c r="E962" s="8">
        <f t="shared" ca="1" si="120"/>
        <v>5.2059624532940843E-2</v>
      </c>
      <c r="F962" s="8">
        <f t="shared" ca="1" si="121"/>
        <v>0.10397799395583673</v>
      </c>
      <c r="G962" s="8">
        <f t="shared" ca="1" si="122"/>
        <v>8.0588802294391984E-2</v>
      </c>
      <c r="H962" s="10">
        <f t="shared" ca="1" si="123"/>
        <v>4225.0714521242899</v>
      </c>
      <c r="I962" s="10">
        <f t="shared" ca="1" si="124"/>
        <v>600.5640287119752</v>
      </c>
      <c r="J962" s="10">
        <f t="shared" ca="1" si="125"/>
        <v>2416.1965619302605</v>
      </c>
      <c r="K962" s="12">
        <f t="array" aca="1" ref="K962:L962" ca="1">Opt3Spd(H962:J962,$E$3:$G$3,$K$3:$M$3,$N$3:$P$3,$H$3,$I$3,$Q$3,$J$3)</f>
        <v>231.07967940391813</v>
      </c>
      <c r="L962" s="12">
        <f ca="1"/>
        <v>8.954183919058778E-3</v>
      </c>
      <c r="M962" s="12">
        <f t="array" aca="1" ref="M962:N962" ca="1">Opt3Spd(H962:J962,$E$3:$G$3,$K$3:$M$3,$N$3:$P$3,$H$4,$I$3,$Q$3,$J$3)</f>
        <v>0.35197938643838</v>
      </c>
      <c r="N962" s="12">
        <f ca="1"/>
        <v>169.28125416643931</v>
      </c>
      <c r="O962" s="12">
        <f t="shared" ca="1" si="126"/>
        <v>0.36093357035743878</v>
      </c>
    </row>
    <row r="963" spans="2:15" x14ac:dyDescent="0.15">
      <c r="B963" s="6">
        <f t="shared" ca="1" si="127"/>
        <v>1.5537908179370656</v>
      </c>
      <c r="C963" s="6">
        <f t="shared" ca="1" si="127"/>
        <v>0.68486766917812869</v>
      </c>
      <c r="D963" s="6">
        <f t="shared" ca="1" si="127"/>
        <v>-2.441446901818745</v>
      </c>
      <c r="E963" s="8">
        <f t="shared" ca="1" si="120"/>
        <v>3.5377329543387383E-2</v>
      </c>
      <c r="F963" s="8">
        <f t="shared" ca="1" si="121"/>
        <v>7.3379644490690371E-2</v>
      </c>
      <c r="G963" s="8">
        <f t="shared" ca="1" si="122"/>
        <v>3.3063032151552471E-2</v>
      </c>
      <c r="H963" s="10">
        <f t="shared" ca="1" si="123"/>
        <v>4158.0753554462444</v>
      </c>
      <c r="I963" s="10">
        <f t="shared" ca="1" si="124"/>
        <v>583.91852660293557</v>
      </c>
      <c r="J963" s="10">
        <f t="shared" ca="1" si="125"/>
        <v>2309.9289398908713</v>
      </c>
      <c r="K963" s="12">
        <f t="array" aca="1" ref="K963:L963" ca="1">Opt3Spd(H963:J963,$E$3:$G$3,$K$3:$M$3,$N$3:$P$3,$H$3,$I$3,$Q$3,$J$3)</f>
        <v>243.84503715542519</v>
      </c>
      <c r="L963" s="12">
        <f ca="1"/>
        <v>3.794219313249414E-3</v>
      </c>
      <c r="M963" s="12">
        <f t="array" aca="1" ref="M963:N963" ca="1">Opt3Spd(H963:J963,$E$3:$G$3,$K$3:$M$3,$N$3:$P$3,$H$4,$I$3,$Q$3,$J$3)</f>
        <v>0.53287154061787589</v>
      </c>
      <c r="N963" s="12">
        <f ca="1"/>
        <v>156.69162860450592</v>
      </c>
      <c r="O963" s="12">
        <f t="shared" ca="1" si="126"/>
        <v>0.53666575993112531</v>
      </c>
    </row>
    <row r="964" spans="2:15" x14ac:dyDescent="0.15">
      <c r="B964" s="6">
        <f t="shared" ca="1" si="127"/>
        <v>-0.59394126115228318</v>
      </c>
      <c r="C964" s="6">
        <f t="shared" ca="1" si="127"/>
        <v>6.3605428597078378E-2</v>
      </c>
      <c r="D964" s="6">
        <f t="shared" ca="1" si="127"/>
        <v>-0.50421981161493556</v>
      </c>
      <c r="E964" s="8">
        <f t="shared" ca="1" si="120"/>
        <v>-1.3523091707477508E-2</v>
      </c>
      <c r="F964" s="8">
        <f t="shared" ca="1" si="121"/>
        <v>-2.0569177027751937E-2</v>
      </c>
      <c r="G964" s="8">
        <f t="shared" ca="1" si="122"/>
        <v>-2.7007272419956315E-2</v>
      </c>
      <c r="H964" s="10">
        <f t="shared" ca="1" si="123"/>
        <v>3961.6912637027699</v>
      </c>
      <c r="I964" s="10">
        <f t="shared" ca="1" si="124"/>
        <v>532.81036769690297</v>
      </c>
      <c r="J964" s="10">
        <f t="shared" ca="1" si="125"/>
        <v>2175.6117388689777</v>
      </c>
      <c r="K964" s="12">
        <f t="array" aca="1" ref="K964:L964" ca="1">Opt3Spd(H964:J964,$E$3:$G$3,$K$3:$M$3,$N$3:$P$3,$H$3,$I$3,$Q$3,$J$3)</f>
        <v>196.42535567198638</v>
      </c>
      <c r="L964" s="12">
        <f ca="1"/>
        <v>3.6549718750165994E-2</v>
      </c>
      <c r="M964" s="12">
        <f t="array" aca="1" ref="M964:N964" ca="1">Opt3Spd(H964:J964,$E$3:$G$3,$K$3:$M$3,$N$3:$P$3,$H$4,$I$3,$Q$3,$J$3)</f>
        <v>6.4947443151168294E-2</v>
      </c>
      <c r="N964" s="12">
        <f ca="1"/>
        <v>203.67614148991495</v>
      </c>
      <c r="O964" s="12">
        <f t="shared" ca="1" si="126"/>
        <v>0.10149716190133429</v>
      </c>
    </row>
    <row r="965" spans="2:15" x14ac:dyDescent="0.15">
      <c r="B965" s="6">
        <f t="shared" ca="1" si="127"/>
        <v>-0.56340036646903113</v>
      </c>
      <c r="C965" s="6">
        <f t="shared" ca="1" si="127"/>
        <v>0.2832501117496562</v>
      </c>
      <c r="D965" s="6">
        <f t="shared" ca="1" si="127"/>
        <v>2.7899400993083138E-2</v>
      </c>
      <c r="E965" s="8">
        <f t="shared" ref="E965:E1028" ca="1" si="128">B965*$U$3*$C$6</f>
        <v>-1.2827724426833007E-2</v>
      </c>
      <c r="F965" s="8">
        <f t="shared" ref="F965:F1028" ca="1" si="129">($N$3*B965+C965*SQRT(1-$N$3^2))*$V$3*$C$6</f>
        <v>-1.4387006666176632E-2</v>
      </c>
      <c r="G965" s="8">
        <f t="shared" ref="G965:G1028" ca="1" si="130">(D965/$T$3+($P$3-$N$3*$O$3)*C965+$O$3*B965*SQRT(1/(1-$N$3^2)))*$W$3*$C$6</f>
        <v>-1.9578932586514282E-2</v>
      </c>
      <c r="H965" s="10">
        <f t="shared" ref="H965:H1028" ca="1" si="131">B$3*(1+E965)</f>
        <v>3964.4838587018385</v>
      </c>
      <c r="I965" s="10">
        <f t="shared" ref="I965:I1028" ca="1" si="132">C$3*(1+F965)</f>
        <v>536.17346837359992</v>
      </c>
      <c r="J965" s="10">
        <f t="shared" ref="J965:J1028" ca="1" si="133">D$3*(1+G965)</f>
        <v>2192.2215067365541</v>
      </c>
      <c r="K965" s="12">
        <f t="array" aca="1" ref="K965:L965" ca="1">Opt3Spd(H965:J965,$E$3:$G$3,$K$3:$M$3,$N$3:$P$3,$H$3,$I$3,$Q$3,$J$3)</f>
        <v>185.55850505178864</v>
      </c>
      <c r="L965" s="12">
        <f ca="1"/>
        <v>6.2949115987294135E-2</v>
      </c>
      <c r="M965" s="12">
        <f t="array" aca="1" ref="M965:N965" ca="1">Opt3Spd(H965:J965,$E$3:$G$3,$K$3:$M$3,$N$3:$P$3,$H$4,$I$3,$Q$3,$J$3)</f>
        <v>3.9207873125772785E-2</v>
      </c>
      <c r="N965" s="12">
        <f ca="1"/>
        <v>214.54365193732443</v>
      </c>
      <c r="O965" s="12">
        <f t="shared" ca="1" si="126"/>
        <v>0.10215698911306692</v>
      </c>
    </row>
    <row r="966" spans="2:15" x14ac:dyDescent="0.15">
      <c r="B966" s="6">
        <f t="shared" ca="1" si="127"/>
        <v>1.8415340919833698</v>
      </c>
      <c r="C966" s="6">
        <f t="shared" ca="1" si="127"/>
        <v>1.0230394536748002</v>
      </c>
      <c r="D966" s="6">
        <f t="shared" ca="1" si="127"/>
        <v>1.3049421706393796</v>
      </c>
      <c r="E966" s="8">
        <f t="shared" ca="1" si="128"/>
        <v>4.19287832605258E-2</v>
      </c>
      <c r="F966" s="8">
        <f t="shared" ca="1" si="129"/>
        <v>9.1827115600033135E-2</v>
      </c>
      <c r="G966" s="8">
        <f t="shared" ca="1" si="130"/>
        <v>8.4526441461220542E-2</v>
      </c>
      <c r="H966" s="10">
        <f t="shared" ca="1" si="131"/>
        <v>4184.3859935742712</v>
      </c>
      <c r="I966" s="10">
        <f t="shared" ca="1" si="132"/>
        <v>593.95395088641806</v>
      </c>
      <c r="J966" s="10">
        <f t="shared" ca="1" si="133"/>
        <v>2425.001123107289</v>
      </c>
      <c r="K966" s="12">
        <f t="array" aca="1" ref="K966:L966" ca="1">Opt3Spd(H966:J966,$E$3:$G$3,$K$3:$M$3,$N$3:$P$3,$H$3,$I$3,$Q$3,$J$3)</f>
        <v>196.60876705828741</v>
      </c>
      <c r="L966" s="12">
        <f ca="1"/>
        <v>4.9656455929607546E-2</v>
      </c>
      <c r="M966" s="12">
        <f t="array" aca="1" ref="M966:N966" ca="1">Opt3Spd(H966:J966,$E$3:$G$3,$K$3:$M$3,$N$3:$P$3,$H$4,$I$3,$Q$3,$J$3)</f>
        <v>8.3717299809922707E-2</v>
      </c>
      <c r="N966" s="12">
        <f ca="1"/>
        <v>203.52460669745213</v>
      </c>
      <c r="O966" s="12">
        <f t="shared" ca="1" si="126"/>
        <v>0.13337375573953025</v>
      </c>
    </row>
    <row r="967" spans="2:15" x14ac:dyDescent="0.15">
      <c r="B967" s="6">
        <f t="shared" ca="1" si="127"/>
        <v>-0.8500830607527049</v>
      </c>
      <c r="C967" s="6">
        <f t="shared" ca="1" si="127"/>
        <v>-0.78581947373058914</v>
      </c>
      <c r="D967" s="6">
        <f t="shared" ca="1" si="127"/>
        <v>1.5954196851010356</v>
      </c>
      <c r="E967" s="8">
        <f t="shared" ca="1" si="128"/>
        <v>-1.9355030440602033E-2</v>
      </c>
      <c r="F967" s="8">
        <f t="shared" ca="1" si="129"/>
        <v>-4.9597379137641825E-2</v>
      </c>
      <c r="G967" s="8">
        <f t="shared" ca="1" si="130"/>
        <v>-1.6515787629740333E-2</v>
      </c>
      <c r="H967" s="10">
        <f t="shared" ca="1" si="131"/>
        <v>3938.2701977505421</v>
      </c>
      <c r="I967" s="10">
        <f t="shared" ca="1" si="132"/>
        <v>517.01902574912287</v>
      </c>
      <c r="J967" s="10">
        <f t="shared" ca="1" si="133"/>
        <v>2199.0706988599004</v>
      </c>
      <c r="K967" s="12">
        <f t="array" aca="1" ref="K967:L967" ca="1">Opt3Spd(H967:J967,$E$3:$G$3,$K$3:$M$3,$N$3:$P$3,$H$3,$I$3,$Q$3,$J$3)</f>
        <v>186.5641825655066</v>
      </c>
      <c r="L967" s="12">
        <f ca="1"/>
        <v>5.9775443511171034E-2</v>
      </c>
      <c r="M967" s="12">
        <f t="array" aca="1" ref="M967:N967" ca="1">Opt3Spd(H967:J967,$E$3:$G$3,$K$3:$M$3,$N$3:$P$3,$H$4,$I$3,$Q$3,$J$3)</f>
        <v>4.1246810692100233E-2</v>
      </c>
      <c r="N967" s="12">
        <f ca="1"/>
        <v>213.53683968869666</v>
      </c>
      <c r="O967" s="12">
        <f t="shared" ca="1" si="126"/>
        <v>0.10102225420327127</v>
      </c>
    </row>
    <row r="968" spans="2:15" x14ac:dyDescent="0.15">
      <c r="B968" s="6">
        <f t="shared" ca="1" si="127"/>
        <v>-2.0170949886928762</v>
      </c>
      <c r="C968" s="6">
        <f t="shared" ca="1" si="127"/>
        <v>1.0300192181271446</v>
      </c>
      <c r="D968" s="6">
        <f t="shared" ca="1" si="127"/>
        <v>-0.10660032934172853</v>
      </c>
      <c r="E968" s="8">
        <f t="shared" ca="1" si="128"/>
        <v>-4.5926023832503722E-2</v>
      </c>
      <c r="F968" s="8">
        <f t="shared" ca="1" si="129"/>
        <v>-5.1142553327324938E-2</v>
      </c>
      <c r="G968" s="8">
        <f t="shared" ca="1" si="130"/>
        <v>-7.2250292944024741E-2</v>
      </c>
      <c r="H968" s="10">
        <f t="shared" ca="1" si="131"/>
        <v>3831.5610882886649</v>
      </c>
      <c r="I968" s="10">
        <f t="shared" ca="1" si="132"/>
        <v>516.17845098993519</v>
      </c>
      <c r="J968" s="10">
        <f t="shared" ca="1" si="133"/>
        <v>2074.4483449771606</v>
      </c>
      <c r="K968" s="12">
        <f t="array" aca="1" ref="K968:L968" ca="1">Opt3Spd(H968:J968,$E$3:$G$3,$K$3:$M$3,$N$3:$P$3,$H$3,$I$3,$Q$3,$J$3)</f>
        <v>143.8150029784149</v>
      </c>
      <c r="L968" s="12">
        <f ca="1"/>
        <v>0.36360876222647676</v>
      </c>
      <c r="M968" s="12">
        <f t="array" aca="1" ref="M968:N968" ca="1">Opt3Spd(H968:J968,$E$3:$G$3,$K$3:$M$3,$N$3:$P$3,$H$4,$I$3,$Q$3,$J$3)</f>
        <v>3.5687111421820461E-3</v>
      </c>
      <c r="N968" s="12">
        <f ca="1"/>
        <v>256.55217449495376</v>
      </c>
      <c r="O968" s="12">
        <f t="shared" ca="1" si="126"/>
        <v>0.3671774733686588</v>
      </c>
    </row>
    <row r="969" spans="2:15" x14ac:dyDescent="0.15">
      <c r="B969" s="6">
        <f t="shared" ca="1" si="127"/>
        <v>1.092179853446668</v>
      </c>
      <c r="C969" s="6">
        <f t="shared" ca="1" si="127"/>
        <v>-1.3741786590168781</v>
      </c>
      <c r="D969" s="6">
        <f t="shared" ca="1" si="127"/>
        <v>0.4609405758931891</v>
      </c>
      <c r="E969" s="8">
        <f t="shared" ca="1" si="128"/>
        <v>2.4867186850370683E-2</v>
      </c>
      <c r="F969" s="8">
        <f t="shared" ca="1" si="129"/>
        <v>8.9224897603263301E-3</v>
      </c>
      <c r="G969" s="8">
        <f t="shared" ca="1" si="130"/>
        <v>4.1046136064684449E-2</v>
      </c>
      <c r="H969" s="10">
        <f t="shared" ca="1" si="131"/>
        <v>4115.8666223910886</v>
      </c>
      <c r="I969" s="10">
        <f t="shared" ca="1" si="132"/>
        <v>548.85383442961756</v>
      </c>
      <c r="J969" s="10">
        <f t="shared" ca="1" si="133"/>
        <v>2327.7791602406346</v>
      </c>
      <c r="K969" s="12">
        <f t="array" aca="1" ref="K969:L969" ca="1">Opt3Spd(H969:J969,$E$3:$G$3,$K$3:$M$3,$N$3:$P$3,$H$3,$I$3,$Q$3,$J$3)</f>
        <v>248.81372291453658</v>
      </c>
      <c r="L969" s="12">
        <f ca="1"/>
        <v>2.8157311533050233E-3</v>
      </c>
      <c r="M969" s="12">
        <f t="array" aca="1" ref="M969:N969" ca="1">Opt3Spd(H969:J969,$E$3:$G$3,$K$3:$M$3,$N$3:$P$3,$H$4,$I$3,$Q$3,$J$3)</f>
        <v>0.64024358634491563</v>
      </c>
      <c r="N969" s="12">
        <f ca="1"/>
        <v>151.82933640296164</v>
      </c>
      <c r="O969" s="12">
        <f t="shared" ca="1" si="126"/>
        <v>0.64305931749822065</v>
      </c>
    </row>
    <row r="970" spans="2:15" x14ac:dyDescent="0.15">
      <c r="B970" s="6">
        <f t="shared" ca="1" si="127"/>
        <v>1.8740662126368104</v>
      </c>
      <c r="C970" s="6">
        <f t="shared" ca="1" si="127"/>
        <v>1.4256345256241887</v>
      </c>
      <c r="D970" s="6">
        <f t="shared" ca="1" si="127"/>
        <v>0.90090182417689124</v>
      </c>
      <c r="E970" s="8">
        <f t="shared" ca="1" si="128"/>
        <v>4.2669487568863795E-2</v>
      </c>
      <c r="F970" s="8">
        <f t="shared" ca="1" si="129"/>
        <v>0.10228890202250238</v>
      </c>
      <c r="G970" s="8">
        <f t="shared" ca="1" si="130"/>
        <v>8.2586076663313412E-2</v>
      </c>
      <c r="H970" s="10">
        <f t="shared" ca="1" si="131"/>
        <v>4187.3606620765568</v>
      </c>
      <c r="I970" s="10">
        <f t="shared" ca="1" si="132"/>
        <v>599.64516270024126</v>
      </c>
      <c r="J970" s="10">
        <f t="shared" ca="1" si="133"/>
        <v>2420.6624674191689</v>
      </c>
      <c r="K970" s="12">
        <f t="array" aca="1" ref="K970:L970" ca="1">Opt3Spd(H970:J970,$E$3:$G$3,$K$3:$M$3,$N$3:$P$3,$H$3,$I$3,$Q$3,$J$3)</f>
        <v>192.65707369969073</v>
      </c>
      <c r="L970" s="12">
        <f ca="1"/>
        <v>5.9905653104351586E-2</v>
      </c>
      <c r="M970" s="12">
        <f t="array" aca="1" ref="M970:N970" ca="1">Opt3Spd(H970:J970,$E$3:$G$3,$K$3:$M$3,$N$3:$P$3,$H$4,$I$3,$Q$3,$J$3)</f>
        <v>7.0085286937231928E-2</v>
      </c>
      <c r="N970" s="12">
        <f ca="1"/>
        <v>207.47291724035085</v>
      </c>
      <c r="O970" s="12">
        <f t="shared" ca="1" si="126"/>
        <v>0.12999094004158351</v>
      </c>
    </row>
    <row r="971" spans="2:15" x14ac:dyDescent="0.15">
      <c r="B971" s="6">
        <f t="shared" ca="1" si="127"/>
        <v>-0.21953770263106478</v>
      </c>
      <c r="C971" s="6">
        <f t="shared" ca="1" si="127"/>
        <v>-1.244701664121084</v>
      </c>
      <c r="D971" s="6">
        <f t="shared" ca="1" si="127"/>
        <v>-0.10773799275475737</v>
      </c>
      <c r="E971" s="8">
        <f t="shared" ca="1" si="128"/>
        <v>-4.9985220426833161E-3</v>
      </c>
      <c r="F971" s="8">
        <f t="shared" ca="1" si="129"/>
        <v>-3.6757246119878122E-2</v>
      </c>
      <c r="G971" s="8">
        <f t="shared" ca="1" si="130"/>
        <v>-1.2826529573926047E-2</v>
      </c>
      <c r="H971" s="10">
        <f t="shared" ca="1" si="131"/>
        <v>3995.9259354765836</v>
      </c>
      <c r="I971" s="10">
        <f t="shared" ca="1" si="132"/>
        <v>524.00405811078633</v>
      </c>
      <c r="J971" s="10">
        <f t="shared" ca="1" si="133"/>
        <v>2207.3198798727012</v>
      </c>
      <c r="K971" s="12">
        <f t="array" aca="1" ref="K971:L971" ca="1">Opt3Spd(H971:J971,$E$3:$G$3,$K$3:$M$3,$N$3:$P$3,$H$3,$I$3,$Q$3,$J$3)</f>
        <v>228.86653838367283</v>
      </c>
      <c r="L971" s="12">
        <f ca="1"/>
        <v>7.0358206980927207E-3</v>
      </c>
      <c r="M971" s="12">
        <f t="array" aca="1" ref="M971:N971" ca="1">Opt3Spd(H971:J971,$E$3:$G$3,$K$3:$M$3,$N$3:$P$3,$H$4,$I$3,$Q$3,$J$3)</f>
        <v>0.27484261133653121</v>
      </c>
      <c r="N971" s="12">
        <f ca="1"/>
        <v>171.4153400483618</v>
      </c>
      <c r="O971" s="12">
        <f t="shared" ref="O971:O1034" ca="1" si="134">L971+M971</f>
        <v>0.28187843203462393</v>
      </c>
    </row>
    <row r="972" spans="2:15" x14ac:dyDescent="0.15">
      <c r="B972" s="6">
        <f t="shared" ca="1" si="127"/>
        <v>0.46610968910463263</v>
      </c>
      <c r="C972" s="6">
        <f t="shared" ca="1" si="127"/>
        <v>-0.37650981873967021</v>
      </c>
      <c r="D972" s="6">
        <f t="shared" ca="1" si="127"/>
        <v>2.5347489178855955E-2</v>
      </c>
      <c r="E972" s="8">
        <f t="shared" ca="1" si="128"/>
        <v>1.0612571450713981E-2</v>
      </c>
      <c r="F972" s="8">
        <f t="shared" ca="1" si="129"/>
        <v>8.6342527700319169E-3</v>
      </c>
      <c r="G972" s="8">
        <f t="shared" ca="1" si="130"/>
        <v>1.6301143117683891E-2</v>
      </c>
      <c r="H972" s="10">
        <f t="shared" ca="1" si="131"/>
        <v>4058.6200869460672</v>
      </c>
      <c r="I972" s="10">
        <f t="shared" ca="1" si="132"/>
        <v>548.69703350689736</v>
      </c>
      <c r="J972" s="10">
        <f t="shared" ca="1" si="133"/>
        <v>2272.4493560111409</v>
      </c>
      <c r="K972" s="12">
        <f t="array" aca="1" ref="K972:L972" ca="1">Opt3Spd(H972:J972,$E$3:$G$3,$K$3:$M$3,$N$3:$P$3,$H$3,$I$3,$Q$3,$J$3)</f>
        <v>219.49297256776208</v>
      </c>
      <c r="L972" s="12">
        <f ca="1"/>
        <v>1.281723830129522E-2</v>
      </c>
      <c r="M972" s="12">
        <f t="array" aca="1" ref="M972:N972" ca="1">Opt3Spd(H972:J972,$E$3:$G$3,$K$3:$M$3,$N$3:$P$3,$H$4,$I$3,$Q$3,$J$3)</f>
        <v>0.19601632567272276</v>
      </c>
      <c r="N972" s="12">
        <f ca="1"/>
        <v>180.71586099621194</v>
      </c>
      <c r="O972" s="12">
        <f t="shared" ca="1" si="134"/>
        <v>0.20883356397401798</v>
      </c>
    </row>
    <row r="973" spans="2:15" x14ac:dyDescent="0.15">
      <c r="B973" s="6">
        <f t="shared" ca="1" si="127"/>
        <v>-0.39253980942312144</v>
      </c>
      <c r="C973" s="6">
        <f t="shared" ca="1" si="127"/>
        <v>-0.40260743862552473</v>
      </c>
      <c r="D973" s="6">
        <f t="shared" ca="1" si="127"/>
        <v>0.34273481381791948</v>
      </c>
      <c r="E973" s="8">
        <f t="shared" ca="1" si="128"/>
        <v>-8.9375030644715282E-3</v>
      </c>
      <c r="F973" s="8">
        <f t="shared" ca="1" si="129"/>
        <v>-2.3816022020635583E-2</v>
      </c>
      <c r="G973" s="8">
        <f t="shared" ca="1" si="130"/>
        <v>-1.1938859309320076E-2</v>
      </c>
      <c r="H973" s="10">
        <f t="shared" ca="1" si="131"/>
        <v>3980.1069876930824</v>
      </c>
      <c r="I973" s="10">
        <f t="shared" ca="1" si="132"/>
        <v>531.04408402077422</v>
      </c>
      <c r="J973" s="10">
        <f t="shared" ca="1" si="133"/>
        <v>2209.3047105843602</v>
      </c>
      <c r="K973" s="12">
        <f t="array" aca="1" ref="K973:L973" ca="1">Opt3Spd(H973:J973,$E$3:$G$3,$K$3:$M$3,$N$3:$P$3,$H$3,$I$3,$Q$3,$J$3)</f>
        <v>200.81454222867205</v>
      </c>
      <c r="L973" s="12">
        <f ca="1"/>
        <v>3.0444261008369722E-2</v>
      </c>
      <c r="M973" s="12">
        <f t="array" aca="1" ref="M973:N973" ca="1">Opt3Spd(H973:J973,$E$3:$G$3,$K$3:$M$3,$N$3:$P$3,$H$4,$I$3,$Q$3,$J$3)</f>
        <v>8.1908723726877852E-2</v>
      </c>
      <c r="N973" s="12">
        <f ca="1"/>
        <v>199.2978107560632</v>
      </c>
      <c r="O973" s="12">
        <f t="shared" ca="1" si="134"/>
        <v>0.11235298473524757</v>
      </c>
    </row>
    <row r="974" spans="2:15" x14ac:dyDescent="0.15">
      <c r="B974" s="6">
        <f t="shared" ca="1" si="127"/>
        <v>3.8342557799498064E-2</v>
      </c>
      <c r="C974" s="6">
        <f t="shared" ca="1" si="127"/>
        <v>0.41168092801808415</v>
      </c>
      <c r="D974" s="6">
        <f t="shared" ca="1" si="127"/>
        <v>-0.23058898753364962</v>
      </c>
      <c r="E974" s="8">
        <f t="shared" ca="1" si="128"/>
        <v>8.7299866053408657E-4</v>
      </c>
      <c r="F974" s="8">
        <f t="shared" ca="1" si="129"/>
        <v>1.0886186147355682E-2</v>
      </c>
      <c r="G974" s="8">
        <f t="shared" ca="1" si="130"/>
        <v>1.4726394799581443E-4</v>
      </c>
      <c r="H974" s="10">
        <f t="shared" ca="1" si="131"/>
        <v>4019.5059626207048</v>
      </c>
      <c r="I974" s="10">
        <f t="shared" ca="1" si="132"/>
        <v>549.92208526416152</v>
      </c>
      <c r="J974" s="10">
        <f t="shared" ca="1" si="133"/>
        <v>2236.3292821877185</v>
      </c>
      <c r="K974" s="12">
        <f t="array" aca="1" ref="K974:L974" ca="1">Opt3Spd(H974:J974,$E$3:$G$3,$K$3:$M$3,$N$3:$P$3,$H$3,$I$3,$Q$3,$J$3)</f>
        <v>196.50525008582963</v>
      </c>
      <c r="L974" s="12">
        <f ca="1"/>
        <v>3.926498164264558E-2</v>
      </c>
      <c r="M974" s="12">
        <f t="array" aca="1" ref="M974:N974" ca="1">Opt3Spd(H974:J974,$E$3:$G$3,$K$3:$M$3,$N$3:$P$3,$H$4,$I$3,$Q$3,$J$3)</f>
        <v>6.9124312152151646E-2</v>
      </c>
      <c r="N974" s="12">
        <f ca="1"/>
        <v>203.60313920796517</v>
      </c>
      <c r="O974" s="12">
        <f t="shared" ca="1" si="134"/>
        <v>0.10838929379479723</v>
      </c>
    </row>
    <row r="975" spans="2:15" x14ac:dyDescent="0.15">
      <c r="B975" s="6">
        <f t="shared" ca="1" si="127"/>
        <v>1.1946594494314717</v>
      </c>
      <c r="C975" s="6">
        <f t="shared" ca="1" si="127"/>
        <v>1.5611785646625831</v>
      </c>
      <c r="D975" s="6">
        <f t="shared" ca="1" si="127"/>
        <v>0.41136109546758365</v>
      </c>
      <c r="E975" s="8">
        <f t="shared" ca="1" si="128"/>
        <v>2.7200483196812633E-2</v>
      </c>
      <c r="F975" s="8">
        <f t="shared" ca="1" si="129"/>
        <v>8.020326948458574E-2</v>
      </c>
      <c r="G975" s="8">
        <f t="shared" ca="1" si="130"/>
        <v>5.2804153444038063E-2</v>
      </c>
      <c r="H975" s="10">
        <f t="shared" ca="1" si="131"/>
        <v>4125.2371405183994</v>
      </c>
      <c r="I975" s="10">
        <f t="shared" ca="1" si="132"/>
        <v>587.63057859961464</v>
      </c>
      <c r="J975" s="10">
        <f t="shared" ca="1" si="133"/>
        <v>2354.0700871008689</v>
      </c>
      <c r="K975" s="12">
        <f t="array" aca="1" ref="K975:L975" ca="1">Opt3Spd(H975:J975,$E$3:$G$3,$K$3:$M$3,$N$3:$P$3,$H$3,$I$3,$Q$3,$J$3)</f>
        <v>183.07924974733282</v>
      </c>
      <c r="L975" s="12">
        <f ca="1"/>
        <v>8.6078538751280576E-2</v>
      </c>
      <c r="M975" s="12">
        <f t="array" aca="1" ref="M975:N975" ca="1">Opt3Spd(H975:J975,$E$3:$G$3,$K$3:$M$3,$N$3:$P$3,$H$4,$I$3,$Q$3,$J$3)</f>
        <v>4.1784130294869826E-2</v>
      </c>
      <c r="N975" s="12">
        <f ca="1"/>
        <v>217.04861292171333</v>
      </c>
      <c r="O975" s="12">
        <f t="shared" ca="1" si="134"/>
        <v>0.1278626690461504</v>
      </c>
    </row>
    <row r="976" spans="2:15" x14ac:dyDescent="0.15">
      <c r="B976" s="6">
        <f t="shared" ca="1" si="127"/>
        <v>0.44818555005329813</v>
      </c>
      <c r="C976" s="6">
        <f t="shared" ca="1" si="127"/>
        <v>-0.12926048037027987</v>
      </c>
      <c r="D976" s="6">
        <f t="shared" ca="1" si="127"/>
        <v>1.781385146385801</v>
      </c>
      <c r="E976" s="8">
        <f t="shared" ca="1" si="128"/>
        <v>1.0204467498315516E-2</v>
      </c>
      <c r="F976" s="8">
        <f t="shared" ca="1" si="129"/>
        <v>1.3653274118156658E-2</v>
      </c>
      <c r="G976" s="8">
        <f t="shared" ca="1" si="130"/>
        <v>3.506756168083093E-2</v>
      </c>
      <c r="H976" s="10">
        <f t="shared" ca="1" si="131"/>
        <v>4056.9811414732349</v>
      </c>
      <c r="I976" s="10">
        <f t="shared" ca="1" si="132"/>
        <v>551.42738112027723</v>
      </c>
      <c r="J976" s="10">
        <f t="shared" ca="1" si="133"/>
        <v>2314.4110679183377</v>
      </c>
      <c r="K976" s="12">
        <f t="array" aca="1" ref="K976:L976" ca="1">Opt3Spd(H976:J976,$E$3:$G$3,$K$3:$M$3,$N$3:$P$3,$H$3,$I$3,$Q$3,$J$3)</f>
        <v>192.54328661625209</v>
      </c>
      <c r="L976" s="12">
        <f ca="1"/>
        <v>5.1488894629756032E-2</v>
      </c>
      <c r="M976" s="12">
        <f t="array" aca="1" ref="M976:N976" ca="1">Opt3Spd(H976:J976,$E$3:$G$3,$K$3:$M$3,$N$3:$P$3,$H$4,$I$3,$Q$3,$J$3)</f>
        <v>6.1617431932387667E-2</v>
      </c>
      <c r="N976" s="12">
        <f ca="1"/>
        <v>207.56981971031004</v>
      </c>
      <c r="O976" s="12">
        <f t="shared" ca="1" si="134"/>
        <v>0.1131063265621437</v>
      </c>
    </row>
    <row r="977" spans="2:15" x14ac:dyDescent="0.15">
      <c r="B977" s="6">
        <f t="shared" ca="1" si="127"/>
        <v>0.70277348745901025</v>
      </c>
      <c r="C977" s="6">
        <f t="shared" ca="1" si="127"/>
        <v>1.7364166620818724</v>
      </c>
      <c r="D977" s="6">
        <f t="shared" ca="1" si="127"/>
        <v>-2.0026630194317221</v>
      </c>
      <c r="E977" s="8">
        <f t="shared" ca="1" si="128"/>
        <v>1.6001027276761805E-2</v>
      </c>
      <c r="F977" s="8">
        <f t="shared" ca="1" si="129"/>
        <v>6.598594971329802E-2</v>
      </c>
      <c r="G977" s="8">
        <f t="shared" ca="1" si="130"/>
        <v>9.5250440468659311E-3</v>
      </c>
      <c r="H977" s="10">
        <f t="shared" ca="1" si="131"/>
        <v>4080.2601255434756</v>
      </c>
      <c r="I977" s="10">
        <f t="shared" ca="1" si="132"/>
        <v>579.89635664403409</v>
      </c>
      <c r="J977" s="10">
        <f t="shared" ca="1" si="133"/>
        <v>2257.297998488792</v>
      </c>
      <c r="K977" s="12">
        <f t="array" aca="1" ref="K977:L977" ca="1">Opt3Spd(H977:J977,$E$3:$G$3,$K$3:$M$3,$N$3:$P$3,$H$3,$I$3,$Q$3,$J$3)</f>
        <v>198.81390587500118</v>
      </c>
      <c r="L977" s="12">
        <f ca="1"/>
        <v>3.6950206376104688E-2</v>
      </c>
      <c r="M977" s="12">
        <f t="array" aca="1" ref="M977:N977" ca="1">Opt3Spd(H977:J977,$E$3:$G$3,$K$3:$M$3,$N$3:$P$3,$H$4,$I$3,$Q$3,$J$3)</f>
        <v>7.9466866290254679E-2</v>
      </c>
      <c r="N977" s="12">
        <f ca="1"/>
        <v>201.30251119766518</v>
      </c>
      <c r="O977" s="12">
        <f t="shared" ca="1" si="134"/>
        <v>0.11641707266635937</v>
      </c>
    </row>
    <row r="978" spans="2:15" x14ac:dyDescent="0.15">
      <c r="B978" s="6">
        <f t="shared" ca="1" si="127"/>
        <v>-0.67492755126640103</v>
      </c>
      <c r="C978" s="6">
        <f t="shared" ca="1" si="127"/>
        <v>-0.32038933993015339</v>
      </c>
      <c r="D978" s="6">
        <f t="shared" ca="1" si="127"/>
        <v>0.89618251047737929</v>
      </c>
      <c r="E978" s="8">
        <f t="shared" ca="1" si="128"/>
        <v>-1.5367019886733597E-2</v>
      </c>
      <c r="F978" s="8">
        <f t="shared" ca="1" si="129"/>
        <v>-3.2400705984874281E-2</v>
      </c>
      <c r="G978" s="8">
        <f t="shared" ca="1" si="130"/>
        <v>-1.6178740565603998E-2</v>
      </c>
      <c r="H978" s="10">
        <f t="shared" ca="1" si="131"/>
        <v>3954.286048134878</v>
      </c>
      <c r="I978" s="10">
        <f t="shared" ca="1" si="132"/>
        <v>526.3740159442284</v>
      </c>
      <c r="J978" s="10">
        <f t="shared" ca="1" si="133"/>
        <v>2199.8243360953097</v>
      </c>
      <c r="K978" s="12">
        <f t="array" aca="1" ref="K978:L978" ca="1">Opt3Spd(H978:J978,$E$3:$G$3,$K$3:$M$3,$N$3:$P$3,$H$3,$I$3,$Q$3,$J$3)</f>
        <v>187.23367311737911</v>
      </c>
      <c r="L978" s="12">
        <f ca="1"/>
        <v>5.8218540921416206E-2</v>
      </c>
      <c r="M978" s="12">
        <f t="array" aca="1" ref="M978:N978" ca="1">Opt3Spd(H978:J978,$E$3:$G$3,$K$3:$M$3,$N$3:$P$3,$H$4,$I$3,$Q$3,$J$3)</f>
        <v>4.2728763665247804E-2</v>
      </c>
      <c r="N978" s="12">
        <f ca="1"/>
        <v>212.86727418720756</v>
      </c>
      <c r="O978" s="12">
        <f t="shared" ca="1" si="134"/>
        <v>0.10094730458666401</v>
      </c>
    </row>
    <row r="979" spans="2:15" x14ac:dyDescent="0.15">
      <c r="B979" s="6">
        <f t="shared" ca="1" si="127"/>
        <v>-9.5213799535704552E-2</v>
      </c>
      <c r="C979" s="6">
        <f t="shared" ca="1" si="127"/>
        <v>4.9087177707706382E-2</v>
      </c>
      <c r="D979" s="6">
        <f t="shared" ca="1" si="127"/>
        <v>9.1399114687986158E-2</v>
      </c>
      <c r="E979" s="8">
        <f t="shared" ca="1" si="128"/>
        <v>-2.1678657927228641E-3</v>
      </c>
      <c r="F979" s="8">
        <f t="shared" ca="1" si="129"/>
        <v>-2.4033742437736343E-3</v>
      </c>
      <c r="G979" s="8">
        <f t="shared" ca="1" si="130"/>
        <v>-2.3818217696243392E-3</v>
      </c>
      <c r="H979" s="10">
        <f t="shared" ca="1" si="131"/>
        <v>4007.2938509764249</v>
      </c>
      <c r="I979" s="10">
        <f t="shared" ca="1" si="132"/>
        <v>542.69256441138714</v>
      </c>
      <c r="J979" s="10">
        <f t="shared" ca="1" si="133"/>
        <v>2230.67424652312</v>
      </c>
      <c r="K979" s="12">
        <f t="array" aca="1" ref="K979:L979" ca="1">Opt3Spd(H979:J979,$E$3:$G$3,$K$3:$M$3,$N$3:$P$3,$H$3,$I$3,$Q$3,$J$3)</f>
        <v>198.68350985833263</v>
      </c>
      <c r="L979" s="12">
        <f ca="1"/>
        <v>3.4885201687075096E-2</v>
      </c>
      <c r="M979" s="12">
        <f t="array" aca="1" ref="M979:N979" ca="1">Opt3Spd(H979:J979,$E$3:$G$3,$K$3:$M$3,$N$3:$P$3,$H$4,$I$3,$Q$3,$J$3)</f>
        <v>7.5873929681532282E-2</v>
      </c>
      <c r="N979" s="12">
        <f ca="1"/>
        <v>201.42724927303598</v>
      </c>
      <c r="O979" s="12">
        <f t="shared" ca="1" si="134"/>
        <v>0.11075913136860738</v>
      </c>
    </row>
    <row r="980" spans="2:15" x14ac:dyDescent="0.15">
      <c r="B980" s="6">
        <f t="shared" ca="1" si="127"/>
        <v>-0.33659438034561046</v>
      </c>
      <c r="C980" s="6">
        <f t="shared" ca="1" si="127"/>
        <v>0.43548949674059217</v>
      </c>
      <c r="D980" s="6">
        <f t="shared" ca="1" si="127"/>
        <v>0.89830266647511581</v>
      </c>
      <c r="E980" s="8">
        <f t="shared" ca="1" si="128"/>
        <v>-7.663715204437027E-3</v>
      </c>
      <c r="F980" s="8">
        <f t="shared" ca="1" si="129"/>
        <v>-2.4742203107329269E-3</v>
      </c>
      <c r="G980" s="8">
        <f t="shared" ca="1" si="130"/>
        <v>-1.5320496717483672E-3</v>
      </c>
      <c r="H980" s="10">
        <f t="shared" ca="1" si="131"/>
        <v>3985.2225197389812</v>
      </c>
      <c r="I980" s="10">
        <f t="shared" ca="1" si="132"/>
        <v>542.65402415096128</v>
      </c>
      <c r="J980" s="10">
        <f t="shared" ca="1" si="133"/>
        <v>2232.5743369339707</v>
      </c>
      <c r="K980" s="12">
        <f t="array" aca="1" ref="K980:L980" ca="1">Opt3Spd(H980:J980,$E$3:$G$3,$K$3:$M$3,$N$3:$P$3,$H$3,$I$3,$Q$3,$J$3)</f>
        <v>175.79217066992987</v>
      </c>
      <c r="L980" s="12">
        <f ca="1"/>
        <v>0.10325803947216627</v>
      </c>
      <c r="M980" s="12">
        <f t="array" aca="1" ref="M980:N980" ca="1">Opt3Spd(H980:J980,$E$3:$G$3,$K$3:$M$3,$N$3:$P$3,$H$4,$I$3,$Q$3,$J$3)</f>
        <v>2.5162489681365141E-2</v>
      </c>
      <c r="N980" s="12">
        <f ca="1"/>
        <v>224.33624985922367</v>
      </c>
      <c r="O980" s="12">
        <f t="shared" ca="1" si="134"/>
        <v>0.12842052915353142</v>
      </c>
    </row>
    <row r="981" spans="2:15" x14ac:dyDescent="0.15">
      <c r="B981" s="6">
        <f t="shared" ca="1" si="127"/>
        <v>1.2544928420379897</v>
      </c>
      <c r="C981" s="6">
        <f t="shared" ca="1" si="127"/>
        <v>-0.3465667431291331</v>
      </c>
      <c r="D981" s="6">
        <f t="shared" ca="1" si="127"/>
        <v>0.66558642869109541</v>
      </c>
      <c r="E981" s="8">
        <f t="shared" ca="1" si="128"/>
        <v>2.8562793762368699E-2</v>
      </c>
      <c r="F981" s="8">
        <f t="shared" ca="1" si="129"/>
        <v>3.8566502926979482E-2</v>
      </c>
      <c r="G981" s="8">
        <f t="shared" ca="1" si="130"/>
        <v>5.2172482187235206E-2</v>
      </c>
      <c r="H981" s="10">
        <f t="shared" ca="1" si="131"/>
        <v>4130.708179749673</v>
      </c>
      <c r="I981" s="10">
        <f t="shared" ca="1" si="132"/>
        <v>564.98017759227685</v>
      </c>
      <c r="J981" s="10">
        <f t="shared" ca="1" si="133"/>
        <v>2352.6576701706576</v>
      </c>
      <c r="K981" s="12">
        <f t="array" aca="1" ref="K981:L981" ca="1">Opt3Spd(H981:J981,$E$3:$G$3,$K$3:$M$3,$N$3:$P$3,$H$3,$I$3,$Q$3,$J$3)</f>
        <v>225.42162240434482</v>
      </c>
      <c r="L981" s="12">
        <f ca="1"/>
        <v>1.0561887643234513E-2</v>
      </c>
      <c r="M981" s="12">
        <f t="array" aca="1" ref="M981:N981" ca="1">Opt3Spd(H981:J981,$E$3:$G$3,$K$3:$M$3,$N$3:$P$3,$H$4,$I$3,$Q$3,$J$3)</f>
        <v>0.26573771738545204</v>
      </c>
      <c r="N981" s="12">
        <f ca="1"/>
        <v>174.85467720068388</v>
      </c>
      <c r="O981" s="12">
        <f t="shared" ca="1" si="134"/>
        <v>0.27629960502868656</v>
      </c>
    </row>
    <row r="982" spans="2:15" x14ac:dyDescent="0.15">
      <c r="B982" s="6">
        <f t="shared" ca="1" si="127"/>
        <v>0.31440120523445936</v>
      </c>
      <c r="C982" s="6">
        <f t="shared" ca="1" si="127"/>
        <v>-0.55171849965156283</v>
      </c>
      <c r="D982" s="6">
        <f t="shared" ca="1" si="127"/>
        <v>1.1905904289303189</v>
      </c>
      <c r="E982" s="8">
        <f t="shared" ca="1" si="128"/>
        <v>7.1584121350292008E-3</v>
      </c>
      <c r="F982" s="8">
        <f t="shared" ca="1" si="129"/>
        <v>-1.0209327056039383E-3</v>
      </c>
      <c r="G982" s="8">
        <f t="shared" ca="1" si="130"/>
        <v>2.2632390830758874E-2</v>
      </c>
      <c r="H982" s="10">
        <f t="shared" ca="1" si="131"/>
        <v>4044.7481831342775</v>
      </c>
      <c r="I982" s="10">
        <f t="shared" ca="1" si="132"/>
        <v>543.44461260815149</v>
      </c>
      <c r="J982" s="10">
        <f t="shared" ca="1" si="133"/>
        <v>2286.6060258975767</v>
      </c>
      <c r="K982" s="12">
        <f t="array" aca="1" ref="K982:L982" ca="1">Opt3Spd(H982:J982,$E$3:$G$3,$K$3:$M$3,$N$3:$P$3,$H$3,$I$3,$Q$3,$J$3)</f>
        <v>206.95838908159317</v>
      </c>
      <c r="L982" s="12">
        <f ca="1"/>
        <v>2.4599069146233887E-2</v>
      </c>
      <c r="M982" s="12">
        <f t="array" aca="1" ref="M982:N982" ca="1">Opt3Spd(H982:J982,$E$3:$G$3,$K$3:$M$3,$N$3:$P$3,$H$4,$I$3,$Q$3,$J$3)</f>
        <v>0.11538168307191299</v>
      </c>
      <c r="N982" s="12">
        <f ca="1"/>
        <v>193.18159167062498</v>
      </c>
      <c r="O982" s="12">
        <f t="shared" ca="1" si="134"/>
        <v>0.13998075221814688</v>
      </c>
    </row>
    <row r="983" spans="2:15" x14ac:dyDescent="0.15">
      <c r="B983" s="6">
        <f t="shared" ca="1" si="127"/>
        <v>3.4554326533776398E-3</v>
      </c>
      <c r="C983" s="6">
        <f t="shared" ca="1" si="127"/>
        <v>-0.41209190944369134</v>
      </c>
      <c r="D983" s="6">
        <f t="shared" ca="1" si="127"/>
        <v>-0.43947111526753774</v>
      </c>
      <c r="E983" s="8">
        <f t="shared" ca="1" si="128"/>
        <v>7.867466989914569E-5</v>
      </c>
      <c r="F983" s="8">
        <f t="shared" ca="1" si="129"/>
        <v>-9.3451995251786161E-3</v>
      </c>
      <c r="G983" s="8">
        <f t="shared" ca="1" si="130"/>
        <v>-5.7510535297975078E-3</v>
      </c>
      <c r="H983" s="10">
        <f t="shared" ca="1" si="131"/>
        <v>4016.3159574743149</v>
      </c>
      <c r="I983" s="10">
        <f t="shared" ca="1" si="132"/>
        <v>538.91621145830277</v>
      </c>
      <c r="J983" s="10">
        <f t="shared" ca="1" si="133"/>
        <v>2223.1406443073729</v>
      </c>
      <c r="K983" s="12">
        <f t="array" aca="1" ref="K983:L983" ca="1">Opt3Spd(H983:J983,$E$3:$G$3,$K$3:$M$3,$N$3:$P$3,$H$3,$I$3,$Q$3,$J$3)</f>
        <v>217.49298881585196</v>
      </c>
      <c r="L983" s="12">
        <f ca="1"/>
        <v>1.3291828507817627E-2</v>
      </c>
      <c r="M983" s="12">
        <f t="array" aca="1" ref="M983:N983" ca="1">Opt3Spd(H983:J983,$E$3:$G$3,$K$3:$M$3,$N$3:$P$3,$H$4,$I$3,$Q$3,$J$3)</f>
        <v>0.17342022058739559</v>
      </c>
      <c r="N983" s="12">
        <f ca="1"/>
        <v>182.69372323324325</v>
      </c>
      <c r="O983" s="12">
        <f t="shared" ca="1" si="134"/>
        <v>0.18671204909521322</v>
      </c>
    </row>
    <row r="984" spans="2:15" x14ac:dyDescent="0.15">
      <c r="B984" s="6">
        <f t="shared" ca="1" si="127"/>
        <v>0.4279423795188263</v>
      </c>
      <c r="C984" s="6">
        <f t="shared" ca="1" si="127"/>
        <v>1.7000259741037196</v>
      </c>
      <c r="D984" s="6">
        <f t="shared" ca="1" si="127"/>
        <v>-1.3269531083802582</v>
      </c>
      <c r="E984" s="8">
        <f t="shared" ca="1" si="128"/>
        <v>9.7435629114601147E-3</v>
      </c>
      <c r="F984" s="8">
        <f t="shared" ca="1" si="129"/>
        <v>5.495493012558382E-2</v>
      </c>
      <c r="G984" s="8">
        <f t="shared" ca="1" si="130"/>
        <v>6.5209293944087851E-3</v>
      </c>
      <c r="H984" s="10">
        <f t="shared" ca="1" si="131"/>
        <v>4055.1301486524239</v>
      </c>
      <c r="I984" s="10">
        <f t="shared" ca="1" si="132"/>
        <v>573.89548198831756</v>
      </c>
      <c r="J984" s="10">
        <f t="shared" ca="1" si="133"/>
        <v>2250.5807981258981</v>
      </c>
      <c r="K984" s="12">
        <f t="array" aca="1" ref="K984:L984" ca="1">Opt3Spd(H984:J984,$E$3:$G$3,$K$3:$M$3,$N$3:$P$3,$H$3,$I$3,$Q$3,$J$3)</f>
        <v>186.67215859970793</v>
      </c>
      <c r="L984" s="12">
        <f ca="1"/>
        <v>6.518019154123067E-2</v>
      </c>
      <c r="M984" s="12">
        <f t="array" aca="1" ref="M984:N984" ca="1">Opt3Spd(H984:J984,$E$3:$G$3,$K$3:$M$3,$N$3:$P$3,$H$4,$I$3,$Q$3,$J$3)</f>
        <v>4.4566884950961949E-2</v>
      </c>
      <c r="N984" s="12">
        <f ca="1"/>
        <v>213.43758847678427</v>
      </c>
      <c r="O984" s="12">
        <f t="shared" ca="1" si="134"/>
        <v>0.10974707649219262</v>
      </c>
    </row>
    <row r="985" spans="2:15" x14ac:dyDescent="0.15">
      <c r="B985" s="6">
        <f t="shared" ca="1" si="127"/>
        <v>0.50851920217023205</v>
      </c>
      <c r="C985" s="6">
        <f t="shared" ca="1" si="127"/>
        <v>0.52308989328585587</v>
      </c>
      <c r="D985" s="6">
        <f t="shared" ca="1" si="127"/>
        <v>-1.3498847443690003</v>
      </c>
      <c r="E985" s="8">
        <f t="shared" ca="1" si="128"/>
        <v>1.1578168172084922E-2</v>
      </c>
      <c r="F985" s="8">
        <f t="shared" ca="1" si="129"/>
        <v>3.0887816154187731E-2</v>
      </c>
      <c r="G985" s="8">
        <f t="shared" ca="1" si="130"/>
        <v>5.8202876735505326E-3</v>
      </c>
      <c r="H985" s="10">
        <f t="shared" ca="1" si="131"/>
        <v>4062.4979233790932</v>
      </c>
      <c r="I985" s="10">
        <f t="shared" ca="1" si="132"/>
        <v>560.8029719878781</v>
      </c>
      <c r="J985" s="10">
        <f t="shared" ca="1" si="133"/>
        <v>2249.0141632380587</v>
      </c>
      <c r="K985" s="12">
        <f t="array" aca="1" ref="K985:L985" ca="1">Opt3Spd(H985:J985,$E$3:$G$3,$K$3:$M$3,$N$3:$P$3,$H$3,$I$3,$Q$3,$J$3)</f>
        <v>215.72142486581902</v>
      </c>
      <c r="L985" s="12">
        <f ca="1"/>
        <v>1.5338286360019993E-2</v>
      </c>
      <c r="M985" s="12">
        <f t="array" aca="1" ref="M985:N985" ca="1">Opt3Spd(H985:J985,$E$3:$G$3,$K$3:$M$3,$N$3:$P$3,$H$4,$I$3,$Q$3,$J$3)</f>
        <v>0.1649704153649445</v>
      </c>
      <c r="N985" s="12">
        <f ca="1"/>
        <v>184.45888383590594</v>
      </c>
      <c r="O985" s="12">
        <f t="shared" ca="1" si="134"/>
        <v>0.18030870172496449</v>
      </c>
    </row>
    <row r="986" spans="2:15" x14ac:dyDescent="0.15">
      <c r="B986" s="6">
        <f t="shared" ca="1" si="127"/>
        <v>0.85045562185124679</v>
      </c>
      <c r="C986" s="6">
        <f t="shared" ca="1" si="127"/>
        <v>-1.9848810731475926E-2</v>
      </c>
      <c r="D986" s="6">
        <f t="shared" ca="1" si="127"/>
        <v>-0.32787925798983447</v>
      </c>
      <c r="E986" s="8">
        <f t="shared" ca="1" si="128"/>
        <v>1.9363513060402592E-2</v>
      </c>
      <c r="F986" s="8">
        <f t="shared" ca="1" si="129"/>
        <v>3.1090095699165904E-2</v>
      </c>
      <c r="G986" s="8">
        <f t="shared" ca="1" si="130"/>
        <v>2.7693820435758371E-2</v>
      </c>
      <c r="H986" s="10">
        <f t="shared" ca="1" si="131"/>
        <v>4093.7638684505769</v>
      </c>
      <c r="I986" s="10">
        <f t="shared" ca="1" si="132"/>
        <v>560.91301206034632</v>
      </c>
      <c r="J986" s="10">
        <f t="shared" ca="1" si="133"/>
        <v>2297.9233824943558</v>
      </c>
      <c r="K986" s="12">
        <f t="array" aca="1" ref="K986:L986" ca="1">Opt3Spd(H986:J986,$E$3:$G$3,$K$3:$M$3,$N$3:$P$3,$H$3,$I$3,$Q$3,$J$3)</f>
        <v>222.35288928683804</v>
      </c>
      <c r="L986" s="12">
        <f ca="1"/>
        <v>1.1531379993357405E-2</v>
      </c>
      <c r="M986" s="12">
        <f t="array" aca="1" ref="M986:N986" ca="1">Opt3Spd(H986:J986,$E$3:$G$3,$K$3:$M$3,$N$3:$P$3,$H$4,$I$3,$Q$3,$J$3)</f>
        <v>0.22560609013581967</v>
      </c>
      <c r="N986" s="12">
        <f ca="1"/>
        <v>177.88424818329113</v>
      </c>
      <c r="O986" s="12">
        <f t="shared" ca="1" si="134"/>
        <v>0.23713747012917707</v>
      </c>
    </row>
    <row r="987" spans="2:15" x14ac:dyDescent="0.15">
      <c r="B987" s="6">
        <f t="shared" ca="1" si="127"/>
        <v>-1.0867356149549026</v>
      </c>
      <c r="C987" s="6">
        <f t="shared" ca="1" si="127"/>
        <v>1.2046248965568565</v>
      </c>
      <c r="D987" s="6">
        <f t="shared" ca="1" si="127"/>
        <v>0.66660908106263295</v>
      </c>
      <c r="E987" s="8">
        <f t="shared" ca="1" si="128"/>
        <v>-2.4743230255304886E-2</v>
      </c>
      <c r="F987" s="8">
        <f t="shared" ca="1" si="129"/>
        <v>-1.2618329988132889E-2</v>
      </c>
      <c r="G987" s="8">
        <f t="shared" ca="1" si="130"/>
        <v>-2.9326485424320189E-2</v>
      </c>
      <c r="H987" s="10">
        <f t="shared" ca="1" si="131"/>
        <v>3916.6311872946953</v>
      </c>
      <c r="I987" s="10">
        <f t="shared" ca="1" si="132"/>
        <v>537.13562848645574</v>
      </c>
      <c r="J987" s="10">
        <f t="shared" ca="1" si="133"/>
        <v>2170.42597859122</v>
      </c>
      <c r="K987" s="12">
        <f t="array" aca="1" ref="K987:L987" ca="1">Opt3Spd(H987:J987,$E$3:$G$3,$K$3:$M$3,$N$3:$P$3,$H$3,$I$3,$Q$3,$J$3)</f>
        <v>147.33970861265493</v>
      </c>
      <c r="L987" s="12">
        <f ca="1"/>
        <v>0.33851619189886151</v>
      </c>
      <c r="M987" s="12">
        <f t="array" aca="1" ref="M987:N987" ca="1">Opt3Spd(H987:J987,$E$3:$G$3,$K$3:$M$3,$N$3:$P$3,$H$4,$I$3,$Q$3,$J$3)</f>
        <v>5.0255239740115698E-3</v>
      </c>
      <c r="N987" s="12">
        <f ca="1"/>
        <v>253.00383310321794</v>
      </c>
      <c r="O987" s="12">
        <f t="shared" ca="1" si="134"/>
        <v>0.34354171587287308</v>
      </c>
    </row>
    <row r="988" spans="2:15" x14ac:dyDescent="0.15">
      <c r="B988" s="6">
        <f t="shared" ca="1" si="127"/>
        <v>-4.4554357267541179E-2</v>
      </c>
      <c r="C988" s="6">
        <f t="shared" ca="1" si="127"/>
        <v>-1.2423288593696402</v>
      </c>
      <c r="D988" s="6">
        <f t="shared" ca="1" si="127"/>
        <v>-1.8850376740737329</v>
      </c>
      <c r="E988" s="8">
        <f t="shared" ca="1" si="128"/>
        <v>-1.0144313902822042E-3</v>
      </c>
      <c r="F988" s="8">
        <f t="shared" ca="1" si="129"/>
        <v>-3.0211951216804638E-2</v>
      </c>
      <c r="G988" s="8">
        <f t="shared" ca="1" si="130"/>
        <v>-2.5324707993304219E-2</v>
      </c>
      <c r="H988" s="10">
        <f t="shared" ca="1" si="131"/>
        <v>4011.9260435366264</v>
      </c>
      <c r="I988" s="10">
        <f t="shared" ca="1" si="132"/>
        <v>527.56469853805822</v>
      </c>
      <c r="J988" s="10">
        <f t="shared" ca="1" si="133"/>
        <v>2179.3739529269719</v>
      </c>
      <c r="K988" s="12">
        <f t="array" aca="1" ref="K988:L988" ca="1">Opt3Spd(H988:J988,$E$3:$G$3,$K$3:$M$3,$N$3:$P$3,$H$3,$I$3,$Q$3,$J$3)</f>
        <v>253.13727603975281</v>
      </c>
      <c r="L988" s="12">
        <f ca="1"/>
        <v>1.7266275056044833E-3</v>
      </c>
      <c r="M988" s="12">
        <f t="array" aca="1" ref="M988:N988" ca="1">Opt3Spd(H988:J988,$E$3:$G$3,$K$3:$M$3,$N$3:$P$3,$H$4,$I$3,$Q$3,$J$3)</f>
        <v>0.69128357971739973</v>
      </c>
      <c r="N988" s="12">
        <f ca="1"/>
        <v>147.55573416747021</v>
      </c>
      <c r="O988" s="12">
        <f t="shared" ca="1" si="134"/>
        <v>0.69301020722300422</v>
      </c>
    </row>
    <row r="989" spans="2:15" x14ac:dyDescent="0.15">
      <c r="B989" s="6">
        <f t="shared" ca="1" si="127"/>
        <v>0.9318424965654809</v>
      </c>
      <c r="C989" s="6">
        <f t="shared" ca="1" si="127"/>
        <v>-0.61426514665559673</v>
      </c>
      <c r="D989" s="6">
        <f t="shared" ca="1" si="127"/>
        <v>0.38505327794809879</v>
      </c>
      <c r="E989" s="8">
        <f t="shared" ca="1" si="128"/>
        <v>2.1216561909728759E-2</v>
      </c>
      <c r="F989" s="8">
        <f t="shared" ca="1" si="129"/>
        <v>2.044428288760344E-2</v>
      </c>
      <c r="G989" s="8">
        <f t="shared" ca="1" si="130"/>
        <v>3.6553177611734558E-2</v>
      </c>
      <c r="H989" s="10">
        <f t="shared" ca="1" si="131"/>
        <v>4101.2057126294712</v>
      </c>
      <c r="I989" s="10">
        <f t="shared" ca="1" si="132"/>
        <v>555.12168989085626</v>
      </c>
      <c r="J989" s="10">
        <f t="shared" ca="1" si="133"/>
        <v>2317.7329051398383</v>
      </c>
      <c r="K989" s="12">
        <f t="array" aca="1" ref="K989:L989" ca="1">Opt3Spd(H989:J989,$E$3:$G$3,$K$3:$M$3,$N$3:$P$3,$H$3,$I$3,$Q$3,$J$3)</f>
        <v>229.15276331636323</v>
      </c>
      <c r="L989" s="12">
        <f ca="1"/>
        <v>8.2070821813431394E-3</v>
      </c>
      <c r="M989" s="12">
        <f t="array" aca="1" ref="M989:N989" ca="1">Opt3Spd(H989:J989,$E$3:$G$3,$K$3:$M$3,$N$3:$P$3,$H$4,$I$3,$Q$3,$J$3)</f>
        <v>0.30063944718361668</v>
      </c>
      <c r="N989" s="12">
        <f ca="1"/>
        <v>171.15608321300172</v>
      </c>
      <c r="O989" s="12">
        <f t="shared" ca="1" si="134"/>
        <v>0.30884652936495982</v>
      </c>
    </row>
    <row r="990" spans="2:15" x14ac:dyDescent="0.15">
      <c r="B990" s="6">
        <f t="shared" ca="1" si="127"/>
        <v>-1.3445290081004271</v>
      </c>
      <c r="C990" s="6">
        <f t="shared" ca="1" si="127"/>
        <v>-0.63525077162061838</v>
      </c>
      <c r="D990" s="6">
        <f t="shared" ca="1" si="127"/>
        <v>-0.47528274842332369</v>
      </c>
      <c r="E990" s="8">
        <f t="shared" ca="1" si="128"/>
        <v>-3.0612773129503182E-2</v>
      </c>
      <c r="F990" s="8">
        <f t="shared" ca="1" si="129"/>
        <v>-6.4476770092956492E-2</v>
      </c>
      <c r="G990" s="8">
        <f t="shared" ca="1" si="130"/>
        <v>-5.6303136722387667E-2</v>
      </c>
      <c r="H990" s="10">
        <f t="shared" ca="1" si="131"/>
        <v>3893.0591031119152</v>
      </c>
      <c r="I990" s="10">
        <f t="shared" ca="1" si="132"/>
        <v>508.9246370694317</v>
      </c>
      <c r="J990" s="10">
        <f t="shared" ca="1" si="133"/>
        <v>2110.1061862887414</v>
      </c>
      <c r="K990" s="12">
        <f t="array" aca="1" ref="K990:L990" ca="1">Opt3Spd(H990:J990,$E$3:$G$3,$K$3:$M$3,$N$3:$P$3,$H$3,$I$3,$Q$3,$J$3)</f>
        <v>198.75661266311727</v>
      </c>
      <c r="L990" s="12">
        <f ca="1"/>
        <v>3.0022006663557477E-2</v>
      </c>
      <c r="M990" s="12">
        <f t="array" aca="1" ref="M990:N990" ca="1">Opt3Spd(H990:J990,$E$3:$G$3,$K$3:$M$3,$N$3:$P$3,$H$4,$I$3,$Q$3,$J$3)</f>
        <v>6.8203884644283619E-2</v>
      </c>
      <c r="N990" s="12">
        <f ca="1"/>
        <v>201.34161322819057</v>
      </c>
      <c r="O990" s="12">
        <f t="shared" ca="1" si="134"/>
        <v>9.8225891307841096E-2</v>
      </c>
    </row>
    <row r="991" spans="2:15" x14ac:dyDescent="0.15">
      <c r="B991" s="6">
        <f t="shared" ca="1" si="127"/>
        <v>0.18350493965218878</v>
      </c>
      <c r="C991" s="6">
        <f t="shared" ca="1" si="127"/>
        <v>0.3092082270081421</v>
      </c>
      <c r="D991" s="6">
        <f t="shared" ca="1" si="127"/>
        <v>2.1302428522459178</v>
      </c>
      <c r="E991" s="8">
        <f t="shared" ca="1" si="128"/>
        <v>4.1781137125871748E-3</v>
      </c>
      <c r="F991" s="8">
        <f t="shared" ca="1" si="129"/>
        <v>1.3915076027248199E-2</v>
      </c>
      <c r="G991" s="8">
        <f t="shared" ca="1" si="130"/>
        <v>3.03328884882893E-2</v>
      </c>
      <c r="H991" s="10">
        <f t="shared" ca="1" si="131"/>
        <v>4032.7793046697498</v>
      </c>
      <c r="I991" s="10">
        <f t="shared" ca="1" si="132"/>
        <v>551.56980135882304</v>
      </c>
      <c r="J991" s="10">
        <f t="shared" ca="1" si="133"/>
        <v>2303.8243386598147</v>
      </c>
      <c r="K991" s="12">
        <f t="array" aca="1" ref="K991:L991" ca="1">Opt3Spd(H991:J991,$E$3:$G$3,$K$3:$M$3,$N$3:$P$3,$H$3,$I$3,$Q$3,$J$3)</f>
        <v>173.47816909418225</v>
      </c>
      <c r="L991" s="12">
        <f ca="1"/>
        <v>0.12271592845650048</v>
      </c>
      <c r="M991" s="12">
        <f t="array" aca="1" ref="M991:N991" ca="1">Opt3Spd(H991:J991,$E$3:$G$3,$K$3:$M$3,$N$3:$P$3,$H$4,$I$3,$Q$3,$J$3)</f>
        <v>2.420072731551004E-2</v>
      </c>
      <c r="N991" s="12">
        <f ca="1"/>
        <v>226.66874756158975</v>
      </c>
      <c r="O991" s="12">
        <f t="shared" ca="1" si="134"/>
        <v>0.14691665577201052</v>
      </c>
    </row>
    <row r="992" spans="2:15" x14ac:dyDescent="0.15">
      <c r="B992" s="6">
        <f t="shared" ca="1" si="127"/>
        <v>-2.0324769491392978</v>
      </c>
      <c r="C992" s="6">
        <f t="shared" ca="1" si="127"/>
        <v>-0.84166095421084663</v>
      </c>
      <c r="D992" s="6">
        <f t="shared" ca="1" si="127"/>
        <v>0.33275016602245489</v>
      </c>
      <c r="E992" s="8">
        <f t="shared" ca="1" si="128"/>
        <v>-4.6276246447706768E-2</v>
      </c>
      <c r="F992" s="8">
        <f t="shared" ca="1" si="129"/>
        <v>-9.4740238595945783E-2</v>
      </c>
      <c r="G992" s="8">
        <f t="shared" ca="1" si="130"/>
        <v>-7.3568409498046217E-2</v>
      </c>
      <c r="H992" s="10">
        <f t="shared" ca="1" si="131"/>
        <v>3830.1545942660096</v>
      </c>
      <c r="I992" s="10">
        <f t="shared" ca="1" si="132"/>
        <v>492.46131020380545</v>
      </c>
      <c r="J992" s="10">
        <f t="shared" ca="1" si="133"/>
        <v>2071.5010363623687</v>
      </c>
      <c r="K992" s="12">
        <f t="array" aca="1" ref="K992:L992" ca="1">Opt3Spd(H992:J992,$E$3:$G$3,$K$3:$M$3,$N$3:$P$3,$H$3,$I$3,$Q$3,$J$3)</f>
        <v>181.5327952368973</v>
      </c>
      <c r="L992" s="12">
        <f ca="1"/>
        <v>6.6815478160833663E-2</v>
      </c>
      <c r="M992" s="12">
        <f t="array" aca="1" ref="M992:N992" ca="1">Opt3Spd(H992:J992,$E$3:$G$3,$K$3:$M$3,$N$3:$P$3,$H$4,$I$3,$Q$3,$J$3)</f>
        <v>2.8327815478086382E-2</v>
      </c>
      <c r="N992" s="12">
        <f ca="1"/>
        <v>218.56234805674163</v>
      </c>
      <c r="O992" s="12">
        <f t="shared" ca="1" si="134"/>
        <v>9.5143293638920046E-2</v>
      </c>
    </row>
    <row r="993" spans="2:15" x14ac:dyDescent="0.15">
      <c r="B993" s="6">
        <f t="shared" ca="1" si="127"/>
        <v>0.35825167245874051</v>
      </c>
      <c r="C993" s="6">
        <f t="shared" ca="1" si="127"/>
        <v>-0.57466714270458141</v>
      </c>
      <c r="D993" s="6">
        <f t="shared" ca="1" si="127"/>
        <v>0.97125523384432699</v>
      </c>
      <c r="E993" s="8">
        <f t="shared" ca="1" si="128"/>
        <v>8.156817075846489E-3</v>
      </c>
      <c r="F993" s="8">
        <f t="shared" ca="1" si="129"/>
        <v>7.8080528996934647E-5</v>
      </c>
      <c r="G993" s="8">
        <f t="shared" ca="1" si="130"/>
        <v>2.1840176683216778E-2</v>
      </c>
      <c r="H993" s="10">
        <f t="shared" ca="1" si="131"/>
        <v>4048.7577773765997</v>
      </c>
      <c r="I993" s="10">
        <f t="shared" ca="1" si="132"/>
        <v>544.04247580777428</v>
      </c>
      <c r="J993" s="10">
        <f t="shared" ca="1" si="133"/>
        <v>2284.834635063673</v>
      </c>
      <c r="K993" s="12">
        <f t="array" aca="1" ref="K993:L993" ca="1">Opt3Spd(H993:J993,$E$3:$G$3,$K$3:$M$3,$N$3:$P$3,$H$3,$I$3,$Q$3,$J$3)</f>
        <v>210.89264773519494</v>
      </c>
      <c r="L993" s="12">
        <f ca="1"/>
        <v>2.0149182870454752E-2</v>
      </c>
      <c r="M993" s="12">
        <f t="array" aca="1" ref="M993:N993" ca="1">Opt3Spd(H993:J993,$E$3:$G$3,$K$3:$M$3,$N$3:$P$3,$H$4,$I$3,$Q$3,$J$3)</f>
        <v>0.13689077749380729</v>
      </c>
      <c r="N993" s="12">
        <f ca="1"/>
        <v>189.26439222516933</v>
      </c>
      <c r="O993" s="12">
        <f t="shared" ca="1" si="134"/>
        <v>0.15703996036426204</v>
      </c>
    </row>
    <row r="994" spans="2:15" x14ac:dyDescent="0.15">
      <c r="B994" s="6">
        <f t="shared" ca="1" si="127"/>
        <v>0.2182417866272974</v>
      </c>
      <c r="C994" s="6">
        <f t="shared" ca="1" si="127"/>
        <v>-0.9407755415771355</v>
      </c>
      <c r="D994" s="6">
        <f t="shared" ca="1" si="127"/>
        <v>1.0286010695136498</v>
      </c>
      <c r="E994" s="8">
        <f t="shared" ca="1" si="128"/>
        <v>4.9690161098405045E-3</v>
      </c>
      <c r="F994" s="8">
        <f t="shared" ca="1" si="129"/>
        <v>-1.353166041918127E-2</v>
      </c>
      <c r="G994" s="8">
        <f t="shared" ca="1" si="130"/>
        <v>1.6244547444883767E-2</v>
      </c>
      <c r="H994" s="10">
        <f t="shared" ca="1" si="131"/>
        <v>4035.9555686971198</v>
      </c>
      <c r="I994" s="10">
        <f t="shared" ca="1" si="132"/>
        <v>536.63877673196532</v>
      </c>
      <c r="J994" s="10">
        <f t="shared" ca="1" si="133"/>
        <v>2272.3228080867602</v>
      </c>
      <c r="K994" s="12">
        <f t="array" aca="1" ref="K994:L994" ca="1">Opt3Spd(H994:J994,$E$3:$G$3,$K$3:$M$3,$N$3:$P$3,$H$3,$I$3,$Q$3,$J$3)</f>
        <v>216.18717934485176</v>
      </c>
      <c r="L994" s="12">
        <f ca="1"/>
        <v>1.5057462256663712E-2</v>
      </c>
      <c r="M994" s="12">
        <f t="array" aca="1" ref="M994:N994" ca="1">Opt3Spd(H994:J994,$E$3:$G$3,$K$3:$M$3,$N$3:$P$3,$H$4,$I$3,$Q$3,$J$3)</f>
        <v>0.16993716409664295</v>
      </c>
      <c r="N994" s="12">
        <f ca="1"/>
        <v>183.99781528150154</v>
      </c>
      <c r="O994" s="12">
        <f t="shared" ca="1" si="134"/>
        <v>0.18499462635330666</v>
      </c>
    </row>
    <row r="995" spans="2:15" x14ac:dyDescent="0.15">
      <c r="B995" s="6">
        <f t="shared" ca="1" si="127"/>
        <v>-0.76078386961696765</v>
      </c>
      <c r="C995" s="6">
        <f t="shared" ca="1" si="127"/>
        <v>-0.93963546220768723</v>
      </c>
      <c r="D995" s="6">
        <f t="shared" ca="1" si="127"/>
        <v>1.019901919810879</v>
      </c>
      <c r="E995" s="8">
        <f t="shared" ca="1" si="128"/>
        <v>-1.7321830812764567E-2</v>
      </c>
      <c r="F995" s="8">
        <f t="shared" ca="1" si="129"/>
        <v>-4.9820956485953513E-2</v>
      </c>
      <c r="G995" s="8">
        <f t="shared" ca="1" si="130"/>
        <v>-1.9812625953478262E-2</v>
      </c>
      <c r="H995" s="10">
        <f t="shared" ca="1" si="131"/>
        <v>3946.4355274559375</v>
      </c>
      <c r="I995" s="10">
        <f t="shared" ca="1" si="132"/>
        <v>516.89739967164132</v>
      </c>
      <c r="J995" s="10">
        <f t="shared" ca="1" si="133"/>
        <v>2191.6989683680226</v>
      </c>
      <c r="K995" s="12">
        <f t="array" aca="1" ref="K995:L995" ca="1">Opt3Spd(H995:J995,$E$3:$G$3,$K$3:$M$3,$N$3:$P$3,$H$3,$I$3,$Q$3,$J$3)</f>
        <v>198.58331939044047</v>
      </c>
      <c r="L995" s="12">
        <f ca="1"/>
        <v>3.311559314056467E-2</v>
      </c>
      <c r="M995" s="12">
        <f t="array" aca="1" ref="M995:N995" ca="1">Opt3Spd(H995:J995,$E$3:$G$3,$K$3:$M$3,$N$3:$P$3,$H$4,$I$3,$Q$3,$J$3)</f>
        <v>7.2611906134906867E-2</v>
      </c>
      <c r="N995" s="12">
        <f ca="1"/>
        <v>201.52240810883501</v>
      </c>
      <c r="O995" s="12">
        <f t="shared" ca="1" si="134"/>
        <v>0.10572749927547154</v>
      </c>
    </row>
    <row r="996" spans="2:15" x14ac:dyDescent="0.15">
      <c r="B996" s="6">
        <f t="shared" ca="1" si="127"/>
        <v>0.75298450734931843</v>
      </c>
      <c r="C996" s="6">
        <f t="shared" ca="1" si="127"/>
        <v>-1.5902526975525939</v>
      </c>
      <c r="D996" s="6">
        <f t="shared" ca="1" si="127"/>
        <v>0.86248914756872019</v>
      </c>
      <c r="E996" s="8">
        <f t="shared" ca="1" si="128"/>
        <v>1.7144251819514227E-2</v>
      </c>
      <c r="F996" s="8">
        <f t="shared" ca="1" si="129"/>
        <v>-8.6266759741319594E-3</v>
      </c>
      <c r="G996" s="8">
        <f t="shared" ca="1" si="130"/>
        <v>3.223511277964787E-2</v>
      </c>
      <c r="H996" s="10">
        <f t="shared" ca="1" si="131"/>
        <v>4084.851315307169</v>
      </c>
      <c r="I996" s="10">
        <f t="shared" ca="1" si="132"/>
        <v>539.3070882700722</v>
      </c>
      <c r="J996" s="10">
        <f t="shared" ca="1" si="133"/>
        <v>2308.0777121752926</v>
      </c>
      <c r="K996" s="12">
        <f t="array" aca="1" ref="K996:L996" ca="1">Opt3Spd(H996:J996,$E$3:$G$3,$K$3:$M$3,$N$3:$P$3,$H$3,$I$3,$Q$3,$J$3)</f>
        <v>242.92488732107176</v>
      </c>
      <c r="L996" s="12">
        <f ca="1"/>
        <v>3.7693336644224473E-3</v>
      </c>
      <c r="M996" s="12">
        <f t="array" aca="1" ref="M996:N996" ca="1">Opt3Spd(H996:J996,$E$3:$G$3,$K$3:$M$3,$N$3:$P$3,$H$4,$I$3,$Q$3,$J$3)</f>
        <v>0.50809344495027631</v>
      </c>
      <c r="N996" s="12">
        <f ca="1"/>
        <v>157.58697545754293</v>
      </c>
      <c r="O996" s="12">
        <f t="shared" ca="1" si="134"/>
        <v>0.51186277861469875</v>
      </c>
    </row>
    <row r="997" spans="2:15" x14ac:dyDescent="0.15">
      <c r="B997" s="6">
        <f t="shared" ca="1" si="127"/>
        <v>-9.1686716277135274E-2</v>
      </c>
      <c r="C997" s="6">
        <f t="shared" ca="1" si="127"/>
        <v>0.49937256384730927</v>
      </c>
      <c r="D997" s="6">
        <f t="shared" ca="1" si="127"/>
        <v>-0.12970247628948445</v>
      </c>
      <c r="E997" s="8">
        <f t="shared" ca="1" si="128"/>
        <v>-2.0875597532451461E-3</v>
      </c>
      <c r="F997" s="8">
        <f t="shared" ca="1" si="129"/>
        <v>8.078841982927569E-3</v>
      </c>
      <c r="G997" s="8">
        <f t="shared" ca="1" si="130"/>
        <v>-3.3004843690505959E-3</v>
      </c>
      <c r="H997" s="10">
        <f t="shared" ca="1" si="131"/>
        <v>4007.6163600309674</v>
      </c>
      <c r="I997" s="10">
        <f t="shared" ca="1" si="132"/>
        <v>548.39489003871267</v>
      </c>
      <c r="J997" s="10">
        <f t="shared" ca="1" si="133"/>
        <v>2228.6201169508026</v>
      </c>
      <c r="K997" s="12">
        <f t="array" aca="1" ref="K997:L997" ca="1">Opt3Spd(H997:J997,$E$3:$G$3,$K$3:$M$3,$N$3:$P$3,$H$3,$I$3,$Q$3,$J$3)</f>
        <v>190.92542851275994</v>
      </c>
      <c r="L997" s="12">
        <f ca="1"/>
        <v>5.0951019134345188E-2</v>
      </c>
      <c r="M997" s="12">
        <f t="array" aca="1" ref="M997:N997" ca="1">Opt3Spd(H997:J997,$E$3:$G$3,$K$3:$M$3,$N$3:$P$3,$H$4,$I$3,$Q$3,$J$3)</f>
        <v>5.2792308298085011E-2</v>
      </c>
      <c r="N997" s="12">
        <f ca="1"/>
        <v>209.17831481467249</v>
      </c>
      <c r="O997" s="12">
        <f t="shared" ca="1" si="134"/>
        <v>0.1037433274324302</v>
      </c>
    </row>
    <row r="998" spans="2:15" x14ac:dyDescent="0.15">
      <c r="B998" s="6">
        <f t="shared" ca="1" si="127"/>
        <v>0.99369856002709678</v>
      </c>
      <c r="C998" s="6">
        <f t="shared" ca="1" si="127"/>
        <v>1.3036084001261192</v>
      </c>
      <c r="D998" s="6">
        <f t="shared" ca="1" si="127"/>
        <v>-0.26098825489953925</v>
      </c>
      <c r="E998" s="8">
        <f t="shared" ca="1" si="128"/>
        <v>2.2624925452669264E-2</v>
      </c>
      <c r="F998" s="8">
        <f t="shared" ca="1" si="129"/>
        <v>6.6827772339857039E-2</v>
      </c>
      <c r="G998" s="8">
        <f t="shared" ca="1" si="130"/>
        <v>3.7510884293272651E-2</v>
      </c>
      <c r="H998" s="10">
        <f t="shared" ca="1" si="131"/>
        <v>4106.8617006179202</v>
      </c>
      <c r="I998" s="10">
        <f t="shared" ca="1" si="132"/>
        <v>580.35430815288214</v>
      </c>
      <c r="J998" s="10">
        <f t="shared" ca="1" si="133"/>
        <v>2319.8743372797576</v>
      </c>
      <c r="K998" s="12">
        <f t="array" aca="1" ref="K998:L998" ca="1">Opt3Spd(H998:J998,$E$3:$G$3,$K$3:$M$3,$N$3:$P$3,$H$3,$I$3,$Q$3,$J$3)</f>
        <v>193.40875963792882</v>
      </c>
      <c r="L998" s="12">
        <f ca="1"/>
        <v>5.1120704498771374E-2</v>
      </c>
      <c r="M998" s="12">
        <f t="array" aca="1" ref="M998:N998" ca="1">Opt3Spd(H998:J998,$E$3:$G$3,$K$3:$M$3,$N$3:$P$3,$H$4,$I$3,$Q$3,$J$3)</f>
        <v>6.5477595929203325E-2</v>
      </c>
      <c r="N998" s="12">
        <f ca="1"/>
        <v>206.70783866249914</v>
      </c>
      <c r="O998" s="12">
        <f t="shared" ca="1" si="134"/>
        <v>0.1165983004279747</v>
      </c>
    </row>
    <row r="999" spans="2:15" x14ac:dyDescent="0.15">
      <c r="B999" s="6">
        <f t="shared" ca="1" si="127"/>
        <v>-0.58929406760537606</v>
      </c>
      <c r="C999" s="6">
        <f t="shared" ca="1" si="127"/>
        <v>-0.19774422437744707</v>
      </c>
      <c r="D999" s="6">
        <f t="shared" ca="1" si="127"/>
        <v>0.45326726900040798</v>
      </c>
      <c r="E999" s="8">
        <f t="shared" ca="1" si="128"/>
        <v>-1.3417282549859293E-2</v>
      </c>
      <c r="F999" s="8">
        <f t="shared" ca="1" si="129"/>
        <v>-2.640483202078097E-2</v>
      </c>
      <c r="G999" s="8">
        <f t="shared" ca="1" si="130"/>
        <v>-1.7395070586182587E-2</v>
      </c>
      <c r="H999" s="10">
        <f t="shared" ca="1" si="131"/>
        <v>3962.116193279765</v>
      </c>
      <c r="I999" s="10">
        <f t="shared" ca="1" si="132"/>
        <v>529.63577138069513</v>
      </c>
      <c r="J999" s="10">
        <f t="shared" ca="1" si="133"/>
        <v>2197.1046221692955</v>
      </c>
      <c r="K999" s="12">
        <f t="array" aca="1" ref="K999:L999" ca="1">Opt3Spd(H999:J999,$E$3:$G$3,$K$3:$M$3,$N$3:$P$3,$H$3,$I$3,$Q$3,$J$3)</f>
        <v>191.19476099228791</v>
      </c>
      <c r="L999" s="12">
        <f ca="1"/>
        <v>4.8113006283074355E-2</v>
      </c>
      <c r="M999" s="12">
        <f t="array" aca="1" ref="M999:N999" ca="1">Opt3Spd(H999:J999,$E$3:$G$3,$K$3:$M$3,$N$3:$P$3,$H$4,$I$3,$Q$3,$J$3)</f>
        <v>5.1631960789338294E-2</v>
      </c>
      <c r="N999" s="12">
        <f ca="1"/>
        <v>208.9049839747845</v>
      </c>
      <c r="O999" s="12">
        <f t="shared" ca="1" si="134"/>
        <v>9.9744967072412649E-2</v>
      </c>
    </row>
    <row r="1000" spans="2:15" x14ac:dyDescent="0.15">
      <c r="B1000" s="6">
        <f t="shared" ca="1" si="127"/>
        <v>-1.7119881835407993</v>
      </c>
      <c r="C1000" s="6">
        <f t="shared" ca="1" si="127"/>
        <v>0.64481470070093838</v>
      </c>
      <c r="D1000" s="6">
        <f t="shared" ca="1" si="127"/>
        <v>-1.5148445197967031</v>
      </c>
      <c r="E1000" s="8">
        <f t="shared" ca="1" si="128"/>
        <v>-3.8979230308439854E-2</v>
      </c>
      <c r="F1000" s="8">
        <f t="shared" ca="1" si="129"/>
        <v>-4.8680341818539495E-2</v>
      </c>
      <c r="G1000" s="8">
        <f t="shared" ca="1" si="130"/>
        <v>-7.7161504532197916E-2</v>
      </c>
      <c r="H1000" s="10">
        <f t="shared" ca="1" si="131"/>
        <v>3859.4594110813055</v>
      </c>
      <c r="I1000" s="10">
        <f t="shared" ca="1" si="132"/>
        <v>517.51789405071452</v>
      </c>
      <c r="J1000" s="10">
        <f t="shared" ca="1" si="133"/>
        <v>2063.4668758660055</v>
      </c>
      <c r="K1000" s="12">
        <f t="array" aca="1" ref="K1000:L1000" ca="1">Opt3Spd(H1000:J1000,$E$3:$G$3,$K$3:$M$3,$N$3:$P$3,$H$3,$I$3,$Q$3,$J$3)</f>
        <v>174.78918562294893</v>
      </c>
      <c r="L1000" s="12">
        <f ca="1"/>
        <v>9.1842955789616099E-2</v>
      </c>
      <c r="M1000" s="12">
        <f t="array" aca="1" ref="M1000:N1000" ca="1">Opt3Spd(H1000:J1000,$E$3:$G$3,$K$3:$M$3,$N$3:$P$3,$H$4,$I$3,$Q$3,$J$3)</f>
        <v>1.9872116093230918E-2</v>
      </c>
      <c r="N1000" s="12">
        <f ca="1"/>
        <v>225.32252944893392</v>
      </c>
      <c r="O1000" s="12">
        <f t="shared" ca="1" si="134"/>
        <v>0.11171507188284702</v>
      </c>
    </row>
    <row r="1001" spans="2:15" x14ac:dyDescent="0.15">
      <c r="B1001" s="6">
        <f t="shared" ca="1" si="127"/>
        <v>-0.14321727915757215</v>
      </c>
      <c r="C1001" s="6">
        <f t="shared" ca="1" si="127"/>
        <v>0.25790047372859354</v>
      </c>
      <c r="D1001" s="6">
        <f t="shared" ca="1" si="127"/>
        <v>5.0233081331968882E-2</v>
      </c>
      <c r="E1001" s="8">
        <f t="shared" ca="1" si="128"/>
        <v>-3.2608281774966401E-3</v>
      </c>
      <c r="F1001" s="8">
        <f t="shared" ca="1" si="129"/>
        <v>6.1631172597000549E-4</v>
      </c>
      <c r="G1001" s="8">
        <f t="shared" ca="1" si="130"/>
        <v>-3.9777566184089636E-3</v>
      </c>
      <c r="H1001" s="10">
        <f t="shared" ca="1" si="131"/>
        <v>4002.9045140391736</v>
      </c>
      <c r="I1001" s="10">
        <f t="shared" ca="1" si="132"/>
        <v>544.33527357892774</v>
      </c>
      <c r="J1001" s="10">
        <f t="shared" ca="1" si="133"/>
        <v>2227.1057362012375</v>
      </c>
      <c r="K1001" s="12">
        <f t="array" aca="1" ref="K1001:L1001" ca="1">Opt3Spd(H1001:J1001,$E$3:$G$3,$K$3:$M$3,$N$3:$P$3,$H$3,$I$3,$Q$3,$J$3)</f>
        <v>193.46009884307341</v>
      </c>
      <c r="L1001" s="12">
        <f ca="1"/>
        <v>4.4890630803138265E-2</v>
      </c>
      <c r="M1001" s="12">
        <f t="array" aca="1" ref="M1001:N1001" ca="1">Opt3Spd(H1001:J1001,$E$3:$G$3,$K$3:$M$3,$N$3:$P$3,$H$4,$I$3,$Q$3,$J$3)</f>
        <v>5.9341739959683615E-2</v>
      </c>
      <c r="N1001" s="12">
        <f ca="1"/>
        <v>206.64413352768941</v>
      </c>
      <c r="O1001" s="12">
        <f t="shared" ca="1" si="134"/>
        <v>0.10423237076282188</v>
      </c>
    </row>
    <row r="1002" spans="2:15" x14ac:dyDescent="0.15">
      <c r="B1002" s="6">
        <f t="shared" ca="1" si="127"/>
        <v>-0.81716291425119558</v>
      </c>
      <c r="C1002" s="6">
        <f t="shared" ca="1" si="127"/>
        <v>-0.39788318500056324</v>
      </c>
      <c r="D1002" s="6">
        <f t="shared" ca="1" si="127"/>
        <v>-0.28350323406330569</v>
      </c>
      <c r="E1002" s="8">
        <f t="shared" ca="1" si="128"/>
        <v>-1.8605491404873442E-2</v>
      </c>
      <c r="F1002" s="8">
        <f t="shared" ca="1" si="129"/>
        <v>-3.9458182867671963E-2</v>
      </c>
      <c r="G1002" s="8">
        <f t="shared" ca="1" si="130"/>
        <v>-3.4196455257256196E-2</v>
      </c>
      <c r="H1002" s="10">
        <f t="shared" ca="1" si="131"/>
        <v>3941.2803465180282</v>
      </c>
      <c r="I1002" s="10">
        <f t="shared" ca="1" si="132"/>
        <v>522.53474851998646</v>
      </c>
      <c r="J1002" s="10">
        <f t="shared" ca="1" si="133"/>
        <v>2159.5367260447752</v>
      </c>
      <c r="K1002" s="12">
        <f t="array" aca="1" ref="K1002:L1002" ca="1">Opt3Spd(H1002:J1002,$E$3:$G$3,$K$3:$M$3,$N$3:$P$3,$H$3,$I$3,$Q$3,$J$3)</f>
        <v>200.48558294538452</v>
      </c>
      <c r="L1002" s="12">
        <f ca="1"/>
        <v>2.9197081722259099E-2</v>
      </c>
      <c r="M1002" s="12">
        <f t="array" aca="1" ref="M1002:N1002" ca="1">Opt3Spd(H1002:J1002,$E$3:$G$3,$K$3:$M$3,$N$3:$P$3,$H$4,$I$3,$Q$3,$J$3)</f>
        <v>7.7233545037618256E-2</v>
      </c>
      <c r="N1002" s="12">
        <f ca="1"/>
        <v>199.62084768137535</v>
      </c>
      <c r="O1002" s="12">
        <f t="shared" ca="1" si="134"/>
        <v>0.10643062675987736</v>
      </c>
    </row>
    <row r="1003" spans="2:15" x14ac:dyDescent="0.15">
      <c r="B1003" s="6">
        <f t="shared" ca="1" si="127"/>
        <v>-0.25336878177417527</v>
      </c>
      <c r="C1003" s="6">
        <f t="shared" ca="1" si="127"/>
        <v>0.59397453244249299</v>
      </c>
      <c r="D1003" s="6">
        <f t="shared" ca="1" si="127"/>
        <v>2.1687769707714284</v>
      </c>
      <c r="E1003" s="8">
        <f t="shared" ca="1" si="128"/>
        <v>-5.7688015563975717E-3</v>
      </c>
      <c r="F1003" s="8">
        <f t="shared" ca="1" si="129"/>
        <v>4.2562426282253887E-3</v>
      </c>
      <c r="G1003" s="8">
        <f t="shared" ca="1" si="130"/>
        <v>1.5520032770964261E-2</v>
      </c>
      <c r="H1003" s="10">
        <f t="shared" ca="1" si="131"/>
        <v>3992.8324929495075</v>
      </c>
      <c r="I1003" s="10">
        <f t="shared" ca="1" si="132"/>
        <v>546.31539598975462</v>
      </c>
      <c r="J1003" s="10">
        <f t="shared" ca="1" si="133"/>
        <v>2270.7027932758765</v>
      </c>
      <c r="K1003" s="12">
        <f t="array" aca="1" ref="K1003:L1003" ca="1">Opt3Spd(H1003:J1003,$E$3:$G$3,$K$3:$M$3,$N$3:$P$3,$H$3,$I$3,$Q$3,$J$3)</f>
        <v>158.60425728482051</v>
      </c>
      <c r="L1003" s="12">
        <f ca="1"/>
        <v>0.22779455685849825</v>
      </c>
      <c r="M1003" s="12">
        <f t="array" aca="1" ref="M1003:N1003" ca="1">Opt3Spd(H1003:J1003,$E$3:$G$3,$K$3:$M$3,$N$3:$P$3,$H$4,$I$3,$Q$3,$J$3)</f>
        <v>1.0706002801784242E-2</v>
      </c>
      <c r="N1003" s="12">
        <f ca="1"/>
        <v>241.63424327483978</v>
      </c>
      <c r="O1003" s="12">
        <f t="shared" ca="1" si="134"/>
        <v>0.2385005596602825</v>
      </c>
    </row>
    <row r="1004" spans="2:15" x14ac:dyDescent="0.15">
      <c r="B1004" s="6">
        <f t="shared" ca="1" si="127"/>
        <v>-0.81460397397558948</v>
      </c>
      <c r="C1004" s="6">
        <f t="shared" ca="1" si="127"/>
        <v>1.7965457748428415</v>
      </c>
      <c r="D1004" s="6">
        <f t="shared" ca="1" si="127"/>
        <v>1.4307947198130686</v>
      </c>
      <c r="E1004" s="8">
        <f t="shared" ca="1" si="128"/>
        <v>-1.8547228431269214E-2</v>
      </c>
      <c r="F1004" s="8">
        <f t="shared" ca="1" si="129"/>
        <v>1.1083361058045327E-2</v>
      </c>
      <c r="G1004" s="8">
        <f t="shared" ca="1" si="130"/>
        <v>-9.4695712361748154E-3</v>
      </c>
      <c r="H1004" s="10">
        <f t="shared" ca="1" si="131"/>
        <v>3941.514330620023</v>
      </c>
      <c r="I1004" s="10">
        <f t="shared" ca="1" si="132"/>
        <v>550.02934841557669</v>
      </c>
      <c r="J1004" s="10">
        <f t="shared" ca="1" si="133"/>
        <v>2214.826038715913</v>
      </c>
      <c r="K1004" s="12">
        <f t="array" aca="1" ref="K1004:L1004" ca="1">Opt3Spd(H1004:J1004,$E$3:$G$3,$K$3:$M$3,$N$3:$P$3,$H$3,$I$3,$Q$3,$J$3)</f>
        <v>129.76597192289773</v>
      </c>
      <c r="L1004" s="12">
        <f ca="1"/>
        <v>0.71161812575405747</v>
      </c>
      <c r="M1004" s="12">
        <f t="array" aca="1" ref="M1004:N1004" ca="1">Opt3Spd(H1004:J1004,$E$3:$G$3,$K$3:$M$3,$N$3:$P$3,$H$4,$I$3,$Q$3,$J$3)</f>
        <v>1.8903215332236045E-3</v>
      </c>
      <c r="N1004" s="12">
        <f ca="1"/>
        <v>270.94753652438953</v>
      </c>
      <c r="O1004" s="12">
        <f t="shared" ca="1" si="134"/>
        <v>0.71350844728728102</v>
      </c>
    </row>
    <row r="1005" spans="2:15" x14ac:dyDescent="0.15">
      <c r="B1005" s="6">
        <f t="shared" ca="1" si="127"/>
        <v>0.20165013792879882</v>
      </c>
      <c r="C1005" s="6">
        <f t="shared" ca="1" si="127"/>
        <v>-1.9501512216781927</v>
      </c>
      <c r="D1005" s="6">
        <f t="shared" ca="1" si="127"/>
        <v>0.78118895318700399</v>
      </c>
      <c r="E1005" s="8">
        <f t="shared" ca="1" si="128"/>
        <v>4.591250829663213E-3</v>
      </c>
      <c r="F1005" s="8">
        <f t="shared" ca="1" si="129"/>
        <v>-3.7351132940066298E-2</v>
      </c>
      <c r="G1005" s="8">
        <f t="shared" ca="1" si="130"/>
        <v>1.0069114306034074E-2</v>
      </c>
      <c r="H1005" s="10">
        <f t="shared" ca="1" si="131"/>
        <v>4034.4384633319278</v>
      </c>
      <c r="I1005" s="10">
        <f t="shared" ca="1" si="132"/>
        <v>523.68098368060396</v>
      </c>
      <c r="J1005" s="10">
        <f t="shared" ca="1" si="133"/>
        <v>2258.5145395882923</v>
      </c>
      <c r="K1005" s="12">
        <f t="array" aca="1" ref="K1005:L1005" ca="1">Opt3Spd(H1005:J1005,$E$3:$G$3,$K$3:$M$3,$N$3:$P$3,$H$3,$I$3,$Q$3,$J$3)</f>
        <v>242.29521557212797</v>
      </c>
      <c r="L1005" s="12">
        <f ca="1"/>
        <v>3.595923313014282E-3</v>
      </c>
      <c r="M1005" s="12">
        <f t="array" aca="1" ref="M1005:N1005" ca="1">Opt3Spd(H1005:J1005,$E$3:$G$3,$K$3:$M$3,$N$3:$P$3,$H$4,$I$3,$Q$3,$J$3)</f>
        <v>0.48132868472119128</v>
      </c>
      <c r="N1005" s="12">
        <f ca="1"/>
        <v>158.18970903590622</v>
      </c>
      <c r="O1005" s="12">
        <f t="shared" ca="1" si="134"/>
        <v>0.48492460803420556</v>
      </c>
    </row>
    <row r="1006" spans="2:15" x14ac:dyDescent="0.15">
      <c r="B1006" s="6">
        <f t="shared" ca="1" si="127"/>
        <v>3.8637529047801718E-2</v>
      </c>
      <c r="C1006" s="6">
        <f t="shared" ca="1" si="127"/>
        <v>-2.9213723606935988</v>
      </c>
      <c r="D1006" s="6">
        <f t="shared" ca="1" si="127"/>
        <v>-0.77716069558452638</v>
      </c>
      <c r="E1006" s="8">
        <f t="shared" ca="1" si="128"/>
        <v>8.7971468365418543E-4</v>
      </c>
      <c r="F1006" s="8">
        <f t="shared" ca="1" si="129"/>
        <v>-6.5724758271870562E-2</v>
      </c>
      <c r="G1006" s="8">
        <f t="shared" ca="1" si="130"/>
        <v>-1.5340314093766703E-2</v>
      </c>
      <c r="H1006" s="10">
        <f t="shared" ca="1" si="131"/>
        <v>4019.5329341695551</v>
      </c>
      <c r="I1006" s="10">
        <f t="shared" ca="1" si="132"/>
        <v>508.24573150010247</v>
      </c>
      <c r="J1006" s="10">
        <f t="shared" ca="1" si="133"/>
        <v>2201.6990576863377</v>
      </c>
      <c r="K1006" s="12">
        <f t="array" aca="1" ref="K1006:L1006" ca="1">Opt3Spd(H1006:J1006,$E$3:$G$3,$K$3:$M$3,$N$3:$P$3,$H$3,$I$3,$Q$3,$J$3)</f>
        <v>280.49057249972998</v>
      </c>
      <c r="L1006" s="12">
        <f ca="1"/>
        <v>3.3757350797714025E-4</v>
      </c>
      <c r="M1006" s="12">
        <f t="array" aca="1" ref="M1006:N1006" ca="1">Opt3Spd(H1006:J1006,$E$3:$G$3,$K$3:$M$3,$N$3:$P$3,$H$4,$I$3,$Q$3,$J$3)</f>
        <v>1.7873723887175288</v>
      </c>
      <c r="N1006" s="12">
        <f ca="1"/>
        <v>121.29713746249553</v>
      </c>
      <c r="O1006" s="12">
        <f t="shared" ca="1" si="134"/>
        <v>1.7877099622255059</v>
      </c>
    </row>
    <row r="1007" spans="2:15" x14ac:dyDescent="0.15">
      <c r="B1007" s="6">
        <f t="shared" ca="1" si="127"/>
        <v>-0.23484648212286374</v>
      </c>
      <c r="C1007" s="6">
        <f t="shared" ca="1" si="127"/>
        <v>-0.67796065957963214</v>
      </c>
      <c r="D1007" s="6">
        <f t="shared" ca="1" si="127"/>
        <v>0.59509738254536604</v>
      </c>
      <c r="E1007" s="8">
        <f t="shared" ca="1" si="128"/>
        <v>-5.3470784447011057E-3</v>
      </c>
      <c r="F1007" s="8">
        <f t="shared" ca="1" si="129"/>
        <v>-2.4296578638793191E-2</v>
      </c>
      <c r="G1007" s="8">
        <f t="shared" ca="1" si="130"/>
        <v>-4.2563731261042953E-3</v>
      </c>
      <c r="H1007" s="10">
        <f t="shared" ca="1" si="131"/>
        <v>3994.5261329660807</v>
      </c>
      <c r="I1007" s="10">
        <f t="shared" ca="1" si="132"/>
        <v>530.78266122049649</v>
      </c>
      <c r="J1007" s="10">
        <f t="shared" ca="1" si="133"/>
        <v>2226.4827496900307</v>
      </c>
      <c r="K1007" s="12">
        <f t="array" aca="1" ref="K1007:L1007" ca="1">Opt3Spd(H1007:J1007,$E$3:$G$3,$K$3:$M$3,$N$3:$P$3,$H$3,$I$3,$Q$3,$J$3)</f>
        <v>207.05518377404314</v>
      </c>
      <c r="L1007" s="12">
        <f ca="1"/>
        <v>2.2683605772272131E-2</v>
      </c>
      <c r="M1007" s="12">
        <f t="array" aca="1" ref="M1007:N1007" ca="1">Opt3Spd(H1007:J1007,$E$3:$G$3,$K$3:$M$3,$N$3:$P$3,$H$4,$I$3,$Q$3,$J$3)</f>
        <v>0.1101254096508324</v>
      </c>
      <c r="N1007" s="12">
        <f ca="1"/>
        <v>193.07762524137996</v>
      </c>
      <c r="O1007" s="12">
        <f t="shared" ca="1" si="134"/>
        <v>0.13280901542310453</v>
      </c>
    </row>
    <row r="1008" spans="2:15" x14ac:dyDescent="0.15">
      <c r="B1008" s="6">
        <f t="shared" ca="1" si="127"/>
        <v>0.31626001007509591</v>
      </c>
      <c r="C1008" s="6">
        <f t="shared" ca="1" si="127"/>
        <v>-0.22437887240501048</v>
      </c>
      <c r="D1008" s="6">
        <f t="shared" ca="1" si="127"/>
        <v>-8.1466898904392168E-2</v>
      </c>
      <c r="E1008" s="8">
        <f t="shared" ca="1" si="128"/>
        <v>7.2007341455887375E-3</v>
      </c>
      <c r="F1008" s="8">
        <f t="shared" ca="1" si="129"/>
        <v>6.5730629826510709E-3</v>
      </c>
      <c r="G1008" s="8">
        <f t="shared" ca="1" si="130"/>
        <v>1.009964182291022E-2</v>
      </c>
      <c r="H1008" s="10">
        <f t="shared" ca="1" si="131"/>
        <v>4044.9181483286839</v>
      </c>
      <c r="I1008" s="10">
        <f t="shared" ca="1" si="132"/>
        <v>547.57574626256212</v>
      </c>
      <c r="J1008" s="10">
        <f t="shared" ca="1" si="133"/>
        <v>2258.5827991160272</v>
      </c>
      <c r="K1008" s="12">
        <f t="array" aca="1" ref="K1008:L1008" ca="1">Opt3Spd(H1008:J1008,$E$3:$G$3,$K$3:$M$3,$N$3:$P$3,$H$3,$I$3,$Q$3,$J$3)</f>
        <v>214.5218454427154</v>
      </c>
      <c r="L1008" s="12">
        <f ca="1"/>
        <v>1.6290692144366403E-2</v>
      </c>
      <c r="M1008" s="12">
        <f t="array" aca="1" ref="M1008:N1008" ca="1">Opt3Spd(H1008:J1008,$E$3:$G$3,$K$3:$M$3,$N$3:$P$3,$H$4,$I$3,$Q$3,$J$3)</f>
        <v>0.15712264628134776</v>
      </c>
      <c r="N1008" s="12">
        <f ca="1"/>
        <v>185.65156789571031</v>
      </c>
      <c r="O1008" s="12">
        <f t="shared" ca="1" si="134"/>
        <v>0.17341333842571416</v>
      </c>
    </row>
    <row r="1009" spans="2:15" x14ac:dyDescent="0.15">
      <c r="B1009" s="6">
        <f t="shared" ca="1" si="127"/>
        <v>1.3368433817679894</v>
      </c>
      <c r="C1009" s="6">
        <f t="shared" ca="1" si="127"/>
        <v>-0.5915902126514675</v>
      </c>
      <c r="D1009" s="6">
        <f t="shared" ca="1" si="127"/>
        <v>-1.8811673242600973</v>
      </c>
      <c r="E1009" s="8">
        <f t="shared" ca="1" si="128"/>
        <v>3.0437783721423802E-2</v>
      </c>
      <c r="F1009" s="8">
        <f t="shared" ca="1" si="129"/>
        <v>3.5988452744287483E-2</v>
      </c>
      <c r="G1009" s="8">
        <f t="shared" ca="1" si="130"/>
        <v>2.7355904881050431E-2</v>
      </c>
      <c r="H1009" s="10">
        <f t="shared" ca="1" si="131"/>
        <v>4138.2381394252379</v>
      </c>
      <c r="I1009" s="10">
        <f t="shared" ca="1" si="132"/>
        <v>563.57771829289243</v>
      </c>
      <c r="J1009" s="10">
        <f t="shared" ca="1" si="133"/>
        <v>2297.1678033140283</v>
      </c>
      <c r="K1009" s="12">
        <f t="array" aca="1" ref="K1009:L1009" ca="1">Opt3Spd(H1009:J1009,$E$3:$G$3,$K$3:$M$3,$N$3:$P$3,$H$3,$I$3,$Q$3,$J$3)</f>
        <v>262.93110300021681</v>
      </c>
      <c r="L1009" s="12">
        <f ca="1"/>
        <v>1.2145006207902043E-3</v>
      </c>
      <c r="M1009" s="12">
        <f t="array" aca="1" ref="M1009:N1009" ca="1">Opt3Spd(H1009:J1009,$E$3:$G$3,$K$3:$M$3,$N$3:$P$3,$H$4,$I$3,$Q$3,$J$3)</f>
        <v>1.0432393142768177</v>
      </c>
      <c r="N1009" s="12">
        <f ca="1"/>
        <v>138.11335081468081</v>
      </c>
      <c r="O1009" s="12">
        <f t="shared" ca="1" si="134"/>
        <v>1.0444538148976079</v>
      </c>
    </row>
    <row r="1010" spans="2:15" x14ac:dyDescent="0.15">
      <c r="B1010" s="6">
        <f t="shared" ca="1" si="127"/>
        <v>8.9862861160405441E-2</v>
      </c>
      <c r="C1010" s="6">
        <f t="shared" ca="1" si="127"/>
        <v>-0.36944114386918403</v>
      </c>
      <c r="D1010" s="6">
        <f t="shared" ca="1" si="127"/>
        <v>1.1703628618063608</v>
      </c>
      <c r="E1010" s="8">
        <f t="shared" ca="1" si="128"/>
        <v>2.0460334919498125E-3</v>
      </c>
      <c r="F1010" s="8">
        <f t="shared" ca="1" si="129"/>
        <v>-5.1595671091938106E-3</v>
      </c>
      <c r="G1010" s="8">
        <f t="shared" ca="1" si="130"/>
        <v>1.4696877703510084E-2</v>
      </c>
      <c r="H1010" s="10">
        <f t="shared" ca="1" si="131"/>
        <v>4024.2168705036706</v>
      </c>
      <c r="I1010" s="10">
        <f t="shared" ca="1" si="132"/>
        <v>541.19319549259853</v>
      </c>
      <c r="J1010" s="10">
        <f t="shared" ca="1" si="133"/>
        <v>2268.8622185450486</v>
      </c>
      <c r="K1010" s="12">
        <f t="array" aca="1" ref="K1010:L1010" ca="1">Opt3Spd(H1010:J1010,$E$3:$G$3,$K$3:$M$3,$N$3:$P$3,$H$3,$I$3,$Q$3,$J$3)</f>
        <v>198.9125130949576</v>
      </c>
      <c r="L1010" s="12">
        <f ca="1"/>
        <v>3.586465196917743E-2</v>
      </c>
      <c r="M1010" s="12">
        <f t="array" aca="1" ref="M1010:N1010" ca="1">Opt3Spd(H1010:J1010,$E$3:$G$3,$K$3:$M$3,$N$3:$P$3,$H$4,$I$3,$Q$3,$J$3)</f>
        <v>7.916678433346469E-2</v>
      </c>
      <c r="N1010" s="12">
        <f ca="1"/>
        <v>201.20251834134504</v>
      </c>
      <c r="O1010" s="12">
        <f t="shared" ca="1" si="134"/>
        <v>0.11503143630264212</v>
      </c>
    </row>
    <row r="1011" spans="2:15" x14ac:dyDescent="0.15">
      <c r="B1011" s="6">
        <f t="shared" ca="1" si="127"/>
        <v>0.18526155022775978</v>
      </c>
      <c r="C1011" s="6">
        <f t="shared" ca="1" si="127"/>
        <v>1.2619081642369481</v>
      </c>
      <c r="D1011" s="6">
        <f t="shared" ca="1" si="127"/>
        <v>1.8020740392797852</v>
      </c>
      <c r="E1011" s="8">
        <f t="shared" ca="1" si="128"/>
        <v>4.2181089233285299E-3</v>
      </c>
      <c r="F1011" s="8">
        <f t="shared" ca="1" si="129"/>
        <v>3.5881374658016052E-2</v>
      </c>
      <c r="G1011" s="8">
        <f t="shared" ca="1" si="130"/>
        <v>2.9667083481330722E-2</v>
      </c>
      <c r="H1011" s="10">
        <f t="shared" ca="1" si="131"/>
        <v>4032.9399254360878</v>
      </c>
      <c r="I1011" s="10">
        <f t="shared" ca="1" si="132"/>
        <v>563.51946781396066</v>
      </c>
      <c r="J1011" s="10">
        <f t="shared" ca="1" si="133"/>
        <v>2302.3355986642555</v>
      </c>
      <c r="K1011" s="12">
        <f t="array" aca="1" ref="K1011:L1011" ca="1">Opt3Spd(H1011:J1011,$E$3:$G$3,$K$3:$M$3,$N$3:$P$3,$H$3,$I$3,$Q$3,$J$3)</f>
        <v>155.41118675721077</v>
      </c>
      <c r="L1011" s="12">
        <f ca="1"/>
        <v>0.27020915558773595</v>
      </c>
      <c r="M1011" s="12">
        <f t="array" aca="1" ref="M1011:N1011" ca="1">Opt3Spd(H1011:J1011,$E$3:$G$3,$K$3:$M$3,$N$3:$P$3,$H$4,$I$3,$Q$3,$J$3)</f>
        <v>9.4627067079691152E-3</v>
      </c>
      <c r="N1011" s="12">
        <f ca="1"/>
        <v>244.86848510508494</v>
      </c>
      <c r="O1011" s="12">
        <f t="shared" ca="1" si="134"/>
        <v>0.27967186229570506</v>
      </c>
    </row>
    <row r="1012" spans="2:15" x14ac:dyDescent="0.15">
      <c r="B1012" s="6">
        <f t="shared" ca="1" si="127"/>
        <v>1.1231227603957734</v>
      </c>
      <c r="C1012" s="6">
        <f t="shared" ca="1" si="127"/>
        <v>-0.75745673378185607</v>
      </c>
      <c r="D1012" s="6">
        <f t="shared" ca="1" si="127"/>
        <v>0.33301011777685868</v>
      </c>
      <c r="E1012" s="8">
        <f t="shared" ca="1" si="128"/>
        <v>2.5571707306748626E-2</v>
      </c>
      <c r="F1012" s="8">
        <f t="shared" ca="1" si="129"/>
        <v>2.4247781208144734E-2</v>
      </c>
      <c r="G1012" s="8">
        <f t="shared" ca="1" si="130"/>
        <v>4.2610403816665858E-2</v>
      </c>
      <c r="H1012" s="10">
        <f t="shared" ca="1" si="131"/>
        <v>4118.6959765439024</v>
      </c>
      <c r="I1012" s="10">
        <f t="shared" ca="1" si="132"/>
        <v>557.19079297723079</v>
      </c>
      <c r="J1012" s="10">
        <f t="shared" ca="1" si="133"/>
        <v>2331.2768629340649</v>
      </c>
      <c r="K1012" s="12">
        <f t="array" aca="1" ref="K1012:L1012" ca="1">Opt3Spd(H1012:J1012,$E$3:$G$3,$K$3:$M$3,$N$3:$P$3,$H$3,$I$3,$Q$3,$J$3)</f>
        <v>236.55790034877509</v>
      </c>
      <c r="L1012" s="12">
        <f ca="1"/>
        <v>5.6240354747387755E-3</v>
      </c>
      <c r="M1012" s="12">
        <f t="array" aca="1" ref="M1012:N1012" ca="1">Opt3Spd(H1012:J1012,$E$3:$G$3,$K$3:$M$3,$N$3:$P$3,$H$4,$I$3,$Q$3,$J$3)</f>
        <v>0.40565426264397075</v>
      </c>
      <c r="N1012" s="12">
        <f ca="1"/>
        <v>163.85337794934361</v>
      </c>
      <c r="O1012" s="12">
        <f t="shared" ca="1" si="134"/>
        <v>0.41127829811870953</v>
      </c>
    </row>
    <row r="1013" spans="2:15" x14ac:dyDescent="0.15">
      <c r="B1013" s="6">
        <f t="shared" ca="1" si="127"/>
        <v>-0.629849367349825</v>
      </c>
      <c r="C1013" s="6">
        <f t="shared" ca="1" si="127"/>
        <v>0.44348826810575087</v>
      </c>
      <c r="D1013" s="6">
        <f t="shared" ca="1" si="127"/>
        <v>0.93053564439663083</v>
      </c>
      <c r="E1013" s="8">
        <f t="shared" ca="1" si="128"/>
        <v>-1.4340661802219077E-2</v>
      </c>
      <c r="F1013" s="8">
        <f t="shared" ca="1" si="129"/>
        <v>-1.3168199410432881E-2</v>
      </c>
      <c r="G1013" s="8">
        <f t="shared" ca="1" si="130"/>
        <v>-1.1939161130605632E-2</v>
      </c>
      <c r="H1013" s="10">
        <f t="shared" ca="1" si="131"/>
        <v>3958.4079022022884</v>
      </c>
      <c r="I1013" s="10">
        <f t="shared" ca="1" si="132"/>
        <v>536.83649952072449</v>
      </c>
      <c r="J1013" s="10">
        <f t="shared" ca="1" si="133"/>
        <v>2209.3040357119658</v>
      </c>
      <c r="K1013" s="12">
        <f t="array" aca="1" ref="K1013:L1013" ca="1">Opt3Spd(H1013:J1013,$E$3:$G$3,$K$3:$M$3,$N$3:$P$3,$H$3,$I$3,$Q$3,$J$3)</f>
        <v>169.94877051437243</v>
      </c>
      <c r="L1013" s="12">
        <f ca="1"/>
        <v>0.13128540122602317</v>
      </c>
      <c r="M1013" s="12">
        <f t="array" aca="1" ref="M1013:N1013" ca="1">Opt3Spd(H1013:J1013,$E$3:$G$3,$K$3:$M$3,$N$3:$P$3,$H$4,$I$3,$Q$3,$J$3)</f>
        <v>1.8145039325074386E-2</v>
      </c>
      <c r="N1013" s="12">
        <f ca="1"/>
        <v>230.20065992617867</v>
      </c>
      <c r="O1013" s="12">
        <f t="shared" ca="1" si="134"/>
        <v>0.14943044055109755</v>
      </c>
    </row>
    <row r="1014" spans="2:15" x14ac:dyDescent="0.15">
      <c r="B1014" s="6">
        <f t="shared" ca="1" si="127"/>
        <v>-0.29234562339493808</v>
      </c>
      <c r="C1014" s="6">
        <f t="shared" ca="1" si="127"/>
        <v>0.42986959321690404</v>
      </c>
      <c r="D1014" s="6">
        <f t="shared" ca="1" si="127"/>
        <v>0.88918891712644443</v>
      </c>
      <c r="E1014" s="8">
        <f t="shared" ca="1" si="128"/>
        <v>-6.6562418441506385E-3</v>
      </c>
      <c r="F1014" s="8">
        <f t="shared" ca="1" si="129"/>
        <v>-9.6207143058868743E-4</v>
      </c>
      <c r="G1014" s="8">
        <f t="shared" ca="1" si="130"/>
        <v>-1.9825983267064406E-5</v>
      </c>
      <c r="H1014" s="10">
        <f t="shared" ca="1" si="131"/>
        <v>3989.2685327538911</v>
      </c>
      <c r="I1014" s="10">
        <f t="shared" ca="1" si="132"/>
        <v>543.47663314175975</v>
      </c>
      <c r="J1014" s="10">
        <f t="shared" ca="1" si="133"/>
        <v>2235.955669101415</v>
      </c>
      <c r="K1014" s="12">
        <f t="array" aca="1" ref="K1014:L1014" ca="1">Opt3Spd(H1014:J1014,$E$3:$G$3,$K$3:$M$3,$N$3:$P$3,$H$3,$I$3,$Q$3,$J$3)</f>
        <v>176.8269355838263</v>
      </c>
      <c r="L1014" s="12">
        <f ca="1"/>
        <v>9.8850407458257905E-2</v>
      </c>
      <c r="M1014" s="12">
        <f t="array" aca="1" ref="M1014:N1014" ca="1">Opt3Spd(H1014:J1014,$E$3:$G$3,$K$3:$M$3,$N$3:$P$3,$H$4,$I$3,$Q$3,$J$3)</f>
        <v>2.6613317496735789E-2</v>
      </c>
      <c r="N1014" s="12">
        <f ca="1"/>
        <v>223.29852814112868</v>
      </c>
      <c r="O1014" s="12">
        <f t="shared" ca="1" si="134"/>
        <v>0.12546372495499369</v>
      </c>
    </row>
    <row r="1015" spans="2:15" x14ac:dyDescent="0.15">
      <c r="B1015" s="6">
        <f t="shared" ca="1" si="127"/>
        <v>6.3196000894251855E-2</v>
      </c>
      <c r="C1015" s="6">
        <f t="shared" ca="1" si="127"/>
        <v>0.85937640118547287</v>
      </c>
      <c r="D1015" s="6">
        <f t="shared" ca="1" si="127"/>
        <v>-0.40295721384853311</v>
      </c>
      <c r="E1015" s="8">
        <f t="shared" ca="1" si="128"/>
        <v>1.4388717732470898E-3</v>
      </c>
      <c r="F1015" s="8">
        <f t="shared" ca="1" si="129"/>
        <v>2.2099933857290685E-2</v>
      </c>
      <c r="G1015" s="8">
        <f t="shared" ca="1" si="130"/>
        <v>5.237378694020931E-4</v>
      </c>
      <c r="H1015" s="10">
        <f t="shared" ca="1" si="131"/>
        <v>4021.7785090413608</v>
      </c>
      <c r="I1015" s="10">
        <f t="shared" ca="1" si="132"/>
        <v>556.02236401836615</v>
      </c>
      <c r="J1015" s="10">
        <f t="shared" ca="1" si="133"/>
        <v>2237.171077875983</v>
      </c>
      <c r="K1015" s="12">
        <f t="array" aca="1" ref="K1015:L1015" ca="1">Opt3Spd(H1015:J1015,$E$3:$G$3,$K$3:$M$3,$N$3:$P$3,$H$3,$I$3,$Q$3,$J$3)</f>
        <v>188.61491397181294</v>
      </c>
      <c r="L1015" s="12">
        <f ca="1"/>
        <v>5.7726297829503892E-2</v>
      </c>
      <c r="M1015" s="12">
        <f t="array" aca="1" ref="M1015:N1015" ca="1">Opt3Spd(H1015:J1015,$E$3:$G$3,$K$3:$M$3,$N$3:$P$3,$H$4,$I$3,$Q$3,$J$3)</f>
        <v>4.7820270212404203E-2</v>
      </c>
      <c r="N1015" s="12">
        <f ca="1"/>
        <v>211.49063259622898</v>
      </c>
      <c r="O1015" s="12">
        <f t="shared" ca="1" si="134"/>
        <v>0.1055465680419081</v>
      </c>
    </row>
    <row r="1016" spans="2:15" x14ac:dyDescent="0.15">
      <c r="B1016" s="6">
        <f t="shared" ca="1" si="127"/>
        <v>0.3244968034425656</v>
      </c>
      <c r="C1016" s="6">
        <f t="shared" ca="1" si="127"/>
        <v>-0.36749795289508619</v>
      </c>
      <c r="D1016" s="6">
        <f t="shared" ca="1" si="127"/>
        <v>0.37908439390829268</v>
      </c>
      <c r="E1016" s="8">
        <f t="shared" ca="1" si="128"/>
        <v>7.3882727447218185E-3</v>
      </c>
      <c r="F1016" s="8">
        <f t="shared" ca="1" si="129"/>
        <v>3.5885020468991642E-3</v>
      </c>
      <c r="G1016" s="8">
        <f t="shared" ca="1" si="130"/>
        <v>1.4893055657557226E-2</v>
      </c>
      <c r="H1016" s="10">
        <f t="shared" ca="1" si="131"/>
        <v>4045.6713033428032</v>
      </c>
      <c r="I1016" s="10">
        <f t="shared" ca="1" si="132"/>
        <v>545.9521451135131</v>
      </c>
      <c r="J1016" s="10">
        <f t="shared" ca="1" si="133"/>
        <v>2269.3008724502979</v>
      </c>
      <c r="K1016" s="12">
        <f t="array" aca="1" ref="K1016:L1016" ca="1">Opt3Spd(H1016:J1016,$E$3:$G$3,$K$3:$M$3,$N$3:$P$3,$H$3,$I$3,$Q$3,$J$3)</f>
        <v>212.51568990227338</v>
      </c>
      <c r="L1016" s="12">
        <f ca="1"/>
        <v>1.8254966240192516E-2</v>
      </c>
      <c r="M1016" s="12">
        <f t="array" aca="1" ref="M1016:N1016" ca="1">Opt3Spd(H1016:J1016,$E$3:$G$3,$K$3:$M$3,$N$3:$P$3,$H$4,$I$3,$Q$3,$J$3)</f>
        <v>0.14521552768827739</v>
      </c>
      <c r="N1016" s="12">
        <f ca="1"/>
        <v>187.64778059165508</v>
      </c>
      <c r="O1016" s="12">
        <f t="shared" ca="1" si="134"/>
        <v>0.16347049392846991</v>
      </c>
    </row>
    <row r="1017" spans="2:15" x14ac:dyDescent="0.15">
      <c r="B1017" s="6">
        <f t="shared" ca="1" si="127"/>
        <v>0.55040381529386551</v>
      </c>
      <c r="C1017" s="6">
        <f t="shared" ca="1" si="127"/>
        <v>2.2933219859636804E-2</v>
      </c>
      <c r="D1017" s="6">
        <f t="shared" ca="1" si="127"/>
        <v>-1.3010376173553584</v>
      </c>
      <c r="E1017" s="8">
        <f t="shared" ca="1" si="128"/>
        <v>1.2531813762061684E-2</v>
      </c>
      <c r="F1017" s="8">
        <f t="shared" ca="1" si="129"/>
        <v>2.0943613512802762E-2</v>
      </c>
      <c r="G1017" s="8">
        <f t="shared" ca="1" si="130"/>
        <v>6.4274910820217839E-3</v>
      </c>
      <c r="H1017" s="10">
        <f t="shared" ca="1" si="131"/>
        <v>4066.3277640684391</v>
      </c>
      <c r="I1017" s="10">
        <f t="shared" ca="1" si="132"/>
        <v>555.39332575096466</v>
      </c>
      <c r="J1017" s="10">
        <f t="shared" ca="1" si="133"/>
        <v>2250.3718700594004</v>
      </c>
      <c r="K1017" s="12">
        <f t="array" aca="1" ref="K1017:L1017" ca="1">Opt3Spd(H1017:J1017,$E$3:$G$3,$K$3:$M$3,$N$3:$P$3,$H$3,$I$3,$Q$3,$J$3)</f>
        <v>227.52072082254813</v>
      </c>
      <c r="L1017" s="12">
        <f ca="1"/>
        <v>8.2129853524293139E-3</v>
      </c>
      <c r="M1017" s="12">
        <f t="array" aca="1" ref="M1017:N1017" ca="1">Opt3Spd(H1017:J1017,$E$3:$G$3,$K$3:$M$3,$N$3:$P$3,$H$4,$I$3,$Q$3,$J$3)</f>
        <v>0.26937240694980957</v>
      </c>
      <c r="N1017" s="12">
        <f ca="1"/>
        <v>172.7568645697541</v>
      </c>
      <c r="O1017" s="12">
        <f t="shared" ca="1" si="134"/>
        <v>0.27758539230223889</v>
      </c>
    </row>
    <row r="1018" spans="2:15" x14ac:dyDescent="0.15">
      <c r="B1018" s="6">
        <f t="shared" ca="1" si="127"/>
        <v>0.59944459119238347</v>
      </c>
      <c r="C1018" s="6">
        <f t="shared" ca="1" si="127"/>
        <v>-0.14291781248787402</v>
      </c>
      <c r="D1018" s="6">
        <f t="shared" ca="1" si="127"/>
        <v>0.69676363644543293</v>
      </c>
      <c r="E1018" s="8">
        <f t="shared" ca="1" si="128"/>
        <v>1.3648393722502376E-2</v>
      </c>
      <c r="F1018" s="8">
        <f t="shared" ca="1" si="129"/>
        <v>1.8950042384960251E-2</v>
      </c>
      <c r="G1018" s="8">
        <f t="shared" ca="1" si="130"/>
        <v>2.9030394110148943E-2</v>
      </c>
      <c r="H1018" s="10">
        <f t="shared" ca="1" si="131"/>
        <v>4070.81194918957</v>
      </c>
      <c r="I1018" s="10">
        <f t="shared" ca="1" si="132"/>
        <v>554.30882305741841</v>
      </c>
      <c r="J1018" s="10">
        <f t="shared" ca="1" si="133"/>
        <v>2300.9119612302929</v>
      </c>
      <c r="K1018" s="12">
        <f t="array" aca="1" ref="K1018:L1018" ca="1">Opt3Spd(H1018:J1018,$E$3:$G$3,$K$3:$M$3,$N$3:$P$3,$H$3,$I$3,$Q$3,$J$3)</f>
        <v>208.48522924944723</v>
      </c>
      <c r="L1018" s="12">
        <f ca="1"/>
        <v>2.3377566893259427E-2</v>
      </c>
      <c r="M1018" s="12">
        <f t="array" aca="1" ref="M1018:N1018" ca="1">Opt3Spd(H1018:J1018,$E$3:$G$3,$K$3:$M$3,$N$3:$P$3,$H$4,$I$3,$Q$3,$J$3)</f>
        <v>0.12523714686347986</v>
      </c>
      <c r="N1018" s="12">
        <f ca="1"/>
        <v>191.6633854643095</v>
      </c>
      <c r="O1018" s="12">
        <f t="shared" ca="1" si="134"/>
        <v>0.14861471375673929</v>
      </c>
    </row>
    <row r="1019" spans="2:15" x14ac:dyDescent="0.15">
      <c r="B1019" s="6">
        <f t="shared" ca="1" si="127"/>
        <v>0.83451939487813342</v>
      </c>
      <c r="C1019" s="6">
        <f t="shared" ca="1" si="127"/>
        <v>0.85896196456092777</v>
      </c>
      <c r="D1019" s="6">
        <f t="shared" ca="1" si="127"/>
        <v>2.1913669526785515</v>
      </c>
      <c r="E1019" s="8">
        <f t="shared" ca="1" si="128"/>
        <v>1.9000670683682559E-2</v>
      </c>
      <c r="F1019" s="8">
        <f t="shared" ca="1" si="129"/>
        <v>5.0701503973723888E-2</v>
      </c>
      <c r="G1019" s="8">
        <f t="shared" ca="1" si="130"/>
        <v>5.6497178345110588E-2</v>
      </c>
      <c r="H1019" s="10">
        <f t="shared" ca="1" si="131"/>
        <v>4092.306693465669</v>
      </c>
      <c r="I1019" s="10">
        <f t="shared" ca="1" si="132"/>
        <v>571.58161816170582</v>
      </c>
      <c r="J1019" s="10">
        <f t="shared" ca="1" si="133"/>
        <v>2362.3276907796671</v>
      </c>
      <c r="K1019" s="12">
        <f t="array" aca="1" ref="K1019:L1019" ca="1">Opt3Spd(H1019:J1019,$E$3:$G$3,$K$3:$M$3,$N$3:$P$3,$H$3,$I$3,$Q$3,$J$3)</f>
        <v>171.75378851004893</v>
      </c>
      <c r="L1019" s="12">
        <f ca="1"/>
        <v>0.14152949294270911</v>
      </c>
      <c r="M1019" s="12">
        <f t="array" aca="1" ref="M1019:N1019" ca="1">Opt3Spd(H1019:J1019,$E$3:$G$3,$K$3:$M$3,$N$3:$P$3,$H$4,$I$3,$Q$3,$J$3)</f>
        <v>2.3886518427730152E-2</v>
      </c>
      <c r="N1019" s="12">
        <f ca="1"/>
        <v>228.4116275013215</v>
      </c>
      <c r="O1019" s="12">
        <f t="shared" ca="1" si="134"/>
        <v>0.16541601137043926</v>
      </c>
    </row>
    <row r="1020" spans="2:15" x14ac:dyDescent="0.15">
      <c r="B1020" s="6">
        <f t="shared" ca="1" si="127"/>
        <v>1.6578080733746836</v>
      </c>
      <c r="C1020" s="6">
        <f t="shared" ca="1" si="127"/>
        <v>1.5268194099862513</v>
      </c>
      <c r="D1020" s="6">
        <f t="shared" ca="1" si="127"/>
        <v>0.1620884956767141</v>
      </c>
      <c r="E1020" s="8">
        <f t="shared" ca="1" si="128"/>
        <v>3.7745635934012714E-2</v>
      </c>
      <c r="F1020" s="8">
        <f t="shared" ca="1" si="129"/>
        <v>9.6593215490496029E-2</v>
      </c>
      <c r="G1020" s="8">
        <f t="shared" ca="1" si="130"/>
        <v>6.7064222520579128E-2</v>
      </c>
      <c r="H1020" s="10">
        <f t="shared" ca="1" si="131"/>
        <v>4167.5864739109948</v>
      </c>
      <c r="I1020" s="10">
        <f t="shared" ca="1" si="132"/>
        <v>596.54670922682988</v>
      </c>
      <c r="J1020" s="10">
        <f t="shared" ca="1" si="133"/>
        <v>2385.9556015560147</v>
      </c>
      <c r="K1020" s="12">
        <f t="array" aca="1" ref="K1020:L1020" ca="1">Opt3Spd(H1020:J1020,$E$3:$G$3,$K$3:$M$3,$N$3:$P$3,$H$3,$I$3,$Q$3,$J$3)</f>
        <v>195.18515900938746</v>
      </c>
      <c r="L1020" s="12">
        <f ca="1"/>
        <v>5.1220639327766548E-2</v>
      </c>
      <c r="M1020" s="12">
        <f t="array" aca="1" ref="M1020:N1020" ca="1">Opt3Spd(H1020:J1020,$E$3:$G$3,$K$3:$M$3,$N$3:$P$3,$H$4,$I$3,$Q$3,$J$3)</f>
        <v>7.6089815157146745E-2</v>
      </c>
      <c r="N1020" s="12">
        <f ca="1"/>
        <v>204.94215144509747</v>
      </c>
      <c r="O1020" s="12">
        <f t="shared" ca="1" si="134"/>
        <v>0.12731045448491329</v>
      </c>
    </row>
    <row r="1021" spans="2:15" x14ac:dyDescent="0.15">
      <c r="B1021" s="6">
        <f t="shared" ca="1" si="127"/>
        <v>0.69560635986727715</v>
      </c>
      <c r="C1021" s="6">
        <f t="shared" ca="1" si="127"/>
        <v>1.7226046557793582</v>
      </c>
      <c r="D1021" s="6">
        <f t="shared" ca="1" si="127"/>
        <v>1.6368478163079669</v>
      </c>
      <c r="E1021" s="8">
        <f t="shared" ca="1" si="128"/>
        <v>1.5837843254971225E-2</v>
      </c>
      <c r="F1021" s="8">
        <f t="shared" ca="1" si="129"/>
        <v>6.5402578477308237E-2</v>
      </c>
      <c r="G1021" s="8">
        <f t="shared" ca="1" si="130"/>
        <v>4.7993546422429138E-2</v>
      </c>
      <c r="H1021" s="10">
        <f t="shared" ca="1" si="131"/>
        <v>4079.6047785119645</v>
      </c>
      <c r="I1021" s="10">
        <f t="shared" ca="1" si="132"/>
        <v>579.57900269165566</v>
      </c>
      <c r="J1021" s="10">
        <f t="shared" ca="1" si="133"/>
        <v>2343.3135698005512</v>
      </c>
      <c r="K1021" s="12">
        <f t="array" aca="1" ref="K1021:L1021" ca="1">Opt3Spd(H1021:J1021,$E$3:$G$3,$K$3:$M$3,$N$3:$P$3,$H$3,$I$3,$Q$3,$J$3)</f>
        <v>155.89810372093871</v>
      </c>
      <c r="L1021" s="12">
        <f ca="1"/>
        <v>0.27651441589910064</v>
      </c>
      <c r="M1021" s="12">
        <f t="array" aca="1" ref="M1021:N1021" ca="1">Opt3Spd(H1021:J1021,$E$3:$G$3,$K$3:$M$3,$N$3:$P$3,$H$4,$I$3,$Q$3,$J$3)</f>
        <v>1.0341464887432261E-2</v>
      </c>
      <c r="N1021" s="12">
        <f ca="1"/>
        <v>244.38875215984783</v>
      </c>
      <c r="O1021" s="12">
        <f t="shared" ca="1" si="134"/>
        <v>0.2868558807865329</v>
      </c>
    </row>
    <row r="1022" spans="2:15" x14ac:dyDescent="0.15">
      <c r="B1022" s="6">
        <f t="shared" ca="1" si="127"/>
        <v>0.73715381631594068</v>
      </c>
      <c r="C1022" s="6">
        <f t="shared" ca="1" si="127"/>
        <v>0.88151523801945419</v>
      </c>
      <c r="D1022" s="6">
        <f t="shared" ca="1" si="127"/>
        <v>0.40434635047941225</v>
      </c>
      <c r="E1022" s="8">
        <f t="shared" ca="1" si="128"/>
        <v>1.6783812327195103E-2</v>
      </c>
      <c r="F1022" s="8">
        <f t="shared" ca="1" si="129"/>
        <v>4.7608338096641306E-2</v>
      </c>
      <c r="G1022" s="8">
        <f t="shared" ca="1" si="130"/>
        <v>3.3948369174073831E-2</v>
      </c>
      <c r="H1022" s="10">
        <f t="shared" ca="1" si="131"/>
        <v>4083.4037903060153</v>
      </c>
      <c r="I1022" s="10">
        <f t="shared" ca="1" si="132"/>
        <v>569.89893592457281</v>
      </c>
      <c r="J1022" s="10">
        <f t="shared" ca="1" si="133"/>
        <v>2311.9085534732289</v>
      </c>
      <c r="K1022" s="12">
        <f t="array" aca="1" ref="K1022:L1022" ca="1">Opt3Spd(H1022:J1022,$E$3:$G$3,$K$3:$M$3,$N$3:$P$3,$H$3,$I$3,$Q$3,$J$3)</f>
        <v>190.66830900960917</v>
      </c>
      <c r="L1022" s="12">
        <f ca="1"/>
        <v>5.7092919525075558E-2</v>
      </c>
      <c r="M1022" s="12">
        <f t="array" aca="1" ref="M1022:N1022" ca="1">Opt3Spd(H1022:J1022,$E$3:$G$3,$K$3:$M$3,$N$3:$P$3,$H$4,$I$3,$Q$3,$J$3)</f>
        <v>5.6861481793264446E-2</v>
      </c>
      <c r="N1022" s="12">
        <f ca="1"/>
        <v>209.44564539170918</v>
      </c>
      <c r="O1022" s="12">
        <f t="shared" ca="1" si="134"/>
        <v>0.11395440131834</v>
      </c>
    </row>
    <row r="1023" spans="2:15" x14ac:dyDescent="0.15">
      <c r="B1023" s="6">
        <f t="shared" ca="1" si="127"/>
        <v>-0.51039146242691213</v>
      </c>
      <c r="C1023" s="6">
        <f t="shared" ca="1" si="127"/>
        <v>-8.0615618243934317E-2</v>
      </c>
      <c r="D1023" s="6">
        <f t="shared" ca="1" si="127"/>
        <v>-0.23303856210306612</v>
      </c>
      <c r="E1023" s="8">
        <f t="shared" ca="1" si="128"/>
        <v>-1.162079654092771E-2</v>
      </c>
      <c r="F1023" s="8">
        <f t="shared" ca="1" si="129"/>
        <v>-2.0785446272709552E-2</v>
      </c>
      <c r="G1023" s="8">
        <f t="shared" ca="1" si="130"/>
        <v>-2.1467549588836267E-2</v>
      </c>
      <c r="H1023" s="10">
        <f t="shared" ca="1" si="131"/>
        <v>3969.3308810916342</v>
      </c>
      <c r="I1023" s="10">
        <f t="shared" ca="1" si="132"/>
        <v>532.69271722764597</v>
      </c>
      <c r="J1023" s="10">
        <f t="shared" ca="1" si="133"/>
        <v>2187.9985591193622</v>
      </c>
      <c r="K1023" s="12">
        <f t="array" aca="1" ref="K1023:L1023" ca="1">Opt3Spd(H1023:J1023,$E$3:$G$3,$K$3:$M$3,$N$3:$P$3,$H$3,$I$3,$Q$3,$J$3)</f>
        <v>198.0574129323727</v>
      </c>
      <c r="L1023" s="12">
        <f ca="1"/>
        <v>3.4158964652988288E-2</v>
      </c>
      <c r="M1023" s="12">
        <f t="array" aca="1" ref="M1023:N1023" ca="1">Opt3Spd(H1023:J1023,$E$3:$G$3,$K$3:$M$3,$N$3:$P$3,$H$4,$I$3,$Q$3,$J$3)</f>
        <v>7.0849541689964823E-2</v>
      </c>
      <c r="N1023" s="12">
        <f ca="1"/>
        <v>202.04759557397026</v>
      </c>
      <c r="O1023" s="12">
        <f t="shared" ca="1" si="134"/>
        <v>0.10500850634295311</v>
      </c>
    </row>
    <row r="1024" spans="2:15" x14ac:dyDescent="0.15">
      <c r="B1024" s="6">
        <f t="shared" ref="B1024:D1087" ca="1" si="135">NORMINV(RAND(),0,1)</f>
        <v>-1.0640564462786701</v>
      </c>
      <c r="C1024" s="6">
        <f t="shared" ca="1" si="135"/>
        <v>-1.3513476401628099</v>
      </c>
      <c r="D1024" s="6">
        <f t="shared" ca="1" si="135"/>
        <v>0.44799144633725269</v>
      </c>
      <c r="E1024" s="8">
        <f t="shared" ca="1" si="128"/>
        <v>-2.4226861890421392E-2</v>
      </c>
      <c r="F1024" s="8">
        <f t="shared" ca="1" si="129"/>
        <v>-7.0535047168626047E-2</v>
      </c>
      <c r="G1024" s="8">
        <f t="shared" ca="1" si="130"/>
        <v>-3.8242149073961618E-2</v>
      </c>
      <c r="H1024" s="10">
        <f t="shared" ca="1" si="131"/>
        <v>3918.7049226480681</v>
      </c>
      <c r="I1024" s="10">
        <f t="shared" ca="1" si="132"/>
        <v>505.62893434026745</v>
      </c>
      <c r="J1024" s="10">
        <f t="shared" ca="1" si="133"/>
        <v>2150.4905546706218</v>
      </c>
      <c r="K1024" s="12">
        <f t="array" aca="1" ref="K1024:L1024" ca="1">Opt3Spd(H1024:J1024,$E$3:$G$3,$K$3:$M$3,$N$3:$P$3,$H$3,$I$3,$Q$3,$J$3)</f>
        <v>209.47151985027062</v>
      </c>
      <c r="L1024" s="12">
        <f ca="1"/>
        <v>1.816948194118595E-2</v>
      </c>
      <c r="M1024" s="12">
        <f t="array" aca="1" ref="M1024:N1024" ca="1">Opt3Spd(H1024:J1024,$E$3:$G$3,$K$3:$M$3,$N$3:$P$3,$H$4,$I$3,$Q$3,$J$3)</f>
        <v>0.11521036974403387</v>
      </c>
      <c r="N1024" s="12">
        <f ca="1"/>
        <v>190.6618600014146</v>
      </c>
      <c r="O1024" s="12">
        <f t="shared" ca="1" si="134"/>
        <v>0.13337985168521982</v>
      </c>
    </row>
    <row r="1025" spans="2:15" x14ac:dyDescent="0.15">
      <c r="B1025" s="6">
        <f t="shared" ca="1" si="135"/>
        <v>1.1317157854325512</v>
      </c>
      <c r="C1025" s="6">
        <f t="shared" ca="1" si="135"/>
        <v>0.82151370660306189</v>
      </c>
      <c r="D1025" s="6">
        <f t="shared" ca="1" si="135"/>
        <v>-0.64530497685009625</v>
      </c>
      <c r="E1025" s="8">
        <f t="shared" ca="1" si="128"/>
        <v>2.5767356730719532E-2</v>
      </c>
      <c r="F1025" s="8">
        <f t="shared" ca="1" si="129"/>
        <v>6.0864684155008161E-2</v>
      </c>
      <c r="G1025" s="8">
        <f t="shared" ca="1" si="130"/>
        <v>3.7087758908921478E-2</v>
      </c>
      <c r="H1025" s="10">
        <f t="shared" ca="1" si="131"/>
        <v>4119.4817046305698</v>
      </c>
      <c r="I1025" s="10">
        <f t="shared" ca="1" si="132"/>
        <v>577.11038818032443</v>
      </c>
      <c r="J1025" s="10">
        <f t="shared" ca="1" si="133"/>
        <v>2318.9282289203488</v>
      </c>
      <c r="K1025" s="12">
        <f t="array" aca="1" ref="K1025:L1025" ca="1">Opt3Spd(H1025:J1025,$E$3:$G$3,$K$3:$M$3,$N$3:$P$3,$H$3,$I$3,$Q$3,$J$3)</f>
        <v>211.66181979022849</v>
      </c>
      <c r="L1025" s="12">
        <f ca="1"/>
        <v>2.0850708352327274E-2</v>
      </c>
      <c r="M1025" s="12">
        <f t="array" aca="1" ref="M1025:N1025" ca="1">Opt3Spd(H1025:J1025,$E$3:$G$3,$K$3:$M$3,$N$3:$P$3,$H$4,$I$3,$Q$3,$J$3)</f>
        <v>0.14717755758790219</v>
      </c>
      <c r="N1025" s="12">
        <f ca="1"/>
        <v>188.50620847571173</v>
      </c>
      <c r="O1025" s="12">
        <f t="shared" ca="1" si="134"/>
        <v>0.16802826594022946</v>
      </c>
    </row>
    <row r="1026" spans="2:15" x14ac:dyDescent="0.15">
      <c r="B1026" s="6">
        <f t="shared" ca="1" si="135"/>
        <v>-0.25247543900315039</v>
      </c>
      <c r="C1026" s="6">
        <f t="shared" ca="1" si="135"/>
        <v>0.14814589928801938</v>
      </c>
      <c r="D1026" s="6">
        <f t="shared" ca="1" si="135"/>
        <v>1.2129244540813681E-2</v>
      </c>
      <c r="E1026" s="8">
        <f t="shared" ca="1" si="128"/>
        <v>-5.7484615716062414E-3</v>
      </c>
      <c r="F1026" s="8">
        <f t="shared" ca="1" si="129"/>
        <v>-5.9595503974250869E-3</v>
      </c>
      <c r="G1026" s="8">
        <f t="shared" ca="1" si="130"/>
        <v>-8.7162603136849461E-3</v>
      </c>
      <c r="H1026" s="10">
        <f t="shared" ca="1" si="131"/>
        <v>3992.9141783284294</v>
      </c>
      <c r="I1026" s="10">
        <f t="shared" ca="1" si="132"/>
        <v>540.7580045838007</v>
      </c>
      <c r="J1026" s="10">
        <f t="shared" ca="1" si="133"/>
        <v>2216.5104419386003</v>
      </c>
      <c r="K1026" s="12">
        <f t="array" aca="1" ref="K1026:L1026" ca="1">Opt3Spd(H1026:J1026,$E$3:$G$3,$K$3:$M$3,$N$3:$P$3,$H$3,$I$3,$Q$3,$J$3)</f>
        <v>194.48828916801813</v>
      </c>
      <c r="L1026" s="12">
        <f ca="1"/>
        <v>4.213914296974508E-2</v>
      </c>
      <c r="M1026" s="12">
        <f t="array" aca="1" ref="M1026:N1026" ca="1">Opt3Spd(H1026:J1026,$E$3:$G$3,$K$3:$M$3,$N$3:$P$3,$H$4,$I$3,$Q$3,$J$3)</f>
        <v>6.161996297048411E-2</v>
      </c>
      <c r="N1026" s="12">
        <f ca="1"/>
        <v>205.61546993792211</v>
      </c>
      <c r="O1026" s="12">
        <f t="shared" ca="1" si="134"/>
        <v>0.10375910594022919</v>
      </c>
    </row>
    <row r="1027" spans="2:15" x14ac:dyDescent="0.15">
      <c r="B1027" s="6">
        <f t="shared" ca="1" si="135"/>
        <v>0.30774460137641679</v>
      </c>
      <c r="C1027" s="6">
        <f t="shared" ca="1" si="135"/>
        <v>1.2364129132568042</v>
      </c>
      <c r="D1027" s="6">
        <f t="shared" ca="1" si="135"/>
        <v>-1.8781304183171905</v>
      </c>
      <c r="E1027" s="8">
        <f t="shared" ca="1" si="128"/>
        <v>7.0068519213844754E-3</v>
      </c>
      <c r="F1027" s="8">
        <f t="shared" ca="1" si="129"/>
        <v>3.9838604288527341E-2</v>
      </c>
      <c r="G1027" s="8">
        <f t="shared" ca="1" si="130"/>
        <v>-5.1125185818368321E-3</v>
      </c>
      <c r="H1027" s="10">
        <f t="shared" ca="1" si="131"/>
        <v>4044.1395173162796</v>
      </c>
      <c r="I1027" s="10">
        <f t="shared" ca="1" si="132"/>
        <v>565.6722007329588</v>
      </c>
      <c r="J1027" s="10">
        <f t="shared" ca="1" si="133"/>
        <v>2224.5684084510131</v>
      </c>
      <c r="K1027" s="12">
        <f t="array" aca="1" ref="K1027:L1027" ca="1">Opt3Spd(H1027:J1027,$E$3:$G$3,$K$3:$M$3,$N$3:$P$3,$H$3,$I$3,$Q$3,$J$3)</f>
        <v>201.81011190363915</v>
      </c>
      <c r="L1027" s="12">
        <f ca="1"/>
        <v>3.0319985600272048E-2</v>
      </c>
      <c r="M1027" s="12">
        <f t="array" aca="1" ref="M1027:N1027" ca="1">Opt3Spd(H1027:J1027,$E$3:$G$3,$K$3:$M$3,$N$3:$P$3,$H$4,$I$3,$Q$3,$J$3)</f>
        <v>8.7910554514225581E-2</v>
      </c>
      <c r="N1027" s="12">
        <f ca="1"/>
        <v>198.30811863647534</v>
      </c>
      <c r="O1027" s="12">
        <f t="shared" ca="1" si="134"/>
        <v>0.11823054011449763</v>
      </c>
    </row>
    <row r="1028" spans="2:15" x14ac:dyDescent="0.15">
      <c r="B1028" s="6">
        <f t="shared" ca="1" si="135"/>
        <v>-0.72159318800851324</v>
      </c>
      <c r="C1028" s="6">
        <f t="shared" ca="1" si="135"/>
        <v>-7.3732099492067021E-2</v>
      </c>
      <c r="D1028" s="6">
        <f t="shared" ca="1" si="135"/>
        <v>0.78912756323475841</v>
      </c>
      <c r="E1028" s="8">
        <f t="shared" ca="1" si="128"/>
        <v>-1.6429521730816819E-2</v>
      </c>
      <c r="F1028" s="8">
        <f t="shared" ca="1" si="129"/>
        <v>-2.8461419310209943E-2</v>
      </c>
      <c r="G1028" s="8">
        <f t="shared" ca="1" si="130"/>
        <v>-1.8317583556029336E-2</v>
      </c>
      <c r="H1028" s="10">
        <f t="shared" ca="1" si="131"/>
        <v>3950.0190407290397</v>
      </c>
      <c r="I1028" s="10">
        <f t="shared" ca="1" si="132"/>
        <v>528.51698789524573</v>
      </c>
      <c r="J1028" s="10">
        <f t="shared" ca="1" si="133"/>
        <v>2195.0418831687184</v>
      </c>
      <c r="K1028" s="12">
        <f t="array" aca="1" ref="K1028:L1028" ca="1">Opt3Spd(H1028:J1028,$E$3:$G$3,$K$3:$M$3,$N$3:$P$3,$H$3,$I$3,$Q$3,$J$3)</f>
        <v>181.94539685603013</v>
      </c>
      <c r="L1028" s="12">
        <f ca="1"/>
        <v>7.4478343743066944E-2</v>
      </c>
      <c r="M1028" s="12">
        <f t="array" aca="1" ref="M1028:N1028" ca="1">Opt3Spd(H1028:J1028,$E$3:$G$3,$K$3:$M$3,$N$3:$P$3,$H$4,$I$3,$Q$3,$J$3)</f>
        <v>3.2817541700656871E-2</v>
      </c>
      <c r="N1028" s="12">
        <f ca="1"/>
        <v>218.1618990294136</v>
      </c>
      <c r="O1028" s="12">
        <f t="shared" ca="1" si="134"/>
        <v>0.10729588544372382</v>
      </c>
    </row>
    <row r="1029" spans="2:15" x14ac:dyDescent="0.15">
      <c r="B1029" s="6">
        <f t="shared" ca="1" si="135"/>
        <v>0.36137330744708684</v>
      </c>
      <c r="C1029" s="6">
        <f t="shared" ca="1" si="135"/>
        <v>0.18168562000942887</v>
      </c>
      <c r="D1029" s="6">
        <f t="shared" ca="1" si="135"/>
        <v>0.46946389411659745</v>
      </c>
      <c r="E1029" s="8">
        <f t="shared" ref="E1029:E1092" ca="1" si="136">B1029*$U$3*$C$6</f>
        <v>8.2278917072717925E-3</v>
      </c>
      <c r="F1029" s="8">
        <f t="shared" ref="F1029:F1092" ca="1" si="137">($N$3*B1029+C1029*SQRT(1-$N$3^2))*$V$3*$C$6</f>
        <v>1.7581286259409554E-2</v>
      </c>
      <c r="G1029" s="8">
        <f t="shared" ref="G1029:G1092" ca="1" si="138">(D1029/$T$3+($P$3-$N$3*$O$3)*C1029+$O$3*B1029*SQRT(1/(1-$N$3^2)))*$W$3*$C$6</f>
        <v>1.8804920102275257E-2</v>
      </c>
      <c r="H1029" s="10">
        <f t="shared" ref="H1029:H1092" ca="1" si="139">B$3*(1+E1029)</f>
        <v>4049.0432130964036</v>
      </c>
      <c r="I1029" s="10">
        <f t="shared" ref="I1029:I1092" ca="1" si="140">C$3*(1+F1029)</f>
        <v>553.56421972511885</v>
      </c>
      <c r="J1029" s="10">
        <f t="shared" ref="J1029:J1092" ca="1" si="141">D$3*(1+G1029)</f>
        <v>2278.0478013486877</v>
      </c>
      <c r="K1029" s="12">
        <f t="array" aca="1" ref="K1029:L1029" ca="1">Opt3Spd(H1029:J1029,$E$3:$G$3,$K$3:$M$3,$N$3:$P$3,$H$3,$I$3,$Q$3,$J$3)</f>
        <v>199.35236536817456</v>
      </c>
      <c r="L1029" s="12">
        <f ca="1"/>
        <v>3.5804506305112227E-2</v>
      </c>
      <c r="M1029" s="12">
        <f t="array" aca="1" ref="M1029:N1029" ca="1">Opt3Spd(H1029:J1029,$E$3:$G$3,$K$3:$M$3,$N$3:$P$3,$H$4,$I$3,$Q$3,$J$3)</f>
        <v>8.1776074878822769E-2</v>
      </c>
      <c r="N1029" s="12">
        <f ca="1"/>
        <v>200.76521521300938</v>
      </c>
      <c r="O1029" s="12">
        <f t="shared" ca="1" si="134"/>
        <v>0.117580581183935</v>
      </c>
    </row>
    <row r="1030" spans="2:15" x14ac:dyDescent="0.15">
      <c r="B1030" s="6">
        <f t="shared" ca="1" si="135"/>
        <v>0.78694835376182615</v>
      </c>
      <c r="C1030" s="6">
        <f t="shared" ca="1" si="135"/>
        <v>0.34425950267457123</v>
      </c>
      <c r="D1030" s="6">
        <f t="shared" ca="1" si="135"/>
        <v>-0.84866702761353785</v>
      </c>
      <c r="E1030" s="8">
        <f t="shared" ca="1" si="136"/>
        <v>1.79175542314126E-2</v>
      </c>
      <c r="F1030" s="8">
        <f t="shared" ca="1" si="137"/>
        <v>3.7104690689002823E-2</v>
      </c>
      <c r="G1030" s="8">
        <f t="shared" ca="1" si="138"/>
        <v>2.0869682089334325E-2</v>
      </c>
      <c r="H1030" s="10">
        <f t="shared" ca="1" si="139"/>
        <v>4087.9568977933527</v>
      </c>
      <c r="I1030" s="10">
        <f t="shared" ca="1" si="140"/>
        <v>564.18495173481756</v>
      </c>
      <c r="J1030" s="10">
        <f t="shared" ca="1" si="141"/>
        <v>2282.6646091517518</v>
      </c>
      <c r="K1030" s="12">
        <f t="array" aca="1" ref="K1030:L1030" ca="1">Opt3Spd(H1030:J1030,$E$3:$G$3,$K$3:$M$3,$N$3:$P$3,$H$3,$I$3,$Q$3,$J$3)</f>
        <v>218.94223777463344</v>
      </c>
      <c r="L1030" s="12">
        <f ca="1"/>
        <v>1.3567332865022763E-2</v>
      </c>
      <c r="M1030" s="12">
        <f t="array" aca="1" ref="M1030:N1030" ca="1">Opt3Spd(H1030:J1030,$E$3:$G$3,$K$3:$M$3,$N$3:$P$3,$H$4,$I$3,$Q$3,$J$3)</f>
        <v>0.1939572403614811</v>
      </c>
      <c r="N1030" s="12">
        <f ca="1"/>
        <v>181.26528679859305</v>
      </c>
      <c r="O1030" s="12">
        <f t="shared" ca="1" si="134"/>
        <v>0.20752457322650386</v>
      </c>
    </row>
    <row r="1031" spans="2:15" x14ac:dyDescent="0.15">
      <c r="B1031" s="6">
        <f t="shared" ca="1" si="135"/>
        <v>-0.2613937082731238</v>
      </c>
      <c r="C1031" s="6">
        <f t="shared" ca="1" si="135"/>
        <v>-0.12559456864005766</v>
      </c>
      <c r="D1031" s="6">
        <f t="shared" ca="1" si="135"/>
        <v>-0.14405570854360658</v>
      </c>
      <c r="E1031" s="8">
        <f t="shared" ca="1" si="136"/>
        <v>-5.9515162861008223E-3</v>
      </c>
      <c r="F1031" s="8">
        <f t="shared" ca="1" si="137"/>
        <v>-1.2583242329356184E-2</v>
      </c>
      <c r="G1031" s="8">
        <f t="shared" ca="1" si="138"/>
        <v>-1.1502410432114286E-2</v>
      </c>
      <c r="H1031" s="10">
        <f t="shared" ca="1" si="139"/>
        <v>3992.0987105950194</v>
      </c>
      <c r="I1031" s="10">
        <f t="shared" ca="1" si="140"/>
        <v>537.15471617283026</v>
      </c>
      <c r="J1031" s="10">
        <f t="shared" ca="1" si="141"/>
        <v>2210.2806102737923</v>
      </c>
      <c r="K1031" s="12">
        <f t="array" aca="1" ref="K1031:L1031" ca="1">Opt3Spd(H1031:J1031,$E$3:$G$3,$K$3:$M$3,$N$3:$P$3,$H$3,$I$3,$Q$3,$J$3)</f>
        <v>202.53894321151802</v>
      </c>
      <c r="L1031" s="12">
        <f ca="1"/>
        <v>2.808362992345792E-2</v>
      </c>
      <c r="M1031" s="12">
        <f t="array" aca="1" ref="M1031:N1031" ca="1">Opt3Spd(H1031:J1031,$E$3:$G$3,$K$3:$M$3,$N$3:$P$3,$H$4,$I$3,$Q$3,$J$3)</f>
        <v>8.8829580400300756E-2</v>
      </c>
      <c r="N1031" s="12">
        <f ca="1"/>
        <v>197.57796999880574</v>
      </c>
      <c r="O1031" s="12">
        <f t="shared" ca="1" si="134"/>
        <v>0.11691321032375868</v>
      </c>
    </row>
    <row r="1032" spans="2:15" x14ac:dyDescent="0.15">
      <c r="B1032" s="6">
        <f t="shared" ca="1" si="135"/>
        <v>-0.34906818354975122</v>
      </c>
      <c r="C1032" s="6">
        <f t="shared" ca="1" si="135"/>
        <v>0.27038472378009326</v>
      </c>
      <c r="D1032" s="6">
        <f t="shared" ca="1" si="135"/>
        <v>8.13382710414986E-2</v>
      </c>
      <c r="E1032" s="8">
        <f t="shared" ca="1" si="136"/>
        <v>-7.9477237347475218E-3</v>
      </c>
      <c r="F1032" s="8">
        <f t="shared" ca="1" si="137"/>
        <v>-6.7324281396525E-3</v>
      </c>
      <c r="G1032" s="8">
        <f t="shared" ca="1" si="138"/>
        <v>-1.1172777395322632E-2</v>
      </c>
      <c r="H1032" s="10">
        <f t="shared" ca="1" si="139"/>
        <v>3984.081941481254</v>
      </c>
      <c r="I1032" s="10">
        <f t="shared" ca="1" si="140"/>
        <v>540.3375590920291</v>
      </c>
      <c r="J1032" s="10">
        <f t="shared" ca="1" si="141"/>
        <v>2211.0176697440588</v>
      </c>
      <c r="K1032" s="12">
        <f t="array" aca="1" ref="K1032:L1032" ca="1">Opt3Spd(H1032:J1032,$E$3:$G$3,$K$3:$M$3,$N$3:$P$3,$H$3,$I$3,$Q$3,$J$3)</f>
        <v>189.08736123315521</v>
      </c>
      <c r="L1032" s="12">
        <f ca="1"/>
        <v>5.4349171177136668E-2</v>
      </c>
      <c r="M1032" s="12">
        <f t="array" aca="1" ref="M1032:N1032" ca="1">Opt3Spd(H1032:J1032,$E$3:$G$3,$K$3:$M$3,$N$3:$P$3,$H$4,$I$3,$Q$3,$J$3)</f>
        <v>4.7427139459227163E-2</v>
      </c>
      <c r="N1032" s="12">
        <f ca="1"/>
        <v>211.01441507748115</v>
      </c>
      <c r="O1032" s="12">
        <f t="shared" ca="1" si="134"/>
        <v>0.10177631063636383</v>
      </c>
    </row>
    <row r="1033" spans="2:15" x14ac:dyDescent="0.15">
      <c r="B1033" s="6">
        <f t="shared" ca="1" si="135"/>
        <v>0.60613234086847867</v>
      </c>
      <c r="C1033" s="6">
        <f t="shared" ca="1" si="135"/>
        <v>2.2093814100766216</v>
      </c>
      <c r="D1033" s="6">
        <f t="shared" ca="1" si="135"/>
        <v>0.59751390077637756</v>
      </c>
      <c r="E1033" s="8">
        <f t="shared" ca="1" si="136"/>
        <v>1.3800663076564478E-2</v>
      </c>
      <c r="F1033" s="8">
        <f t="shared" ca="1" si="137"/>
        <v>7.3273938452633192E-2</v>
      </c>
      <c r="G1033" s="8">
        <f t="shared" ca="1" si="138"/>
        <v>3.5047434498942875E-2</v>
      </c>
      <c r="H1033" s="10">
        <f t="shared" ca="1" si="139"/>
        <v>4071.4234629154835</v>
      </c>
      <c r="I1033" s="10">
        <f t="shared" ca="1" si="140"/>
        <v>583.86102251823252</v>
      </c>
      <c r="J1033" s="10">
        <f t="shared" ca="1" si="141"/>
        <v>2314.3660635396363</v>
      </c>
      <c r="K1033" s="12">
        <f t="array" aca="1" ref="K1033:L1033" ca="1">Opt3Spd(H1033:J1033,$E$3:$G$3,$K$3:$M$3,$N$3:$P$3,$H$3,$I$3,$Q$3,$J$3)</f>
        <v>155.34086334033191</v>
      </c>
      <c r="L1033" s="12">
        <f ca="1"/>
        <v>0.27806822383854524</v>
      </c>
      <c r="M1033" s="12">
        <f t="array" aca="1" ref="M1033:N1033" ca="1">Opt3Spd(H1033:J1033,$E$3:$G$3,$K$3:$M$3,$N$3:$P$3,$H$4,$I$3,$Q$3,$J$3)</f>
        <v>9.7403768007837677E-3</v>
      </c>
      <c r="N1033" s="12">
        <f ca="1"/>
        <v>244.94694526030742</v>
      </c>
      <c r="O1033" s="12">
        <f t="shared" ca="1" si="134"/>
        <v>0.287808600639329</v>
      </c>
    </row>
    <row r="1034" spans="2:15" x14ac:dyDescent="0.15">
      <c r="B1034" s="6">
        <f t="shared" ca="1" si="135"/>
        <v>1.3764001994987918</v>
      </c>
      <c r="C1034" s="6">
        <f t="shared" ca="1" si="135"/>
        <v>0.52943446851851039</v>
      </c>
      <c r="D1034" s="6">
        <f t="shared" ca="1" si="135"/>
        <v>-1.5796332759458354</v>
      </c>
      <c r="E1034" s="8">
        <f t="shared" ca="1" si="136"/>
        <v>3.1338429136749571E-2</v>
      </c>
      <c r="F1034" s="8">
        <f t="shared" ca="1" si="137"/>
        <v>6.3226426891939996E-2</v>
      </c>
      <c r="G1034" s="8">
        <f t="shared" ca="1" si="138"/>
        <v>3.5275718668465031E-2</v>
      </c>
      <c r="H1034" s="10">
        <f t="shared" ca="1" si="139"/>
        <v>4141.8551314131864</v>
      </c>
      <c r="I1034" s="10">
        <f t="shared" ca="1" si="140"/>
        <v>578.39517622921539</v>
      </c>
      <c r="J1034" s="10">
        <f t="shared" ca="1" si="141"/>
        <v>2314.8765069426881</v>
      </c>
      <c r="K1034" s="12">
        <f t="array" aca="1" ref="K1034:L1034" ca="1">Opt3Spd(H1034:J1034,$E$3:$G$3,$K$3:$M$3,$N$3:$P$3,$H$3,$I$3,$Q$3,$J$3)</f>
        <v>233.99108938801919</v>
      </c>
      <c r="L1034" s="12">
        <f ca="1"/>
        <v>6.49341292137251E-3</v>
      </c>
      <c r="M1034" s="12">
        <f t="array" aca="1" ref="M1034:N1034" ca="1">Opt3Spd(H1034:J1034,$E$3:$G$3,$K$3:$M$3,$N$3:$P$3,$H$4,$I$3,$Q$3,$J$3)</f>
        <v>0.36613506910682503</v>
      </c>
      <c r="N1034" s="12">
        <f ca="1"/>
        <v>166.38153909400901</v>
      </c>
      <c r="O1034" s="12">
        <f t="shared" ca="1" si="134"/>
        <v>0.37262848202819754</v>
      </c>
    </row>
    <row r="1035" spans="2:15" x14ac:dyDescent="0.15">
      <c r="B1035" s="6">
        <f t="shared" ca="1" si="135"/>
        <v>-1.8890600509268709</v>
      </c>
      <c r="C1035" s="6">
        <f t="shared" ca="1" si="135"/>
        <v>1.2251124842590293</v>
      </c>
      <c r="D1035" s="6">
        <f t="shared" ca="1" si="135"/>
        <v>-0.15507548885458114</v>
      </c>
      <c r="E1035" s="8">
        <f t="shared" ca="1" si="136"/>
        <v>-4.3010873263890616E-2</v>
      </c>
      <c r="F1035" s="8">
        <f t="shared" ca="1" si="137"/>
        <v>-4.1908386205327018E-2</v>
      </c>
      <c r="G1035" s="8">
        <f t="shared" ca="1" si="138"/>
        <v>-6.7496555980718187E-2</v>
      </c>
      <c r="H1035" s="10">
        <f t="shared" ca="1" si="139"/>
        <v>3843.2683329722154</v>
      </c>
      <c r="I1035" s="10">
        <f t="shared" ca="1" si="140"/>
        <v>521.20183790430212</v>
      </c>
      <c r="J1035" s="10">
        <f t="shared" ca="1" si="141"/>
        <v>2085.0777008271143</v>
      </c>
      <c r="K1035" s="12">
        <f t="array" aca="1" ref="K1035:L1035" ca="1">Opt3Spd(H1035:J1035,$E$3:$G$3,$K$3:$M$3,$N$3:$P$3,$H$3,$I$3,$Q$3,$J$3)</f>
        <v>142.1989773128762</v>
      </c>
      <c r="L1035" s="12">
        <f ca="1"/>
        <v>0.39243540110146569</v>
      </c>
      <c r="M1035" s="12">
        <f t="array" aca="1" ref="M1035:N1035" ca="1">Opt3Spd(H1035:J1035,$E$3:$G$3,$K$3:$M$3,$N$3:$P$3,$H$4,$I$3,$Q$3,$J$3)</f>
        <v>3.29351934413874E-3</v>
      </c>
      <c r="N1035" s="12">
        <f ca="1"/>
        <v>258.19675160756941</v>
      </c>
      <c r="O1035" s="12">
        <f t="shared" ref="O1035:O1098" ca="1" si="142">L1035+M1035</f>
        <v>0.39572892044560443</v>
      </c>
    </row>
    <row r="1036" spans="2:15" x14ac:dyDescent="0.15">
      <c r="B1036" s="6">
        <f t="shared" ca="1" si="135"/>
        <v>-0.1917730968127371</v>
      </c>
      <c r="C1036" s="6">
        <f t="shared" ca="1" si="135"/>
        <v>-0.25350463862759898</v>
      </c>
      <c r="D1036" s="6">
        <f t="shared" ca="1" si="135"/>
        <v>-0.4868780014121864</v>
      </c>
      <c r="E1036" s="8">
        <f t="shared" ca="1" si="136"/>
        <v>-4.3663664150800294E-3</v>
      </c>
      <c r="F1036" s="8">
        <f t="shared" ca="1" si="137"/>
        <v>-1.29412292738013E-2</v>
      </c>
      <c r="G1036" s="8">
        <f t="shared" ca="1" si="138"/>
        <v>-1.2968086123068521E-2</v>
      </c>
      <c r="H1036" s="10">
        <f t="shared" ca="1" si="139"/>
        <v>3998.4646724770387</v>
      </c>
      <c r="I1036" s="10">
        <f t="shared" ca="1" si="140"/>
        <v>536.95997127505211</v>
      </c>
      <c r="J1036" s="10">
        <f t="shared" ca="1" si="141"/>
        <v>2207.0033594288188</v>
      </c>
      <c r="K1036" s="12">
        <f t="array" aca="1" ref="K1036:L1036" ca="1">Opt3Spd(H1036:J1036,$E$3:$G$3,$K$3:$M$3,$N$3:$P$3,$H$3,$I$3,$Q$3,$J$3)</f>
        <v>210.84541128826868</v>
      </c>
      <c r="L1036" s="12">
        <f ca="1"/>
        <v>1.8372565722984291E-2</v>
      </c>
      <c r="M1036" s="12">
        <f t="array" aca="1" ref="M1036:N1036" ca="1">Opt3Spd(H1036:J1036,$E$3:$G$3,$K$3:$M$3,$N$3:$P$3,$H$4,$I$3,$Q$3,$J$3)</f>
        <v>0.12844185286021492</v>
      </c>
      <c r="N1036" s="12">
        <f ca="1"/>
        <v>189.30140313031453</v>
      </c>
      <c r="O1036" s="12">
        <f t="shared" ca="1" si="142"/>
        <v>0.14681441858319921</v>
      </c>
    </row>
    <row r="1037" spans="2:15" x14ac:dyDescent="0.15">
      <c r="B1037" s="6">
        <f t="shared" ca="1" si="135"/>
        <v>-0.7693997537633237</v>
      </c>
      <c r="C1037" s="6">
        <f t="shared" ca="1" si="135"/>
        <v>0.91156634447981089</v>
      </c>
      <c r="D1037" s="6">
        <f t="shared" ca="1" si="135"/>
        <v>1.4009808826100281</v>
      </c>
      <c r="E1037" s="8">
        <f t="shared" ca="1" si="136"/>
        <v>-1.7518000702066633E-2</v>
      </c>
      <c r="F1037" s="8">
        <f t="shared" ca="1" si="137"/>
        <v>-7.5842025224405266E-3</v>
      </c>
      <c r="G1037" s="8">
        <f t="shared" ca="1" si="138"/>
        <v>-1.0695519652831807E-2</v>
      </c>
      <c r="H1037" s="10">
        <f t="shared" ca="1" si="139"/>
        <v>3945.6477091805004</v>
      </c>
      <c r="I1037" s="10">
        <f t="shared" ca="1" si="140"/>
        <v>539.8741938277924</v>
      </c>
      <c r="J1037" s="10">
        <f t="shared" ca="1" si="141"/>
        <v>2212.084818056268</v>
      </c>
      <c r="K1037" s="12">
        <f t="array" aca="1" ref="K1037:L1037" ca="1">Opt3Spd(H1037:J1037,$E$3:$G$3,$K$3:$M$3,$N$3:$P$3,$H$3,$I$3,$Q$3,$J$3)</f>
        <v>151.10494299763013</v>
      </c>
      <c r="L1037" s="12">
        <f ca="1"/>
        <v>0.29835296973169534</v>
      </c>
      <c r="M1037" s="12">
        <f t="array" aca="1" ref="M1037:N1037" ca="1">Opt3Spd(H1037:J1037,$E$3:$G$3,$K$3:$M$3,$N$3:$P$3,$H$4,$I$3,$Q$3,$J$3)</f>
        <v>6.5741537433708919E-3</v>
      </c>
      <c r="N1037" s="12">
        <f ca="1"/>
        <v>249.19998412584494</v>
      </c>
      <c r="O1037" s="12">
        <f t="shared" ca="1" si="142"/>
        <v>0.30492712347506623</v>
      </c>
    </row>
    <row r="1038" spans="2:15" x14ac:dyDescent="0.15">
      <c r="B1038" s="6">
        <f t="shared" ca="1" si="135"/>
        <v>-0.59786730160433077</v>
      </c>
      <c r="C1038" s="6">
        <f t="shared" ca="1" si="135"/>
        <v>0.28907605915436713</v>
      </c>
      <c r="D1038" s="6">
        <f t="shared" ca="1" si="135"/>
        <v>-1.8048617884190596</v>
      </c>
      <c r="E1038" s="8">
        <f t="shared" ca="1" si="136"/>
        <v>-1.3612481363581386E-2</v>
      </c>
      <c r="F1038" s="8">
        <f t="shared" ca="1" si="137"/>
        <v>-1.5531576733807315E-2</v>
      </c>
      <c r="G1038" s="8">
        <f t="shared" ca="1" si="138"/>
        <v>-4.0352783788455041E-2</v>
      </c>
      <c r="H1038" s="10">
        <f t="shared" ca="1" si="139"/>
        <v>3961.3322748438572</v>
      </c>
      <c r="I1038" s="10">
        <f t="shared" ca="1" si="140"/>
        <v>535.55082225680883</v>
      </c>
      <c r="J1038" s="10">
        <f t="shared" ca="1" si="141"/>
        <v>2145.7711754490147</v>
      </c>
      <c r="K1038" s="12">
        <f t="array" aca="1" ref="K1038:L1038" ca="1">Opt3Spd(H1038:J1038,$E$3:$G$3,$K$3:$M$3,$N$3:$P$3,$H$3,$I$3,$Q$3,$J$3)</f>
        <v>206.58666382137471</v>
      </c>
      <c r="L1038" s="12">
        <f ca="1"/>
        <v>2.1292312918831158E-2</v>
      </c>
      <c r="M1038" s="12">
        <f t="array" aca="1" ref="M1038:N1038" ca="1">Opt3Spd(H1038:J1038,$E$3:$G$3,$K$3:$M$3,$N$3:$P$3,$H$4,$I$3,$Q$3,$J$3)</f>
        <v>0.10120090040947538</v>
      </c>
      <c r="N1038" s="12">
        <f ca="1"/>
        <v>193.5358293919536</v>
      </c>
      <c r="O1038" s="12">
        <f t="shared" ca="1" si="142"/>
        <v>0.12249321332830654</v>
      </c>
    </row>
    <row r="1039" spans="2:15" x14ac:dyDescent="0.15">
      <c r="B1039" s="6">
        <f t="shared" ca="1" si="135"/>
        <v>-1.384978880693762</v>
      </c>
      <c r="C1039" s="6">
        <f t="shared" ca="1" si="135"/>
        <v>0.99174459360241429</v>
      </c>
      <c r="D1039" s="6">
        <f t="shared" ca="1" si="135"/>
        <v>0.49414958803641817</v>
      </c>
      <c r="E1039" s="8">
        <f t="shared" ca="1" si="136"/>
        <v>-3.1533751974404813E-2</v>
      </c>
      <c r="F1039" s="8">
        <f t="shared" ca="1" si="137"/>
        <v>-2.8575019854297633E-2</v>
      </c>
      <c r="G1039" s="8">
        <f t="shared" ca="1" si="138"/>
        <v>-4.2738663678914324E-2</v>
      </c>
      <c r="H1039" s="10">
        <f t="shared" ca="1" si="139"/>
        <v>3889.3604520707904</v>
      </c>
      <c r="I1039" s="10">
        <f t="shared" ca="1" si="140"/>
        <v>528.45518919926212</v>
      </c>
      <c r="J1039" s="10">
        <f t="shared" ca="1" si="141"/>
        <v>2140.4363480139477</v>
      </c>
      <c r="K1039" s="12">
        <f t="array" aca="1" ref="K1039:L1039" ca="1">Opt3Spd(H1039:J1039,$E$3:$G$3,$K$3:$M$3,$N$3:$P$3,$H$3,$I$3,$Q$3,$J$3)</f>
        <v>148.92282980734535</v>
      </c>
      <c r="L1039" s="12">
        <f ca="1"/>
        <v>0.30885446234810843</v>
      </c>
      <c r="M1039" s="12">
        <f t="array" aca="1" ref="M1039:N1039" ca="1">Opt3Spd(H1039:J1039,$E$3:$G$3,$K$3:$M$3,$N$3:$P$3,$H$4,$I$3,$Q$3,$J$3)</f>
        <v>5.2733525703655415E-3</v>
      </c>
      <c r="N1039" s="12">
        <f ca="1"/>
        <v>251.39129800757311</v>
      </c>
      <c r="O1039" s="12">
        <f t="shared" ca="1" si="142"/>
        <v>0.31412781491847397</v>
      </c>
    </row>
    <row r="1040" spans="2:15" x14ac:dyDescent="0.15">
      <c r="B1040" s="6">
        <f t="shared" ca="1" si="135"/>
        <v>0.68281301805382977</v>
      </c>
      <c r="C1040" s="6">
        <f t="shared" ca="1" si="135"/>
        <v>1.108727786992902</v>
      </c>
      <c r="D1040" s="6">
        <f t="shared" ca="1" si="135"/>
        <v>-1.0806412173343751</v>
      </c>
      <c r="E1040" s="8">
        <f t="shared" ca="1" si="136"/>
        <v>1.5546559342059174E-2</v>
      </c>
      <c r="F1040" s="8">
        <f t="shared" ca="1" si="137"/>
        <v>5.0815921803537223E-2</v>
      </c>
      <c r="G1040" s="8">
        <f t="shared" ca="1" si="138"/>
        <v>1.6791914722246844E-2</v>
      </c>
      <c r="H1040" s="10">
        <f t="shared" ca="1" si="139"/>
        <v>4078.4349823177095</v>
      </c>
      <c r="I1040" s="10">
        <f t="shared" ca="1" si="140"/>
        <v>571.64386146112417</v>
      </c>
      <c r="J1040" s="10">
        <f t="shared" ca="1" si="141"/>
        <v>2273.546721318944</v>
      </c>
      <c r="K1040" s="12">
        <f t="array" aca="1" ref="K1040:L1040" ca="1">Opt3Spd(H1040:J1040,$E$3:$G$3,$K$3:$M$3,$N$3:$P$3,$H$3,$I$3,$Q$3,$J$3)</f>
        <v>202.06320828836465</v>
      </c>
      <c r="L1040" s="12">
        <f ca="1"/>
        <v>3.17649679261649E-2</v>
      </c>
      <c r="M1040" s="12">
        <f t="array" aca="1" ref="M1040:N1040" ca="1">Opt3Spd(H1040:J1040,$E$3:$G$3,$K$3:$M$3,$N$3:$P$3,$H$4,$I$3,$Q$3,$J$3)</f>
        <v>9.2891921427018076E-2</v>
      </c>
      <c r="N1040" s="12">
        <f ca="1"/>
        <v>198.06144860098854</v>
      </c>
      <c r="O1040" s="12">
        <f t="shared" ca="1" si="142"/>
        <v>0.12465688935318298</v>
      </c>
    </row>
    <row r="1041" spans="2:15" x14ac:dyDescent="0.15">
      <c r="B1041" s="6">
        <f t="shared" ca="1" si="135"/>
        <v>-0.18190117862503036</v>
      </c>
      <c r="C1041" s="6">
        <f t="shared" ca="1" si="135"/>
        <v>-0.76064399312119546</v>
      </c>
      <c r="D1041" s="6">
        <f t="shared" ca="1" si="135"/>
        <v>-0.53819516581156335</v>
      </c>
      <c r="E1041" s="8">
        <f t="shared" ca="1" si="136"/>
        <v>-4.1415986413744664E-3</v>
      </c>
      <c r="F1041" s="8">
        <f t="shared" ca="1" si="137"/>
        <v>-2.4233416701160256E-2</v>
      </c>
      <c r="G1041" s="8">
        <f t="shared" ca="1" si="138"/>
        <v>-1.4624303229888301E-2</v>
      </c>
      <c r="H1041" s="10">
        <f t="shared" ca="1" si="139"/>
        <v>3999.3673398562405</v>
      </c>
      <c r="I1041" s="10">
        <f t="shared" ca="1" si="140"/>
        <v>530.81702131456882</v>
      </c>
      <c r="J1041" s="10">
        <f t="shared" ca="1" si="141"/>
        <v>2203.30005797797</v>
      </c>
      <c r="K1041" s="12">
        <f t="array" aca="1" ref="K1041:L1041" ca="1">Opt3Spd(H1041:J1041,$E$3:$G$3,$K$3:$M$3,$N$3:$P$3,$H$3,$I$3,$Q$3,$J$3)</f>
        <v>223.41950455686151</v>
      </c>
      <c r="L1041" s="12">
        <f ca="1"/>
        <v>9.4277929163126828E-3</v>
      </c>
      <c r="M1041" s="12">
        <f t="array" aca="1" ref="M1041:N1041" ca="1">Opt3Spd(H1041:J1041,$E$3:$G$3,$K$3:$M$3,$N$3:$P$3,$H$4,$I$3,$Q$3,$J$3)</f>
        <v>0.21919003194800979</v>
      </c>
      <c r="N1041" s="12">
        <f ca="1"/>
        <v>176.80911326800282</v>
      </c>
      <c r="O1041" s="12">
        <f t="shared" ca="1" si="142"/>
        <v>0.22861782486432247</v>
      </c>
    </row>
    <row r="1042" spans="2:15" x14ac:dyDescent="0.15">
      <c r="B1042" s="6">
        <f t="shared" ca="1" si="135"/>
        <v>-1.6493242823713965</v>
      </c>
      <c r="C1042" s="6">
        <f t="shared" ca="1" si="135"/>
        <v>0.60711879424491555</v>
      </c>
      <c r="D1042" s="6">
        <f t="shared" ca="1" si="135"/>
        <v>-1.3613697849931379</v>
      </c>
      <c r="E1042" s="8">
        <f t="shared" ca="1" si="136"/>
        <v>-3.7552473594117439E-2</v>
      </c>
      <c r="F1042" s="8">
        <f t="shared" ca="1" si="137"/>
        <v>-4.7222489575256897E-2</v>
      </c>
      <c r="G1042" s="8">
        <f t="shared" ca="1" si="138"/>
        <v>-7.3333790132203591E-2</v>
      </c>
      <c r="H1042" s="10">
        <f t="shared" ca="1" si="139"/>
        <v>3865.1892660460244</v>
      </c>
      <c r="I1042" s="10">
        <f t="shared" ca="1" si="140"/>
        <v>518.31096567106022</v>
      </c>
      <c r="J1042" s="10">
        <f t="shared" ca="1" si="141"/>
        <v>2072.025645264393</v>
      </c>
      <c r="K1042" s="12">
        <f t="array" aca="1" ref="K1042:L1042" ca="1">Opt3Spd(H1042:J1042,$E$3:$G$3,$K$3:$M$3,$N$3:$P$3,$H$3,$I$3,$Q$3,$J$3)</f>
        <v>174.97069272608292</v>
      </c>
      <c r="L1042" s="12">
        <f ca="1"/>
        <v>9.1794385951288859E-2</v>
      </c>
      <c r="M1042" s="12">
        <f t="array" aca="1" ref="M1042:N1042" ca="1">Opt3Spd(H1042:J1042,$E$3:$G$3,$K$3:$M$3,$N$3:$P$3,$H$4,$I$3,$Q$3,$J$3)</f>
        <v>2.0246708004259872E-2</v>
      </c>
      <c r="N1042" s="12">
        <f ca="1"/>
        <v>225.14134836787264</v>
      </c>
      <c r="O1042" s="12">
        <f t="shared" ca="1" si="142"/>
        <v>0.11204109395554873</v>
      </c>
    </row>
    <row r="1043" spans="2:15" x14ac:dyDescent="0.15">
      <c r="B1043" s="6">
        <f t="shared" ca="1" si="135"/>
        <v>0.68429239270594755</v>
      </c>
      <c r="C1043" s="6">
        <f t="shared" ca="1" si="135"/>
        <v>-8.2217998062095787E-2</v>
      </c>
      <c r="D1043" s="6">
        <f t="shared" ca="1" si="135"/>
        <v>1.3971439355768829</v>
      </c>
      <c r="E1043" s="8">
        <f t="shared" ca="1" si="136"/>
        <v>1.5580242334635737E-2</v>
      </c>
      <c r="F1043" s="8">
        <f t="shared" ca="1" si="137"/>
        <v>2.3492743258221906E-2</v>
      </c>
      <c r="G1043" s="8">
        <f t="shared" ca="1" si="138"/>
        <v>3.9784963562619471E-2</v>
      </c>
      <c r="H1043" s="10">
        <f t="shared" ca="1" si="139"/>
        <v>4078.5702532158975</v>
      </c>
      <c r="I1043" s="10">
        <f t="shared" ca="1" si="140"/>
        <v>556.78005233247268</v>
      </c>
      <c r="J1043" s="10">
        <f t="shared" ca="1" si="141"/>
        <v>2324.9591785260172</v>
      </c>
      <c r="K1043" s="12">
        <f t="array" aca="1" ref="K1043:L1043" ca="1">Opt3Spd(H1043:J1043,$E$3:$G$3,$K$3:$M$3,$N$3:$P$3,$H$3,$I$3,$Q$3,$J$3)</f>
        <v>200.27864032730395</v>
      </c>
      <c r="L1043" s="12">
        <f ca="1"/>
        <v>3.606010637122381E-2</v>
      </c>
      <c r="M1043" s="12">
        <f t="array" aca="1" ref="M1043:N1043" ca="1">Opt3Spd(H1043:J1043,$E$3:$G$3,$K$3:$M$3,$N$3:$P$3,$H$4,$I$3,$Q$3,$J$3)</f>
        <v>8.8821100036426515E-2</v>
      </c>
      <c r="N1043" s="12">
        <f ca="1"/>
        <v>199.8462408791037</v>
      </c>
      <c r="O1043" s="12">
        <f t="shared" ca="1" si="142"/>
        <v>0.12488120640765032</v>
      </c>
    </row>
    <row r="1044" spans="2:15" x14ac:dyDescent="0.15">
      <c r="B1044" s="6">
        <f t="shared" ca="1" si="135"/>
        <v>-0.69220105861805814</v>
      </c>
      <c r="C1044" s="6">
        <f t="shared" ca="1" si="135"/>
        <v>-0.7044022864567141</v>
      </c>
      <c r="D1044" s="6">
        <f t="shared" ca="1" si="135"/>
        <v>-0.37448639258707189</v>
      </c>
      <c r="E1044" s="8">
        <f t="shared" ca="1" si="136"/>
        <v>-1.5760309996892076E-2</v>
      </c>
      <c r="F1044" s="8">
        <f t="shared" ca="1" si="137"/>
        <v>-4.1869321639310397E-2</v>
      </c>
      <c r="G1044" s="8">
        <f t="shared" ca="1" si="138"/>
        <v>-3.146462446113793E-2</v>
      </c>
      <c r="H1044" s="10">
        <f t="shared" ca="1" si="139"/>
        <v>3952.7065950524816</v>
      </c>
      <c r="I1044" s="10">
        <f t="shared" ca="1" si="140"/>
        <v>521.2230890282151</v>
      </c>
      <c r="J1044" s="10">
        <f t="shared" ca="1" si="141"/>
        <v>2165.6450997048955</v>
      </c>
      <c r="K1044" s="12">
        <f t="array" aca="1" ref="K1044:L1044" ca="1">Opt3Spd(H1044:J1044,$E$3:$G$3,$K$3:$M$3,$N$3:$P$3,$H$3,$I$3,$Q$3,$J$3)</f>
        <v>210.94435596568519</v>
      </c>
      <c r="L1044" s="12">
        <f ca="1"/>
        <v>1.7253210795615814E-2</v>
      </c>
      <c r="M1044" s="12">
        <f t="array" aca="1" ref="M1044:N1044" ca="1">Opt3Spd(H1044:J1044,$E$3:$G$3,$K$3:$M$3,$N$3:$P$3,$H$4,$I$3,$Q$3,$J$3)</f>
        <v>0.12459588032711366</v>
      </c>
      <c r="N1044" s="12">
        <f ca="1"/>
        <v>189.19749312543755</v>
      </c>
      <c r="O1044" s="12">
        <f t="shared" ca="1" si="142"/>
        <v>0.14184909112272948</v>
      </c>
    </row>
    <row r="1045" spans="2:15" x14ac:dyDescent="0.15">
      <c r="B1045" s="6">
        <f t="shared" ca="1" si="135"/>
        <v>0.49656430514006233</v>
      </c>
      <c r="C1045" s="6">
        <f t="shared" ca="1" si="135"/>
        <v>0.35853862795540564</v>
      </c>
      <c r="D1045" s="6">
        <f t="shared" ca="1" si="135"/>
        <v>-0.81334990360229709</v>
      </c>
      <c r="E1045" s="8">
        <f t="shared" ca="1" si="136"/>
        <v>1.1305974304666466E-2</v>
      </c>
      <c r="F1045" s="8">
        <f t="shared" ca="1" si="137"/>
        <v>2.6661580688791018E-2</v>
      </c>
      <c r="G1045" s="8">
        <f t="shared" ca="1" si="138"/>
        <v>1.0619131498485687E-2</v>
      </c>
      <c r="H1045" s="10">
        <f t="shared" ca="1" si="139"/>
        <v>4061.4047928075402</v>
      </c>
      <c r="I1045" s="10">
        <f t="shared" ca="1" si="140"/>
        <v>558.50389989470239</v>
      </c>
      <c r="J1045" s="10">
        <f t="shared" ca="1" si="141"/>
        <v>2259.7443780306139</v>
      </c>
      <c r="K1045" s="12">
        <f t="array" aca="1" ref="K1045:L1045" ca="1">Opt3Spd(H1045:J1045,$E$3:$G$3,$K$3:$M$3,$N$3:$P$3,$H$3,$I$3,$Q$3,$J$3)</f>
        <v>212.94423653917465</v>
      </c>
      <c r="L1045" s="12">
        <f ca="1"/>
        <v>1.7872578465357947E-2</v>
      </c>
      <c r="M1045" s="12">
        <f t="array" aca="1" ref="M1045:N1045" ca="1">Opt3Spd(H1045:J1045,$E$3:$G$3,$K$3:$M$3,$N$3:$P$3,$H$4,$I$3,$Q$3,$J$3)</f>
        <v>0.14748960888630691</v>
      </c>
      <c r="N1045" s="12">
        <f ca="1"/>
        <v>187.22112564817701</v>
      </c>
      <c r="O1045" s="12">
        <f t="shared" ca="1" si="142"/>
        <v>0.16536218735166486</v>
      </c>
    </row>
    <row r="1046" spans="2:15" x14ac:dyDescent="0.15">
      <c r="B1046" s="6">
        <f t="shared" ca="1" si="135"/>
        <v>0.5582231274821613</v>
      </c>
      <c r="C1046" s="6">
        <f t="shared" ca="1" si="135"/>
        <v>0.90512681721233468</v>
      </c>
      <c r="D1046" s="6">
        <f t="shared" ca="1" si="135"/>
        <v>-0.44811909582791803</v>
      </c>
      <c r="E1046" s="8">
        <f t="shared" ca="1" si="136"/>
        <v>1.2709846983068381E-2</v>
      </c>
      <c r="F1046" s="8">
        <f t="shared" ca="1" si="137"/>
        <v>4.1513964277193137E-2</v>
      </c>
      <c r="G1046" s="8">
        <f t="shared" ca="1" si="138"/>
        <v>1.8361929619476147E-2</v>
      </c>
      <c r="H1046" s="10">
        <f t="shared" ca="1" si="139"/>
        <v>4067.0427454840028</v>
      </c>
      <c r="I1046" s="10">
        <f t="shared" ca="1" si="140"/>
        <v>566.58359656679306</v>
      </c>
      <c r="J1046" s="10">
        <f t="shared" ca="1" si="141"/>
        <v>2277.0572746291487</v>
      </c>
      <c r="K1046" s="12">
        <f t="array" aca="1" ref="K1046:L1046" ca="1">Opt3Spd(H1046:J1046,$E$3:$G$3,$K$3:$M$3,$N$3:$P$3,$H$3,$I$3,$Q$3,$J$3)</f>
        <v>197.02091416158146</v>
      </c>
      <c r="L1046" s="12">
        <f ca="1"/>
        <v>4.0560499021694341E-2</v>
      </c>
      <c r="M1046" s="12">
        <f t="array" aca="1" ref="M1046:N1046" ca="1">Opt3Spd(H1046:J1046,$E$3:$G$3,$K$3:$M$3,$N$3:$P$3,$H$4,$I$3,$Q$3,$J$3)</f>
        <v>7.3895326203670564E-2</v>
      </c>
      <c r="N1046" s="12">
        <f ca="1"/>
        <v>203.09354166364392</v>
      </c>
      <c r="O1046" s="12">
        <f t="shared" ca="1" si="142"/>
        <v>0.1144558252253649</v>
      </c>
    </row>
    <row r="1047" spans="2:15" x14ac:dyDescent="0.15">
      <c r="B1047" s="6">
        <f t="shared" ca="1" si="135"/>
        <v>-1.0030431808785316</v>
      </c>
      <c r="C1047" s="6">
        <f t="shared" ca="1" si="135"/>
        <v>1.0360530147023326</v>
      </c>
      <c r="D1047" s="6">
        <f t="shared" ca="1" si="135"/>
        <v>-0.80010604093823567</v>
      </c>
      <c r="E1047" s="8">
        <f t="shared" ca="1" si="136"/>
        <v>-2.2837687510150164E-2</v>
      </c>
      <c r="F1047" s="8">
        <f t="shared" ca="1" si="137"/>
        <v>-1.3389097486944404E-2</v>
      </c>
      <c r="G1047" s="8">
        <f t="shared" ca="1" si="138"/>
        <v>-4.2366116715590652E-2</v>
      </c>
      <c r="H1047" s="10">
        <f t="shared" ca="1" si="139"/>
        <v>3924.2838469592371</v>
      </c>
      <c r="I1047" s="10">
        <f t="shared" ca="1" si="140"/>
        <v>536.71633096710229</v>
      </c>
      <c r="J1047" s="10">
        <f t="shared" ca="1" si="141"/>
        <v>2141.2693630239391</v>
      </c>
      <c r="K1047" s="12">
        <f t="array" aca="1" ref="K1047:L1047" ca="1">Opt3Spd(H1047:J1047,$E$3:$G$3,$K$3:$M$3,$N$3:$P$3,$H$3,$I$3,$Q$3,$J$3)</f>
        <v>170.02653273621058</v>
      </c>
      <c r="L1047" s="12">
        <f ca="1"/>
        <v>0.12349683630668551</v>
      </c>
      <c r="M1047" s="12">
        <f t="array" aca="1" ref="M1047:N1047" ca="1">Opt3Spd(H1047:J1047,$E$3:$G$3,$K$3:$M$3,$N$3:$P$3,$H$4,$I$3,$Q$3,$J$3)</f>
        <v>1.6925533802917059E-2</v>
      </c>
      <c r="N1047" s="12">
        <f ca="1"/>
        <v>230.11388963389902</v>
      </c>
      <c r="O1047" s="12">
        <f t="shared" ca="1" si="142"/>
        <v>0.14042237010960257</v>
      </c>
    </row>
    <row r="1048" spans="2:15" x14ac:dyDescent="0.15">
      <c r="B1048" s="6">
        <f t="shared" ca="1" si="135"/>
        <v>0.12303202582983279</v>
      </c>
      <c r="C1048" s="6">
        <f t="shared" ca="1" si="135"/>
        <v>-1.1298733813492901</v>
      </c>
      <c r="D1048" s="6">
        <f t="shared" ca="1" si="135"/>
        <v>-1.2984719790664945</v>
      </c>
      <c r="E1048" s="8">
        <f t="shared" ca="1" si="136"/>
        <v>2.8012422727219624E-3</v>
      </c>
      <c r="F1048" s="8">
        <f t="shared" ca="1" si="137"/>
        <v>-2.1410400441160785E-2</v>
      </c>
      <c r="G1048" s="8">
        <f t="shared" ca="1" si="138"/>
        <v>-1.2592685586220832E-2</v>
      </c>
      <c r="H1048" s="10">
        <f t="shared" ca="1" si="139"/>
        <v>4027.2497889672513</v>
      </c>
      <c r="I1048" s="10">
        <f t="shared" ca="1" si="140"/>
        <v>532.35274216000846</v>
      </c>
      <c r="J1048" s="10">
        <f t="shared" ca="1" si="141"/>
        <v>2207.8427550292104</v>
      </c>
      <c r="K1048" s="12">
        <f t="array" aca="1" ref="K1048:L1048" ca="1">Opt3Spd(H1048:J1048,$E$3:$G$3,$K$3:$M$3,$N$3:$P$3,$H$3,$I$3,$Q$3,$J$3)</f>
        <v>246.56666720778071</v>
      </c>
      <c r="L1048" s="12">
        <f ca="1"/>
        <v>2.6432111483245535E-3</v>
      </c>
      <c r="M1048" s="12">
        <f t="array" aca="1" ref="M1048:N1048" ca="1">Opt3Spd(H1048:J1048,$E$3:$G$3,$K$3:$M$3,$N$3:$P$3,$H$4,$I$3,$Q$3,$J$3)</f>
        <v>0.55022658695032334</v>
      </c>
      <c r="N1048" s="12">
        <f ca="1"/>
        <v>153.98620259031793</v>
      </c>
      <c r="O1048" s="12">
        <f t="shared" ca="1" si="142"/>
        <v>0.55286979809864789</v>
      </c>
    </row>
    <row r="1049" spans="2:15" x14ac:dyDescent="0.15">
      <c r="B1049" s="6">
        <f t="shared" ca="1" si="135"/>
        <v>2.6557784964333258</v>
      </c>
      <c r="C1049" s="6">
        <f t="shared" ca="1" si="135"/>
        <v>1.2861189830968274</v>
      </c>
      <c r="D1049" s="6">
        <f t="shared" ca="1" si="135"/>
        <v>0.49435994892361368</v>
      </c>
      <c r="E1049" s="8">
        <f t="shared" ca="1" si="136"/>
        <v>6.0467824869312049E-2</v>
      </c>
      <c r="F1049" s="8">
        <f t="shared" ca="1" si="137"/>
        <v>0.12807810722640028</v>
      </c>
      <c r="G1049" s="8">
        <f t="shared" ca="1" si="138"/>
        <v>0.10656899247230665</v>
      </c>
      <c r="H1049" s="10">
        <f t="shared" ca="1" si="139"/>
        <v>4258.8387846751566</v>
      </c>
      <c r="I1049" s="10">
        <f t="shared" ca="1" si="140"/>
        <v>613.67449033116179</v>
      </c>
      <c r="J1049" s="10">
        <f t="shared" ca="1" si="141"/>
        <v>2474.2882671680773</v>
      </c>
      <c r="K1049" s="12">
        <f t="array" aca="1" ref="K1049:L1049" ca="1">Opt3Spd(H1049:J1049,$E$3:$G$3,$K$3:$M$3,$N$3:$P$3,$H$3,$I$3,$Q$3,$J$3)</f>
        <v>214.83787022779802</v>
      </c>
      <c r="L1049" s="12">
        <f ca="1"/>
        <v>2.2403666538821199E-2</v>
      </c>
      <c r="M1049" s="12">
        <f t="array" aca="1" ref="M1049:N1049" ca="1">Opt3Spd(H1049:J1049,$E$3:$G$3,$K$3:$M$3,$N$3:$P$3,$H$4,$I$3,$Q$3,$J$3)</f>
        <v>0.19292107789371471</v>
      </c>
      <c r="N1049" s="12">
        <f ca="1"/>
        <v>185.37745451663451</v>
      </c>
      <c r="O1049" s="12">
        <f t="shared" ca="1" si="142"/>
        <v>0.21532474443253591</v>
      </c>
    </row>
    <row r="1050" spans="2:15" x14ac:dyDescent="0.15">
      <c r="B1050" s="6">
        <f t="shared" ca="1" si="135"/>
        <v>0.60719342314668079</v>
      </c>
      <c r="C1050" s="6">
        <f t="shared" ca="1" si="135"/>
        <v>-0.21821484856873108</v>
      </c>
      <c r="D1050" s="6">
        <f t="shared" ca="1" si="135"/>
        <v>1.0160672106465527</v>
      </c>
      <c r="E1050" s="8">
        <f t="shared" ca="1" si="136"/>
        <v>1.3824822221408985E-2</v>
      </c>
      <c r="F1050" s="8">
        <f t="shared" ca="1" si="137"/>
        <v>1.7506508117071433E-2</v>
      </c>
      <c r="G1050" s="8">
        <f t="shared" ca="1" si="138"/>
        <v>3.249804682971523E-2</v>
      </c>
      <c r="H1050" s="10">
        <f t="shared" ca="1" si="139"/>
        <v>4071.5204860411786</v>
      </c>
      <c r="I1050" s="10">
        <f t="shared" ca="1" si="140"/>
        <v>553.52354041568685</v>
      </c>
      <c r="J1050" s="10">
        <f t="shared" ca="1" si="141"/>
        <v>2308.6656327112432</v>
      </c>
      <c r="K1050" s="12">
        <f t="array" aca="1" ref="K1050:L1050" ca="1">Opt3Spd(H1050:J1050,$E$3:$G$3,$K$3:$M$3,$N$3:$P$3,$H$3,$I$3,$Q$3,$J$3)</f>
        <v>206.57592374270735</v>
      </c>
      <c r="L1050" s="12">
        <f ca="1"/>
        <v>2.5918722249116399E-2</v>
      </c>
      <c r="M1050" s="12">
        <f t="array" aca="1" ref="M1050:N1050" ca="1">Opt3Spd(H1050:J1050,$E$3:$G$3,$K$3:$M$3,$N$3:$P$3,$H$4,$I$3,$Q$3,$J$3)</f>
        <v>0.11585138312920584</v>
      </c>
      <c r="N1050" s="12">
        <f ca="1"/>
        <v>193.56584636267098</v>
      </c>
      <c r="O1050" s="12">
        <f t="shared" ca="1" si="142"/>
        <v>0.14177010537832224</v>
      </c>
    </row>
    <row r="1051" spans="2:15" x14ac:dyDescent="0.15">
      <c r="B1051" s="6">
        <f t="shared" ca="1" si="135"/>
        <v>-7.1533629141725341E-2</v>
      </c>
      <c r="C1051" s="6">
        <f t="shared" ca="1" si="135"/>
        <v>-0.45825214770629957</v>
      </c>
      <c r="D1051" s="6">
        <f t="shared" ca="1" si="135"/>
        <v>-0.15308510211746928</v>
      </c>
      <c r="E1051" s="8">
        <f t="shared" ca="1" si="136"/>
        <v>-1.6287062211766644E-3</v>
      </c>
      <c r="F1051" s="8">
        <f t="shared" ca="1" si="137"/>
        <v>-1.3187962064745845E-2</v>
      </c>
      <c r="G1051" s="8">
        <f t="shared" ca="1" si="138"/>
        <v>-5.5891457685838192E-3</v>
      </c>
      <c r="H1051" s="10">
        <f t="shared" ca="1" si="139"/>
        <v>4009.4591158157546</v>
      </c>
      <c r="I1051" s="10">
        <f t="shared" ca="1" si="140"/>
        <v>536.82574863677826</v>
      </c>
      <c r="J1051" s="10">
        <f t="shared" ca="1" si="141"/>
        <v>2223.5026700614467</v>
      </c>
      <c r="K1051" s="12">
        <f t="array" aca="1" ref="K1051:L1051" ca="1">Opt3Spd(H1051:J1051,$E$3:$G$3,$K$3:$M$3,$N$3:$P$3,$H$3,$I$3,$Q$3,$J$3)</f>
        <v>213.80266441442473</v>
      </c>
      <c r="L1051" s="12">
        <f ca="1"/>
        <v>1.6081448238537632E-2</v>
      </c>
      <c r="M1051" s="12">
        <f t="array" aca="1" ref="M1051:N1051" ca="1">Opt3Spd(H1051:J1051,$E$3:$G$3,$K$3:$M$3,$N$3:$P$3,$H$4,$I$3,$Q$3,$J$3)</f>
        <v>0.14796760691752375</v>
      </c>
      <c r="N1051" s="12">
        <f ca="1"/>
        <v>186.36138464073133</v>
      </c>
      <c r="O1051" s="12">
        <f t="shared" ca="1" si="142"/>
        <v>0.16404905515606139</v>
      </c>
    </row>
    <row r="1052" spans="2:15" x14ac:dyDescent="0.15">
      <c r="B1052" s="6">
        <f t="shared" ca="1" si="135"/>
        <v>-0.57770453260504961</v>
      </c>
      <c r="C1052" s="6">
        <f t="shared" ca="1" si="135"/>
        <v>1.4348171951967268</v>
      </c>
      <c r="D1052" s="6">
        <f t="shared" ca="1" si="135"/>
        <v>0.44876930998497583</v>
      </c>
      <c r="E1052" s="8">
        <f t="shared" ca="1" si="136"/>
        <v>-1.3153407390971737E-2</v>
      </c>
      <c r="F1052" s="8">
        <f t="shared" ca="1" si="137"/>
        <v>1.1555198090158562E-2</v>
      </c>
      <c r="G1052" s="8">
        <f t="shared" ca="1" si="138"/>
        <v>-1.2277928638883179E-2</v>
      </c>
      <c r="H1052" s="10">
        <f t="shared" ca="1" si="139"/>
        <v>3963.1759159178578</v>
      </c>
      <c r="I1052" s="10">
        <f t="shared" ca="1" si="140"/>
        <v>550.28602776104617</v>
      </c>
      <c r="J1052" s="10">
        <f t="shared" ca="1" si="141"/>
        <v>2208.5465515634573</v>
      </c>
      <c r="K1052" s="12">
        <f t="array" aca="1" ref="K1052:L1052" ca="1">Opt3Spd(H1052:J1052,$E$3:$G$3,$K$3:$M$3,$N$3:$P$3,$H$3,$I$3,$Q$3,$J$3)</f>
        <v>153.71329371203342</v>
      </c>
      <c r="L1052" s="12">
        <f ca="1"/>
        <v>0.26829799357847151</v>
      </c>
      <c r="M1052" s="12">
        <f t="array" aca="1" ref="M1052:N1052" ca="1">Opt3Spd(H1052:J1052,$E$3:$G$3,$K$3:$M$3,$N$3:$P$3,$H$4,$I$3,$Q$3,$J$3)</f>
        <v>7.6250051598429902E-3</v>
      </c>
      <c r="N1052" s="12">
        <f ca="1"/>
        <v>246.56262928670489</v>
      </c>
      <c r="O1052" s="12">
        <f t="shared" ca="1" si="142"/>
        <v>0.2759229987383145</v>
      </c>
    </row>
    <row r="1053" spans="2:15" x14ac:dyDescent="0.15">
      <c r="B1053" s="6">
        <f t="shared" ca="1" si="135"/>
        <v>1.3752012451020097</v>
      </c>
      <c r="C1053" s="6">
        <f t="shared" ca="1" si="135"/>
        <v>0.62972613927724985</v>
      </c>
      <c r="D1053" s="6">
        <f t="shared" ca="1" si="135"/>
        <v>-0.19629459694369425</v>
      </c>
      <c r="E1053" s="8">
        <f t="shared" ca="1" si="136"/>
        <v>3.1311130864477142E-2</v>
      </c>
      <c r="F1053" s="8">
        <f t="shared" ca="1" si="137"/>
        <v>6.5487508241450623E-2</v>
      </c>
      <c r="G1053" s="8">
        <f t="shared" ca="1" si="138"/>
        <v>5.0259597004367954E-2</v>
      </c>
      <c r="H1053" s="10">
        <f t="shared" ca="1" si="139"/>
        <v>4141.7455015517398</v>
      </c>
      <c r="I1053" s="10">
        <f t="shared" ca="1" si="140"/>
        <v>579.62520448334908</v>
      </c>
      <c r="J1053" s="10">
        <f t="shared" ca="1" si="141"/>
        <v>2348.3804589017668</v>
      </c>
      <c r="K1053" s="12">
        <f t="array" aca="1" ref="K1053:L1053" ca="1">Opt3Spd(H1053:J1053,$E$3:$G$3,$K$3:$M$3,$N$3:$P$3,$H$3,$I$3,$Q$3,$J$3)</f>
        <v>215.17307118971667</v>
      </c>
      <c r="L1053" s="12">
        <f ca="1"/>
        <v>1.8126262218856937E-2</v>
      </c>
      <c r="M1053" s="12">
        <f t="array" aca="1" ref="M1053:N1053" ca="1">Opt3Spd(H1053:J1053,$E$3:$G$3,$K$3:$M$3,$N$3:$P$3,$H$4,$I$3,$Q$3,$J$3)</f>
        <v>0.17484931934430747</v>
      </c>
      <c r="N1053" s="12">
        <f ca="1"/>
        <v>185.0199043918465</v>
      </c>
      <c r="O1053" s="12">
        <f t="shared" ca="1" si="142"/>
        <v>0.19297558156316441</v>
      </c>
    </row>
    <row r="1054" spans="2:15" x14ac:dyDescent="0.15">
      <c r="B1054" s="6">
        <f t="shared" ca="1" si="135"/>
        <v>0.74710421077481715</v>
      </c>
      <c r="C1054" s="6">
        <f t="shared" ca="1" si="135"/>
        <v>-0.76469509114750822</v>
      </c>
      <c r="D1054" s="6">
        <f t="shared" ca="1" si="135"/>
        <v>0.64568187434120017</v>
      </c>
      <c r="E1054" s="8">
        <f t="shared" ca="1" si="136"/>
        <v>1.7010366879966713E-2</v>
      </c>
      <c r="F1054" s="8">
        <f t="shared" ca="1" si="137"/>
        <v>1.0133531805366264E-2</v>
      </c>
      <c r="G1054" s="8">
        <f t="shared" ca="1" si="138"/>
        <v>3.2105990276133742E-2</v>
      </c>
      <c r="H1054" s="10">
        <f t="shared" ca="1" si="139"/>
        <v>4084.313633389947</v>
      </c>
      <c r="I1054" s="10">
        <f t="shared" ca="1" si="140"/>
        <v>549.51264130211928</v>
      </c>
      <c r="J1054" s="10">
        <f t="shared" ca="1" si="141"/>
        <v>2307.7889942574352</v>
      </c>
      <c r="K1054" s="12">
        <f t="array" aca="1" ref="K1054:L1054" ca="1">Opt3Spd(H1054:J1054,$E$3:$G$3,$K$3:$M$3,$N$3:$P$3,$H$3,$I$3,$Q$3,$J$3)</f>
        <v>226.2083298702089</v>
      </c>
      <c r="L1054" s="12">
        <f ca="1"/>
        <v>9.4196923707841052E-3</v>
      </c>
      <c r="M1054" s="12">
        <f t="array" aca="1" ref="M1054:N1054" ca="1">Opt3Spd(H1054:J1054,$E$3:$G$3,$K$3:$M$3,$N$3:$P$3,$H$4,$I$3,$Q$3,$J$3)</f>
        <v>0.26491815564054022</v>
      </c>
      <c r="N1054" s="12">
        <f ca="1"/>
        <v>174.06600797780243</v>
      </c>
      <c r="O1054" s="12">
        <f t="shared" ca="1" si="142"/>
        <v>0.27433784801132433</v>
      </c>
    </row>
    <row r="1055" spans="2:15" x14ac:dyDescent="0.15">
      <c r="B1055" s="6">
        <f t="shared" ca="1" si="135"/>
        <v>1.4516788004198569</v>
      </c>
      <c r="C1055" s="6">
        <f t="shared" ca="1" si="135"/>
        <v>1.1850725461809724</v>
      </c>
      <c r="D1055" s="6">
        <f t="shared" ca="1" si="135"/>
        <v>0.36596095743091839</v>
      </c>
      <c r="E1055" s="8">
        <f t="shared" ca="1" si="136"/>
        <v>3.3052402370215762E-2</v>
      </c>
      <c r="F1055" s="8">
        <f t="shared" ca="1" si="137"/>
        <v>8.1090909013902951E-2</v>
      </c>
      <c r="G1055" s="8">
        <f t="shared" ca="1" si="138"/>
        <v>6.0671151466507436E-2</v>
      </c>
      <c r="H1055" s="10">
        <f t="shared" ca="1" si="139"/>
        <v>4148.7384479187858</v>
      </c>
      <c r="I1055" s="10">
        <f t="shared" ca="1" si="140"/>
        <v>588.11345450356316</v>
      </c>
      <c r="J1055" s="10">
        <f t="shared" ca="1" si="141"/>
        <v>2371.6606946791107</v>
      </c>
      <c r="K1055" s="12">
        <f t="array" aca="1" ref="K1055:L1055" ca="1">Opt3Spd(H1055:J1055,$E$3:$G$3,$K$3:$M$3,$N$3:$P$3,$H$3,$I$3,$Q$3,$J$3)</f>
        <v>196.97247374635936</v>
      </c>
      <c r="L1055" s="12">
        <f ca="1"/>
        <v>4.5900372830146807E-2</v>
      </c>
      <c r="M1055" s="12">
        <f t="array" aca="1" ref="M1055:N1055" ca="1">Opt3Spd(H1055:J1055,$E$3:$G$3,$K$3:$M$3,$N$3:$P$3,$H$4,$I$3,$Q$3,$J$3)</f>
        <v>8.0997768163543427E-2</v>
      </c>
      <c r="N1055" s="12">
        <f ca="1"/>
        <v>203.15442439463433</v>
      </c>
      <c r="O1055" s="12">
        <f t="shared" ca="1" si="142"/>
        <v>0.12689814099369023</v>
      </c>
    </row>
    <row r="1056" spans="2:15" x14ac:dyDescent="0.15">
      <c r="B1056" s="6">
        <f t="shared" ca="1" si="135"/>
        <v>0.17373189566230648</v>
      </c>
      <c r="C1056" s="6">
        <f t="shared" ca="1" si="135"/>
        <v>-1.9426989068529801</v>
      </c>
      <c r="D1056" s="6">
        <f t="shared" ca="1" si="135"/>
        <v>2.014167271967926</v>
      </c>
      <c r="E1056" s="8">
        <f t="shared" ca="1" si="136"/>
        <v>3.9555971460836321E-3</v>
      </c>
      <c r="F1056" s="8">
        <f t="shared" ca="1" si="137"/>
        <v>-3.8215401214974763E-2</v>
      </c>
      <c r="G1056" s="8">
        <f t="shared" ca="1" si="138"/>
        <v>2.2200062415454053E-2</v>
      </c>
      <c r="H1056" s="10">
        <f t="shared" ca="1" si="139"/>
        <v>4031.8856781386717</v>
      </c>
      <c r="I1056" s="10">
        <f t="shared" ca="1" si="140"/>
        <v>523.2108217390537</v>
      </c>
      <c r="J1056" s="10">
        <f t="shared" ca="1" si="141"/>
        <v>2285.6393395609552</v>
      </c>
      <c r="K1056" s="12">
        <f t="array" aca="1" ref="K1056:L1056" ca="1">Opt3Spd(H1056:J1056,$E$3:$G$3,$K$3:$M$3,$N$3:$P$3,$H$3,$I$3,$Q$3,$J$3)</f>
        <v>226.93731948102982</v>
      </c>
      <c r="L1056" s="12">
        <f ca="1"/>
        <v>8.6259053216508619E-3</v>
      </c>
      <c r="M1056" s="12">
        <f t="array" aca="1" ref="M1056:N1056" ca="1">Opt3Spd(H1056:J1056,$E$3:$G$3,$K$3:$M$3,$N$3:$P$3,$H$4,$I$3,$Q$3,$J$3)</f>
        <v>0.26753861299066983</v>
      </c>
      <c r="N1056" s="12">
        <f ca="1"/>
        <v>173.33884503728251</v>
      </c>
      <c r="O1056" s="12">
        <f t="shared" ca="1" si="142"/>
        <v>0.27616451831232069</v>
      </c>
    </row>
    <row r="1057" spans="2:15" x14ac:dyDescent="0.15">
      <c r="B1057" s="6">
        <f t="shared" ca="1" si="135"/>
        <v>-0.41713684427053538</v>
      </c>
      <c r="C1057" s="6">
        <f t="shared" ca="1" si="135"/>
        <v>1.0506908491421523</v>
      </c>
      <c r="D1057" s="6">
        <f t="shared" ca="1" si="135"/>
        <v>-2.6543946779310468</v>
      </c>
      <c r="E1057" s="8">
        <f t="shared" ca="1" si="136"/>
        <v>-9.497538171862923E-3</v>
      </c>
      <c r="F1057" s="8">
        <f t="shared" ca="1" si="137"/>
        <v>8.6807309582635286E-3</v>
      </c>
      <c r="G1057" s="8">
        <f t="shared" ca="1" si="138"/>
        <v>-4.0552215194299801E-2</v>
      </c>
      <c r="H1057" s="10">
        <f t="shared" ca="1" si="139"/>
        <v>3977.8578867017986</v>
      </c>
      <c r="I1057" s="10">
        <f t="shared" ca="1" si="140"/>
        <v>548.72231764129538</v>
      </c>
      <c r="J1057" s="10">
        <f t="shared" ca="1" si="141"/>
        <v>2145.3252468255455</v>
      </c>
      <c r="K1057" s="12">
        <f t="array" aca="1" ref="K1057:L1057" ca="1">Opt3Spd(H1057:J1057,$E$3:$G$3,$K$3:$M$3,$N$3:$P$3,$H$3,$I$3,$Q$3,$J$3)</f>
        <v>202.26632299302696</v>
      </c>
      <c r="L1057" s="12">
        <f ca="1"/>
        <v>2.6767930073674506E-2</v>
      </c>
      <c r="M1057" s="12">
        <f t="array" aca="1" ref="M1057:N1057" ca="1">Opt3Spd(H1057:J1057,$E$3:$G$3,$K$3:$M$3,$N$3:$P$3,$H$4,$I$3,$Q$3,$J$3)</f>
        <v>8.3413203377725509E-2</v>
      </c>
      <c r="N1057" s="12">
        <f ca="1"/>
        <v>197.84385814042443</v>
      </c>
      <c r="O1057" s="12">
        <f t="shared" ca="1" si="142"/>
        <v>0.11018113345140002</v>
      </c>
    </row>
    <row r="1058" spans="2:15" x14ac:dyDescent="0.15">
      <c r="B1058" s="6">
        <f t="shared" ca="1" si="135"/>
        <v>-1.5803820374829762</v>
      </c>
      <c r="C1058" s="6">
        <f t="shared" ca="1" si="135"/>
        <v>0.55565839818355001</v>
      </c>
      <c r="D1058" s="6">
        <f t="shared" ca="1" si="135"/>
        <v>-0.14676294892060662</v>
      </c>
      <c r="E1058" s="8">
        <f t="shared" ca="1" si="136"/>
        <v>-3.5982769043979373E-2</v>
      </c>
      <c r="F1058" s="8">
        <f t="shared" ca="1" si="137"/>
        <v>-4.5848176412491011E-2</v>
      </c>
      <c r="G1058" s="8">
        <f t="shared" ca="1" si="138"/>
        <v>-5.801107953019001E-2</v>
      </c>
      <c r="H1058" s="10">
        <f t="shared" ca="1" si="139"/>
        <v>3871.4931995193788</v>
      </c>
      <c r="I1058" s="10">
        <f t="shared" ca="1" si="140"/>
        <v>519.05859203160492</v>
      </c>
      <c r="J1058" s="10">
        <f t="shared" ca="1" si="141"/>
        <v>2106.2872261704952</v>
      </c>
      <c r="K1058" s="12">
        <f t="array" aca="1" ref="K1058:L1058" ca="1">Opt3Spd(H1058:J1058,$E$3:$G$3,$K$3:$M$3,$N$3:$P$3,$H$3,$I$3,$Q$3,$J$3)</f>
        <v>163.01871308725595</v>
      </c>
      <c r="L1058" s="12">
        <f ca="1"/>
        <v>0.16287390369279819</v>
      </c>
      <c r="M1058" s="12">
        <f t="array" aca="1" ref="M1058:N1058" ca="1">Opt3Spd(H1058:J1058,$E$3:$G$3,$K$3:$M$3,$N$3:$P$3,$H$4,$I$3,$Q$3,$J$3)</f>
        <v>1.1109798491724776E-2</v>
      </c>
      <c r="N1058" s="12">
        <f ca="1"/>
        <v>237.15527061492858</v>
      </c>
      <c r="O1058" s="12">
        <f t="shared" ca="1" si="142"/>
        <v>0.17398370218452297</v>
      </c>
    </row>
    <row r="1059" spans="2:15" x14ac:dyDescent="0.15">
      <c r="B1059" s="6">
        <f t="shared" ca="1" si="135"/>
        <v>1.1467422613386316</v>
      </c>
      <c r="C1059" s="6">
        <f t="shared" ca="1" si="135"/>
        <v>0.92731585299054287</v>
      </c>
      <c r="D1059" s="6">
        <f t="shared" ca="1" si="135"/>
        <v>-0.35699344530767224</v>
      </c>
      <c r="E1059" s="8">
        <f t="shared" ca="1" si="136"/>
        <v>2.6109485532015295E-2</v>
      </c>
      <c r="F1059" s="8">
        <f t="shared" ca="1" si="137"/>
        <v>6.3854301331681088E-2</v>
      </c>
      <c r="G1059" s="8">
        <f t="shared" ca="1" si="138"/>
        <v>4.1018346171804394E-2</v>
      </c>
      <c r="H1059" s="10">
        <f t="shared" ca="1" si="139"/>
        <v>4120.855693896573</v>
      </c>
      <c r="I1059" s="10">
        <f t="shared" ca="1" si="140"/>
        <v>578.73673992443446</v>
      </c>
      <c r="J1059" s="10">
        <f t="shared" ca="1" si="141"/>
        <v>2327.7170220401545</v>
      </c>
      <c r="K1059" s="12">
        <f t="array" aca="1" ref="K1059:L1059" ca="1">Opt3Spd(H1059:J1059,$E$3:$G$3,$K$3:$M$3,$N$3:$P$3,$H$3,$I$3,$Q$3,$J$3)</f>
        <v>206.04631067575974</v>
      </c>
      <c r="L1059" s="12">
        <f ca="1"/>
        <v>2.7911678359259895E-2</v>
      </c>
      <c r="M1059" s="12">
        <f t="array" aca="1" ref="M1059:N1059" ca="1">Opt3Spd(H1059:J1059,$E$3:$G$3,$K$3:$M$3,$N$3:$P$3,$H$4,$I$3,$Q$3,$J$3)</f>
        <v>0.11627379033898322</v>
      </c>
      <c r="N1059" s="12">
        <f ca="1"/>
        <v>194.09787479293851</v>
      </c>
      <c r="O1059" s="12">
        <f t="shared" ca="1" si="142"/>
        <v>0.14418546869824311</v>
      </c>
    </row>
    <row r="1060" spans="2:15" x14ac:dyDescent="0.15">
      <c r="B1060" s="6">
        <f t="shared" ca="1" si="135"/>
        <v>1.3717083432719324</v>
      </c>
      <c r="C1060" s="6">
        <f t="shared" ca="1" si="135"/>
        <v>0.76922297696147524</v>
      </c>
      <c r="D1060" s="6">
        <f t="shared" ca="1" si="135"/>
        <v>1.2405009655151462</v>
      </c>
      <c r="E1060" s="8">
        <f t="shared" ca="1" si="136"/>
        <v>3.1231603081406954E-2</v>
      </c>
      <c r="F1060" s="8">
        <f t="shared" ca="1" si="137"/>
        <v>6.8564766880048547E-2</v>
      </c>
      <c r="G1060" s="8">
        <f t="shared" ca="1" si="138"/>
        <v>6.584248998674333E-2</v>
      </c>
      <c r="H1060" s="10">
        <f t="shared" ca="1" si="139"/>
        <v>4141.426117974931</v>
      </c>
      <c r="I1060" s="10">
        <f t="shared" ca="1" si="140"/>
        <v>581.29923318274643</v>
      </c>
      <c r="J1060" s="10">
        <f t="shared" ca="1" si="141"/>
        <v>2383.2238076103581</v>
      </c>
      <c r="K1060" s="12">
        <f t="array" aca="1" ref="K1060:L1060" ca="1">Opt3Spd(H1060:J1060,$E$3:$G$3,$K$3:$M$3,$N$3:$P$3,$H$3,$I$3,$Q$3,$J$3)</f>
        <v>194.78652942650251</v>
      </c>
      <c r="L1060" s="12">
        <f ca="1"/>
        <v>5.1088349144947642E-2</v>
      </c>
      <c r="M1060" s="12">
        <f t="array" aca="1" ref="M1060:N1060" ca="1">Opt3Spd(H1060:J1060,$E$3:$G$3,$K$3:$M$3,$N$3:$P$3,$H$4,$I$3,$Q$3,$J$3)</f>
        <v>7.3759343400936928E-2</v>
      </c>
      <c r="N1060" s="12">
        <f ca="1"/>
        <v>205.33831826604336</v>
      </c>
      <c r="O1060" s="12">
        <f t="shared" ca="1" si="142"/>
        <v>0.12484769254588457</v>
      </c>
    </row>
    <row r="1061" spans="2:15" x14ac:dyDescent="0.15">
      <c r="B1061" s="6">
        <f t="shared" ca="1" si="135"/>
        <v>-0.81591668993345967</v>
      </c>
      <c r="C1061" s="6">
        <f t="shared" ca="1" si="135"/>
        <v>3.3948304538276124E-2</v>
      </c>
      <c r="D1061" s="6">
        <f t="shared" ca="1" si="135"/>
        <v>2.2680690224653128</v>
      </c>
      <c r="E1061" s="8">
        <f t="shared" ca="1" si="136"/>
        <v>-1.857711687217279E-2</v>
      </c>
      <c r="F1061" s="8">
        <f t="shared" ca="1" si="137"/>
        <v>-2.9484799069686894E-2</v>
      </c>
      <c r="G1061" s="8">
        <f t="shared" ca="1" si="138"/>
        <v>-5.7150387614286324E-3</v>
      </c>
      <c r="H1061" s="10">
        <f t="shared" ca="1" si="139"/>
        <v>3941.394298641354</v>
      </c>
      <c r="I1061" s="10">
        <f t="shared" ca="1" si="140"/>
        <v>527.96026930609037</v>
      </c>
      <c r="J1061" s="10">
        <f t="shared" ca="1" si="141"/>
        <v>2223.2211733294457</v>
      </c>
      <c r="K1061" s="12">
        <f t="array" aca="1" ref="K1061:L1061" ca="1">Opt3Spd(H1061:J1061,$E$3:$G$3,$K$3:$M$3,$N$3:$P$3,$H$3,$I$3,$Q$3,$J$3)</f>
        <v>160.24979124302968</v>
      </c>
      <c r="L1061" s="12">
        <f ca="1"/>
        <v>0.20251015614303469</v>
      </c>
      <c r="M1061" s="12">
        <f t="array" aca="1" ref="M1061:N1061" ca="1">Opt3Spd(H1061:J1061,$E$3:$G$3,$K$3:$M$3,$N$3:$P$3,$H$4,$I$3,$Q$3,$J$3)</f>
        <v>1.0971424337587798E-2</v>
      </c>
      <c r="N1061" s="12">
        <f ca="1"/>
        <v>239.96369033745094</v>
      </c>
      <c r="O1061" s="12">
        <f t="shared" ca="1" si="142"/>
        <v>0.21348158048062249</v>
      </c>
    </row>
    <row r="1062" spans="2:15" x14ac:dyDescent="0.15">
      <c r="B1062" s="6">
        <f t="shared" ca="1" si="135"/>
        <v>0.54529619561039266</v>
      </c>
      <c r="C1062" s="6">
        <f t="shared" ca="1" si="135"/>
        <v>-0.23577217925742633</v>
      </c>
      <c r="D1062" s="6">
        <f t="shared" ca="1" si="135"/>
        <v>-0.56448768334393307</v>
      </c>
      <c r="E1062" s="8">
        <f t="shared" ca="1" si="136"/>
        <v>1.2415521438385571E-2</v>
      </c>
      <c r="F1062" s="8">
        <f t="shared" ca="1" si="137"/>
        <v>1.4806905612027962E-2</v>
      </c>
      <c r="G1062" s="8">
        <f t="shared" ca="1" si="138"/>
        <v>1.3335337696392306E-2</v>
      </c>
      <c r="H1062" s="10">
        <f t="shared" ca="1" si="139"/>
        <v>4065.8607340965568</v>
      </c>
      <c r="I1062" s="10">
        <f t="shared" ca="1" si="140"/>
        <v>552.05495665294313</v>
      </c>
      <c r="J1062" s="10">
        <f t="shared" ca="1" si="141"/>
        <v>2265.8178150891331</v>
      </c>
      <c r="K1062" s="12">
        <f t="array" aca="1" ref="K1062:L1062" ca="1">Opt3Spd(H1062:J1062,$E$3:$G$3,$K$3:$M$3,$N$3:$P$3,$H$3,$I$3,$Q$3,$J$3)</f>
        <v>224.67361029438393</v>
      </c>
      <c r="L1062" s="12">
        <f ca="1"/>
        <v>9.7143871023490647E-3</v>
      </c>
      <c r="M1062" s="12">
        <f t="array" aca="1" ref="M1062:N1062" ca="1">Opt3Spd(H1062:J1062,$E$3:$G$3,$K$3:$M$3,$N$3:$P$3,$H$4,$I$3,$Q$3,$J$3)</f>
        <v>0.24209531342268775</v>
      </c>
      <c r="N1062" s="12">
        <f ca="1"/>
        <v>175.5781994061411</v>
      </c>
      <c r="O1062" s="12">
        <f t="shared" ca="1" si="142"/>
        <v>0.25180970052503682</v>
      </c>
    </row>
    <row r="1063" spans="2:15" x14ac:dyDescent="0.15">
      <c r="B1063" s="6">
        <f t="shared" ca="1" si="135"/>
        <v>1.6620596461231534</v>
      </c>
      <c r="C1063" s="6">
        <f t="shared" ca="1" si="135"/>
        <v>-0.6008441025807213</v>
      </c>
      <c r="D1063" s="6">
        <f t="shared" ca="1" si="135"/>
        <v>0.91331527255925982</v>
      </c>
      <c r="E1063" s="8">
        <f t="shared" ca="1" si="136"/>
        <v>3.784243743937879E-2</v>
      </c>
      <c r="F1063" s="8">
        <f t="shared" ca="1" si="137"/>
        <v>4.7839134737768754E-2</v>
      </c>
      <c r="G1063" s="8">
        <f t="shared" ca="1" si="138"/>
        <v>6.9046732848224657E-2</v>
      </c>
      <c r="H1063" s="10">
        <f t="shared" ca="1" si="139"/>
        <v>4167.9752287565452</v>
      </c>
      <c r="I1063" s="10">
        <f t="shared" ca="1" si="140"/>
        <v>570.02448929734612</v>
      </c>
      <c r="J1063" s="10">
        <f t="shared" ca="1" si="141"/>
        <v>2390.3884946486305</v>
      </c>
      <c r="K1063" s="12">
        <f t="array" aca="1" ref="K1063:L1063" ca="1">Opt3Spd(H1063:J1063,$E$3:$G$3,$K$3:$M$3,$N$3:$P$3,$H$3,$I$3,$Q$3,$J$3)</f>
        <v>235.74825910004233</v>
      </c>
      <c r="L1063" s="12">
        <f ca="1"/>
        <v>6.4605435661633237E-3</v>
      </c>
      <c r="M1063" s="12">
        <f t="array" aca="1" ref="M1063:N1063" ca="1">Opt3Spd(H1063:J1063,$E$3:$G$3,$K$3:$M$3,$N$3:$P$3,$H$4,$I$3,$Q$3,$J$3)</f>
        <v>0.40920430129502705</v>
      </c>
      <c r="N1063" s="12">
        <f ca="1"/>
        <v>164.66740574481886</v>
      </c>
      <c r="O1063" s="12">
        <f t="shared" ca="1" si="142"/>
        <v>0.41566484486119037</v>
      </c>
    </row>
    <row r="1064" spans="2:15" x14ac:dyDescent="0.15">
      <c r="B1064" s="6">
        <f t="shared" ca="1" si="135"/>
        <v>0.47073497149716736</v>
      </c>
      <c r="C1064" s="6">
        <f t="shared" ca="1" si="135"/>
        <v>-0.68017557918669802</v>
      </c>
      <c r="D1064" s="6">
        <f t="shared" ca="1" si="135"/>
        <v>-1.3553999986320513</v>
      </c>
      <c r="E1064" s="8">
        <f t="shared" ca="1" si="136"/>
        <v>1.0717881726423536E-2</v>
      </c>
      <c r="F1064" s="8">
        <f t="shared" ca="1" si="137"/>
        <v>1.8250013003147554E-3</v>
      </c>
      <c r="G1064" s="8">
        <f t="shared" ca="1" si="138"/>
        <v>8.8035753849018193E-4</v>
      </c>
      <c r="H1064" s="10">
        <f t="shared" ca="1" si="139"/>
        <v>4059.0430130133168</v>
      </c>
      <c r="I1064" s="10">
        <f t="shared" ca="1" si="140"/>
        <v>544.9928007073712</v>
      </c>
      <c r="J1064" s="10">
        <f t="shared" ca="1" si="141"/>
        <v>2237.968479456064</v>
      </c>
      <c r="K1064" s="12">
        <f t="array" aca="1" ref="K1064:L1064" ca="1">Opt3Spd(H1064:J1064,$E$3:$G$3,$K$3:$M$3,$N$3:$P$3,$H$3,$I$3,$Q$3,$J$3)</f>
        <v>243.07369508677584</v>
      </c>
      <c r="L1064" s="12">
        <f ca="1"/>
        <v>3.4029332846330362E-3</v>
      </c>
      <c r="M1064" s="12">
        <f t="array" aca="1" ref="M1064:N1064" ca="1">Opt3Spd(H1064:J1064,$E$3:$G$3,$K$3:$M$3,$N$3:$P$3,$H$4,$I$3,$Q$3,$J$3)</f>
        <v>0.49132936773408176</v>
      </c>
      <c r="N1064" s="12">
        <f ca="1"/>
        <v>157.42103721424286</v>
      </c>
      <c r="O1064" s="12">
        <f t="shared" ca="1" si="142"/>
        <v>0.49473230101871479</v>
      </c>
    </row>
    <row r="1065" spans="2:15" x14ac:dyDescent="0.15">
      <c r="B1065" s="6">
        <f t="shared" ca="1" si="135"/>
        <v>0.76847933735284535</v>
      </c>
      <c r="C1065" s="6">
        <f t="shared" ca="1" si="135"/>
        <v>0.39333434820939372</v>
      </c>
      <c r="D1065" s="6">
        <f t="shared" ca="1" si="135"/>
        <v>1.7444377409492688</v>
      </c>
      <c r="E1065" s="8">
        <f t="shared" ca="1" si="136"/>
        <v>1.7497044293845698E-2</v>
      </c>
      <c r="F1065" s="8">
        <f t="shared" ca="1" si="137"/>
        <v>3.7547766861133244E-2</v>
      </c>
      <c r="G1065" s="8">
        <f t="shared" ca="1" si="138"/>
        <v>4.7958109415005015E-2</v>
      </c>
      <c r="H1065" s="10">
        <f t="shared" ca="1" si="139"/>
        <v>4086.2681298840848</v>
      </c>
      <c r="I1065" s="10">
        <f t="shared" ca="1" si="140"/>
        <v>564.42598517245654</v>
      </c>
      <c r="J1065" s="10">
        <f t="shared" ca="1" si="141"/>
        <v>2343.2343326519513</v>
      </c>
      <c r="K1065" s="12">
        <f t="array" aca="1" ref="K1065:L1065" ca="1">Opt3Spd(H1065:J1065,$E$3:$G$3,$K$3:$M$3,$N$3:$P$3,$H$3,$I$3,$Q$3,$J$3)</f>
        <v>186.64003825372561</v>
      </c>
      <c r="L1065" s="12">
        <f ca="1"/>
        <v>7.0650971547138397E-2</v>
      </c>
      <c r="M1065" s="12">
        <f t="array" aca="1" ref="M1065:N1065" ca="1">Opt3Spd(H1065:J1065,$E$3:$G$3,$K$3:$M$3,$N$3:$P$3,$H$4,$I$3,$Q$3,$J$3)</f>
        <v>4.8241664308732446E-2</v>
      </c>
      <c r="N1065" s="12">
        <f ca="1"/>
        <v>213.47885438213027</v>
      </c>
      <c r="O1065" s="12">
        <f t="shared" ca="1" si="142"/>
        <v>0.11889263585587084</v>
      </c>
    </row>
    <row r="1066" spans="2:15" x14ac:dyDescent="0.15">
      <c r="B1066" s="6">
        <f t="shared" ca="1" si="135"/>
        <v>1.2965949472763034</v>
      </c>
      <c r="C1066" s="6">
        <f t="shared" ca="1" si="135"/>
        <v>0.21228806877662743</v>
      </c>
      <c r="D1066" s="6">
        <f t="shared" ca="1" si="135"/>
        <v>-1.0787975450108431</v>
      </c>
      <c r="E1066" s="8">
        <f t="shared" ca="1" si="136"/>
        <v>2.9521391299625173E-2</v>
      </c>
      <c r="F1066" s="8">
        <f t="shared" ca="1" si="137"/>
        <v>5.2975450317410633E-2</v>
      </c>
      <c r="G1066" s="8">
        <f t="shared" ca="1" si="138"/>
        <v>3.6758566991414235E-2</v>
      </c>
      <c r="H1066" s="10">
        <f t="shared" ca="1" si="139"/>
        <v>4134.5579074592952</v>
      </c>
      <c r="I1066" s="10">
        <f t="shared" ca="1" si="140"/>
        <v>572.81864497267145</v>
      </c>
      <c r="J1066" s="10">
        <f t="shared" ca="1" si="141"/>
        <v>2318.1921557928026</v>
      </c>
      <c r="K1066" s="12">
        <f t="array" aca="1" ref="K1066:L1066" ca="1">Opt3Spd(H1066:J1066,$E$3:$G$3,$K$3:$M$3,$N$3:$P$3,$H$3,$I$3,$Q$3,$J$3)</f>
        <v>233.95848169991586</v>
      </c>
      <c r="L1066" s="12">
        <f ca="1"/>
        <v>6.4840932964216336E-3</v>
      </c>
      <c r="M1066" s="12">
        <f t="array" aca="1" ref="M1066:N1066" ca="1">Opt3Spd(H1066:J1066,$E$3:$G$3,$K$3:$M$3,$N$3:$P$3,$H$4,$I$3,$Q$3,$J$3)</f>
        <v>0.36564549634174881</v>
      </c>
      <c r="N1066" s="12">
        <f ca="1"/>
        <v>166.41364788972231</v>
      </c>
      <c r="O1066" s="12">
        <f t="shared" ca="1" si="142"/>
        <v>0.37212958963817044</v>
      </c>
    </row>
    <row r="1067" spans="2:15" x14ac:dyDescent="0.15">
      <c r="B1067" s="6">
        <f t="shared" ca="1" si="135"/>
        <v>-1.0698563263875043</v>
      </c>
      <c r="C1067" s="6">
        <f t="shared" ca="1" si="135"/>
        <v>1.1846018251031216</v>
      </c>
      <c r="D1067" s="6">
        <f t="shared" ca="1" si="135"/>
        <v>1.5690268132866376</v>
      </c>
      <c r="E1067" s="8">
        <f t="shared" ca="1" si="136"/>
        <v>-2.435891587578011E-2</v>
      </c>
      <c r="F1067" s="8">
        <f t="shared" ca="1" si="137"/>
        <v>-1.2452518132009486E-2</v>
      </c>
      <c r="G1067" s="8">
        <f t="shared" ca="1" si="138"/>
        <v>-1.915098903286417E-2</v>
      </c>
      <c r="H1067" s="10">
        <f t="shared" ca="1" si="139"/>
        <v>3918.1745938428671</v>
      </c>
      <c r="I1067" s="10">
        <f t="shared" ca="1" si="140"/>
        <v>537.2258301361868</v>
      </c>
      <c r="J1067" s="10">
        <f t="shared" ca="1" si="141"/>
        <v>2193.1783885225159</v>
      </c>
      <c r="K1067" s="12">
        <f t="array" aca="1" ref="K1067:L1067" ca="1">Opt3Spd(H1067:J1067,$E$3:$G$3,$K$3:$M$3,$N$3:$P$3,$H$3,$I$3,$Q$3,$J$3)</f>
        <v>137.53720718056798</v>
      </c>
      <c r="L1067" s="12">
        <f ca="1"/>
        <v>0.51313581685758436</v>
      </c>
      <c r="M1067" s="12">
        <f t="array" aca="1" ref="M1067:N1067" ca="1">Opt3Spd(H1067:J1067,$E$3:$G$3,$K$3:$M$3,$N$3:$P$3,$H$4,$I$3,$Q$3,$J$3)</f>
        <v>2.9119829039226386E-3</v>
      </c>
      <c r="N1067" s="12">
        <f ca="1"/>
        <v>262.97884061919353</v>
      </c>
      <c r="O1067" s="12">
        <f t="shared" ca="1" si="142"/>
        <v>0.51604779976150694</v>
      </c>
    </row>
    <row r="1068" spans="2:15" x14ac:dyDescent="0.15">
      <c r="B1068" s="6">
        <f t="shared" ca="1" si="135"/>
        <v>-0.26519888262784641</v>
      </c>
      <c r="C1068" s="6">
        <f t="shared" ca="1" si="135"/>
        <v>-0.26173809032514611</v>
      </c>
      <c r="D1068" s="6">
        <f t="shared" ca="1" si="135"/>
        <v>1.4771622709339283</v>
      </c>
      <c r="E1068" s="8">
        <f t="shared" ca="1" si="136"/>
        <v>-6.0381540146567155E-3</v>
      </c>
      <c r="F1068" s="8">
        <f t="shared" ca="1" si="137"/>
        <v>-1.5854124585444364E-2</v>
      </c>
      <c r="G1068" s="8">
        <f t="shared" ca="1" si="138"/>
        <v>5.2334962625192214E-3</v>
      </c>
      <c r="H1068" s="10">
        <f t="shared" ca="1" si="139"/>
        <v>3991.7507734771389</v>
      </c>
      <c r="I1068" s="10">
        <f t="shared" ca="1" si="140"/>
        <v>535.37535622551832</v>
      </c>
      <c r="J1068" s="10">
        <f t="shared" ca="1" si="141"/>
        <v>2247.7020976429926</v>
      </c>
      <c r="K1068" s="12">
        <f t="array" aca="1" ref="K1068:L1068" ca="1">Opt3Spd(H1068:J1068,$E$3:$G$3,$K$3:$M$3,$N$3:$P$3,$H$3,$I$3,$Q$3,$J$3)</f>
        <v>186.36302102161699</v>
      </c>
      <c r="L1068" s="12">
        <f ca="1"/>
        <v>6.3866326803918128E-2</v>
      </c>
      <c r="M1068" s="12">
        <f t="array" aca="1" ref="M1068:N1068" ca="1">Opt3Spd(H1068:J1068,$E$3:$G$3,$K$3:$M$3,$N$3:$P$3,$H$4,$I$3,$Q$3,$J$3)</f>
        <v>4.2962198153168707E-2</v>
      </c>
      <c r="N1068" s="12">
        <f ca="1"/>
        <v>213.74380750334009</v>
      </c>
      <c r="O1068" s="12">
        <f t="shared" ca="1" si="142"/>
        <v>0.10682852495708683</v>
      </c>
    </row>
    <row r="1069" spans="2:15" x14ac:dyDescent="0.15">
      <c r="B1069" s="6">
        <f t="shared" ca="1" si="135"/>
        <v>0.89583331502278585</v>
      </c>
      <c r="C1069" s="6">
        <f t="shared" ca="1" si="135"/>
        <v>2.0260328658790754</v>
      </c>
      <c r="D1069" s="6">
        <f t="shared" ca="1" si="135"/>
        <v>0.22115369596643536</v>
      </c>
      <c r="E1069" s="8">
        <f t="shared" ca="1" si="136"/>
        <v>2.0396690491184193E-2</v>
      </c>
      <c r="F1069" s="8">
        <f t="shared" ca="1" si="137"/>
        <v>7.9805058968056647E-2</v>
      </c>
      <c r="G1069" s="8">
        <f t="shared" ca="1" si="138"/>
        <v>4.1148935958056881E-2</v>
      </c>
      <c r="H1069" s="10">
        <f t="shared" ca="1" si="139"/>
        <v>4097.9131090125957</v>
      </c>
      <c r="I1069" s="10">
        <f t="shared" ca="1" si="140"/>
        <v>587.41395207862274</v>
      </c>
      <c r="J1069" s="10">
        <f t="shared" ca="1" si="141"/>
        <v>2328.0090208022152</v>
      </c>
      <c r="K1069" s="12">
        <f t="array" aca="1" ref="K1069:L1069" ca="1">Opt3Spd(H1069:J1069,$E$3:$G$3,$K$3:$M$3,$N$3:$P$3,$H$3,$I$3,$Q$3,$J$3)</f>
        <v>169.20241729263489</v>
      </c>
      <c r="L1069" s="12">
        <f ca="1"/>
        <v>0.15614200694312785</v>
      </c>
      <c r="M1069" s="12">
        <f t="array" aca="1" ref="M1069:N1069" ca="1">Opt3Spd(H1069:J1069,$E$3:$G$3,$K$3:$M$3,$N$3:$P$3,$H$4,$I$3,$Q$3,$J$3)</f>
        <v>2.0518852053963865E-2</v>
      </c>
      <c r="N1069" s="12">
        <f ca="1"/>
        <v>230.97424356636219</v>
      </c>
      <c r="O1069" s="12">
        <f t="shared" ca="1" si="142"/>
        <v>0.17666085899709172</v>
      </c>
    </row>
    <row r="1070" spans="2:15" x14ac:dyDescent="0.15">
      <c r="B1070" s="6">
        <f t="shared" ca="1" si="135"/>
        <v>0.35463209869480405</v>
      </c>
      <c r="C1070" s="6">
        <f t="shared" ca="1" si="135"/>
        <v>1.1141068783910733</v>
      </c>
      <c r="D1070" s="6">
        <f t="shared" ca="1" si="135"/>
        <v>-0.89004671747274067</v>
      </c>
      <c r="E1070" s="8">
        <f t="shared" ca="1" si="136"/>
        <v>8.0744051756246882E-3</v>
      </c>
      <c r="F1070" s="8">
        <f t="shared" ca="1" si="137"/>
        <v>3.8766194534521944E-2</v>
      </c>
      <c r="G1070" s="8">
        <f t="shared" ca="1" si="138"/>
        <v>6.7811103556949439E-3</v>
      </c>
      <c r="H1070" s="10">
        <f t="shared" ca="1" si="139"/>
        <v>4048.4268111853089</v>
      </c>
      <c r="I1070" s="10">
        <f t="shared" ca="1" si="140"/>
        <v>565.08880982677988</v>
      </c>
      <c r="J1070" s="10">
        <f t="shared" ca="1" si="141"/>
        <v>2251.162562755334</v>
      </c>
      <c r="K1070" s="12">
        <f t="array" aca="1" ref="K1070:L1070" ca="1">Opt3Spd(H1070:J1070,$E$3:$G$3,$K$3:$M$3,$N$3:$P$3,$H$3,$I$3,$Q$3,$J$3)</f>
        <v>193.74961912490926</v>
      </c>
      <c r="L1070" s="12">
        <f ca="1"/>
        <v>4.6185040115233278E-2</v>
      </c>
      <c r="M1070" s="12">
        <f t="array" aca="1" ref="M1070:N1070" ca="1">Opt3Spd(H1070:J1070,$E$3:$G$3,$K$3:$M$3,$N$3:$P$3,$H$4,$I$3,$Q$3,$J$3)</f>
        <v>6.2034857670558274E-2</v>
      </c>
      <c r="N1070" s="12">
        <f ca="1"/>
        <v>206.35860077287654</v>
      </c>
      <c r="O1070" s="12">
        <f t="shared" ca="1" si="142"/>
        <v>0.10821989778579155</v>
      </c>
    </row>
    <row r="1071" spans="2:15" x14ac:dyDescent="0.15">
      <c r="B1071" s="6">
        <f t="shared" ca="1" si="135"/>
        <v>0.61081233249816114</v>
      </c>
      <c r="C1071" s="6">
        <f t="shared" ca="1" si="135"/>
        <v>-0.1275606611320623</v>
      </c>
      <c r="D1071" s="6">
        <f t="shared" ca="1" si="135"/>
        <v>0.49389402706630881</v>
      </c>
      <c r="E1071" s="8">
        <f t="shared" ca="1" si="136"/>
        <v>1.3907218994022783E-2</v>
      </c>
      <c r="F1071" s="8">
        <f t="shared" ca="1" si="137"/>
        <v>1.9724749719581415E-2</v>
      </c>
      <c r="G1071" s="8">
        <f t="shared" ca="1" si="138"/>
        <v>2.7331426822427216E-2</v>
      </c>
      <c r="H1071" s="10">
        <f t="shared" ca="1" si="139"/>
        <v>4071.8513914799955</v>
      </c>
      <c r="I1071" s="10">
        <f t="shared" ca="1" si="140"/>
        <v>554.73026384745231</v>
      </c>
      <c r="J1071" s="10">
        <f t="shared" ca="1" si="141"/>
        <v>2297.1130703749473</v>
      </c>
      <c r="K1071" s="12">
        <f t="array" aca="1" ref="K1071:L1071" ca="1">Opt3Spd(H1071:J1071,$E$3:$G$3,$K$3:$M$3,$N$3:$P$3,$H$3,$I$3,$Q$3,$J$3)</f>
        <v>210.74721705494176</v>
      </c>
      <c r="L1071" s="12">
        <f ca="1"/>
        <v>2.0782918343456913E-2</v>
      </c>
      <c r="M1071" s="12">
        <f t="array" aca="1" ref="M1071:N1071" ca="1">Opt3Spd(H1071:J1071,$E$3:$G$3,$K$3:$M$3,$N$3:$P$3,$H$4,$I$3,$Q$3,$J$3)</f>
        <v>0.13780018546840545</v>
      </c>
      <c r="N1071" s="12">
        <f ca="1"/>
        <v>189.41136604887009</v>
      </c>
      <c r="O1071" s="12">
        <f t="shared" ca="1" si="142"/>
        <v>0.15858310381186236</v>
      </c>
    </row>
    <row r="1072" spans="2:15" x14ac:dyDescent="0.15">
      <c r="B1072" s="6">
        <f t="shared" ca="1" si="135"/>
        <v>-1.132382034943501</v>
      </c>
      <c r="C1072" s="6">
        <f t="shared" ca="1" si="135"/>
        <v>-1.2126762085991794</v>
      </c>
      <c r="D1072" s="6">
        <f t="shared" ca="1" si="135"/>
        <v>-0.48976463385415137</v>
      </c>
      <c r="E1072" s="8">
        <f t="shared" ca="1" si="136"/>
        <v>-2.5782526165520465E-2</v>
      </c>
      <c r="F1072" s="8">
        <f t="shared" ca="1" si="137"/>
        <v>-6.9881635744520929E-2</v>
      </c>
      <c r="G1072" s="8">
        <f t="shared" ca="1" si="138"/>
        <v>-5.033972747478864E-2</v>
      </c>
      <c r="H1072" s="10">
        <f t="shared" ca="1" si="139"/>
        <v>3912.45737491927</v>
      </c>
      <c r="I1072" s="10">
        <f t="shared" ca="1" si="140"/>
        <v>505.98439015498064</v>
      </c>
      <c r="J1072" s="10">
        <f t="shared" ca="1" si="141"/>
        <v>2123.4403693663726</v>
      </c>
      <c r="K1072" s="12">
        <f t="array" aca="1" ref="K1072:L1072" ca="1">Opt3Spd(H1072:J1072,$E$3:$G$3,$K$3:$M$3,$N$3:$P$3,$H$3,$I$3,$Q$3,$J$3)</f>
        <v>216.17456856989475</v>
      </c>
      <c r="L1072" s="12">
        <f ca="1"/>
        <v>1.2402581779952015E-2</v>
      </c>
      <c r="M1072" s="12">
        <f t="array" aca="1" ref="M1072:N1072" ca="1">Opt3Spd(H1072:J1072,$E$3:$G$3,$K$3:$M$3,$N$3:$P$3,$H$4,$I$3,$Q$3,$J$3)</f>
        <v>0.15172048044318487</v>
      </c>
      <c r="N1072" s="12">
        <f ca="1"/>
        <v>183.98955449232838</v>
      </c>
      <c r="O1072" s="12">
        <f t="shared" ca="1" si="142"/>
        <v>0.16412306222313688</v>
      </c>
    </row>
    <row r="1073" spans="2:15" x14ac:dyDescent="0.15">
      <c r="B1073" s="6">
        <f t="shared" ca="1" si="135"/>
        <v>-0.59227845438869453</v>
      </c>
      <c r="C1073" s="6">
        <f t="shared" ca="1" si="135"/>
        <v>-0.87738042297849961</v>
      </c>
      <c r="D1073" s="6">
        <f t="shared" ca="1" si="135"/>
        <v>0.96843645080801244</v>
      </c>
      <c r="E1073" s="8">
        <f t="shared" ca="1" si="136"/>
        <v>-1.348523225936946E-2</v>
      </c>
      <c r="F1073" s="8">
        <f t="shared" ca="1" si="137"/>
        <v>-4.2139348219133246E-2</v>
      </c>
      <c r="G1073" s="8">
        <f t="shared" ca="1" si="138"/>
        <v>-1.3989550897698086E-2</v>
      </c>
      <c r="H1073" s="10">
        <f t="shared" ca="1" si="139"/>
        <v>3961.8433072463722</v>
      </c>
      <c r="I1073" s="10">
        <f t="shared" ca="1" si="140"/>
        <v>521.07619456879149</v>
      </c>
      <c r="J1073" s="10">
        <f t="shared" ca="1" si="141"/>
        <v>2204.719364192747</v>
      </c>
      <c r="K1073" s="12">
        <f t="array" aca="1" ref="K1073:L1073" ca="1">Opt3Spd(H1073:J1073,$E$3:$G$3,$K$3:$M$3,$N$3:$P$3,$H$3,$I$3,$Q$3,$J$3)</f>
        <v>200.79186669016826</v>
      </c>
      <c r="L1073" s="12">
        <f ca="1"/>
        <v>3.0152850235936057E-2</v>
      </c>
      <c r="M1073" s="12">
        <f t="array" aca="1" ref="M1073:N1073" ca="1">Opt3Spd(H1073:J1073,$E$3:$G$3,$K$3:$M$3,$N$3:$P$3,$H$4,$I$3,$Q$3,$J$3)</f>
        <v>8.1349987336086116E-2</v>
      </c>
      <c r="N1073" s="12">
        <f ca="1"/>
        <v>199.31963614740377</v>
      </c>
      <c r="O1073" s="12">
        <f t="shared" ca="1" si="142"/>
        <v>0.11150283757202217</v>
      </c>
    </row>
    <row r="1074" spans="2:15" x14ac:dyDescent="0.15">
      <c r="B1074" s="6">
        <f t="shared" ca="1" si="135"/>
        <v>-8.8227418805777599E-2</v>
      </c>
      <c r="C1074" s="6">
        <f t="shared" ca="1" si="135"/>
        <v>-0.26175320723941303</v>
      </c>
      <c r="D1074" s="6">
        <f t="shared" ca="1" si="135"/>
        <v>0.98596827891892447</v>
      </c>
      <c r="E1074" s="8">
        <f t="shared" ca="1" si="136"/>
        <v>-2.0087970876275763E-3</v>
      </c>
      <c r="F1074" s="8">
        <f t="shared" ca="1" si="137"/>
        <v>-9.2899781069661989E-3</v>
      </c>
      <c r="G1074" s="8">
        <f t="shared" ca="1" si="138"/>
        <v>6.5023798583271411E-3</v>
      </c>
      <c r="H1074" s="10">
        <f t="shared" ca="1" si="139"/>
        <v>4007.9326708960875</v>
      </c>
      <c r="I1074" s="10">
        <f t="shared" ca="1" si="140"/>
        <v>538.94625190981037</v>
      </c>
      <c r="J1074" s="10">
        <f t="shared" ca="1" si="141"/>
        <v>2250.5393213632196</v>
      </c>
      <c r="K1074" s="12">
        <f t="array" aca="1" ref="K1074:L1074" ca="1">Opt3Spd(H1074:J1074,$E$3:$G$3,$K$3:$M$3,$N$3:$P$3,$H$3,$I$3,$Q$3,$J$3)</f>
        <v>195.39071190728305</v>
      </c>
      <c r="L1074" s="12">
        <f ca="1"/>
        <v>4.1704748501842914E-2</v>
      </c>
      <c r="M1074" s="12">
        <f t="array" aca="1" ref="M1074:N1074" ca="1">Opt3Spd(H1074:J1074,$E$3:$G$3,$K$3:$M$3,$N$3:$P$3,$H$4,$I$3,$Q$3,$J$3)</f>
        <v>6.6189267109566075E-2</v>
      </c>
      <c r="N1074" s="12">
        <f ca="1"/>
        <v>204.71718210832836</v>
      </c>
      <c r="O1074" s="12">
        <f t="shared" ca="1" si="142"/>
        <v>0.10789401561140899</v>
      </c>
    </row>
    <row r="1075" spans="2:15" x14ac:dyDescent="0.15">
      <c r="B1075" s="6">
        <f t="shared" ca="1" si="135"/>
        <v>0.20895750884190856</v>
      </c>
      <c r="C1075" s="6">
        <f t="shared" ca="1" si="135"/>
        <v>-1.9564866506022276</v>
      </c>
      <c r="D1075" s="6">
        <f t="shared" ca="1" si="135"/>
        <v>0.98107431257097844</v>
      </c>
      <c r="E1075" s="8">
        <f t="shared" ca="1" si="136"/>
        <v>4.757627967373469E-3</v>
      </c>
      <c r="F1075" s="8">
        <f t="shared" ca="1" si="137"/>
        <v>-3.7225718842810049E-2</v>
      </c>
      <c r="G1075" s="8">
        <f t="shared" ca="1" si="138"/>
        <v>1.244857326700588E-2</v>
      </c>
      <c r="H1075" s="10">
        <f t="shared" ca="1" si="139"/>
        <v>4035.106633916972</v>
      </c>
      <c r="I1075" s="10">
        <f t="shared" ca="1" si="140"/>
        <v>523.7492089495114</v>
      </c>
      <c r="J1075" s="10">
        <f t="shared" ca="1" si="141"/>
        <v>2263.8350098250253</v>
      </c>
      <c r="K1075" s="12">
        <f t="array" aca="1" ref="K1075:L1075" ca="1">Opt3Spd(H1075:J1075,$E$3:$G$3,$K$3:$M$3,$N$3:$P$3,$H$3,$I$3,$Q$3,$J$3)</f>
        <v>240.19446811158105</v>
      </c>
      <c r="L1075" s="12">
        <f ca="1"/>
        <v>4.0734263402555371E-3</v>
      </c>
      <c r="M1075" s="12">
        <f t="array" aca="1" ref="M1075:N1075" ca="1">Opt3Spd(H1075:J1075,$E$3:$G$3,$K$3:$M$3,$N$3:$P$3,$H$4,$I$3,$Q$3,$J$3)</f>
        <v>0.44554605155909854</v>
      </c>
      <c r="N1075" s="12">
        <f ca="1"/>
        <v>160.2551513663183</v>
      </c>
      <c r="O1075" s="12">
        <f t="shared" ca="1" si="142"/>
        <v>0.44961947789935408</v>
      </c>
    </row>
    <row r="1076" spans="2:15" x14ac:dyDescent="0.15">
      <c r="B1076" s="6">
        <f t="shared" ca="1" si="135"/>
        <v>-0.94250928591135552</v>
      </c>
      <c r="C1076" s="6">
        <f t="shared" ca="1" si="135"/>
        <v>-2.2140497060728057</v>
      </c>
      <c r="D1076" s="6">
        <f t="shared" ca="1" si="135"/>
        <v>-0.69586232691267125</v>
      </c>
      <c r="E1076" s="8">
        <f t="shared" ca="1" si="136"/>
        <v>-2.1459427627238865E-2</v>
      </c>
      <c r="F1076" s="8">
        <f t="shared" ca="1" si="137"/>
        <v>-8.5858659475520446E-2</v>
      </c>
      <c r="G1076" s="8">
        <f t="shared" ca="1" si="138"/>
        <v>-4.8466639496354838E-2</v>
      </c>
      <c r="H1076" s="10">
        <f t="shared" ca="1" si="139"/>
        <v>3929.8189386490089</v>
      </c>
      <c r="I1076" s="10">
        <f t="shared" ca="1" si="140"/>
        <v>497.29288924531693</v>
      </c>
      <c r="J1076" s="10">
        <f t="shared" ca="1" si="141"/>
        <v>2127.6285940861503</v>
      </c>
      <c r="K1076" s="12">
        <f t="array" aca="1" ref="K1076:L1076" ca="1">Opt3Spd(H1076:J1076,$E$3:$G$3,$K$3:$M$3,$N$3:$P$3,$H$3,$I$3,$Q$3,$J$3)</f>
        <v>245.3384975264114</v>
      </c>
      <c r="L1076" s="12">
        <f ca="1"/>
        <v>2.4787129848391487E-3</v>
      </c>
      <c r="M1076" s="12">
        <f t="array" aca="1" ref="M1076:N1076" ca="1">Opt3Spd(H1076:J1076,$E$3:$G$3,$K$3:$M$3,$N$3:$P$3,$H$4,$I$3,$Q$3,$J$3)</f>
        <v>0.50189837114494651</v>
      </c>
      <c r="N1076" s="12">
        <f ca="1"/>
        <v>155.16587955771837</v>
      </c>
      <c r="O1076" s="12">
        <f t="shared" ca="1" si="142"/>
        <v>0.50437708412978566</v>
      </c>
    </row>
    <row r="1077" spans="2:15" x14ac:dyDescent="0.15">
      <c r="B1077" s="6">
        <f t="shared" ca="1" si="135"/>
        <v>-0.77830643556359325</v>
      </c>
      <c r="C1077" s="6">
        <f t="shared" ca="1" si="135"/>
        <v>-0.16427789707905777</v>
      </c>
      <c r="D1077" s="6">
        <f t="shared" ca="1" si="135"/>
        <v>0.93504712795756562</v>
      </c>
      <c r="E1077" s="8">
        <f t="shared" ca="1" si="136"/>
        <v>-1.7720791588425825E-2</v>
      </c>
      <c r="F1077" s="8">
        <f t="shared" ca="1" si="137"/>
        <v>-3.2646624927277074E-2</v>
      </c>
      <c r="G1077" s="8">
        <f t="shared" ca="1" si="138"/>
        <v>-1.9109498800144117E-2</v>
      </c>
      <c r="H1077" s="10">
        <f t="shared" ca="1" si="139"/>
        <v>3944.8333009808816</v>
      </c>
      <c r="I1077" s="10">
        <f t="shared" ca="1" si="140"/>
        <v>526.2402360395613</v>
      </c>
      <c r="J1077" s="10">
        <f t="shared" ca="1" si="141"/>
        <v>2193.271160682878</v>
      </c>
      <c r="K1077" s="12">
        <f t="array" aca="1" ref="K1077:L1077" ca="1">Opt3Spd(H1077:J1077,$E$3:$G$3,$K$3:$M$3,$N$3:$P$3,$H$3,$I$3,$Q$3,$J$3)</f>
        <v>181.28991833022633</v>
      </c>
      <c r="L1077" s="12">
        <f ca="1"/>
        <v>7.6575354082024205E-2</v>
      </c>
      <c r="M1077" s="12">
        <f t="array" aca="1" ref="M1077:N1077" ca="1">Opt3Spd(H1077:J1077,$E$3:$G$3,$K$3:$M$3,$N$3:$P$3,$H$4,$I$3,$Q$3,$J$3)</f>
        <v>3.168819564013825E-2</v>
      </c>
      <c r="N1077" s="12">
        <f ca="1"/>
        <v>218.81834521949582</v>
      </c>
      <c r="O1077" s="12">
        <f t="shared" ca="1" si="142"/>
        <v>0.10826354972216246</v>
      </c>
    </row>
    <row r="1078" spans="2:15" x14ac:dyDescent="0.15">
      <c r="B1078" s="6">
        <f t="shared" ca="1" si="135"/>
        <v>-0.69722617765077444</v>
      </c>
      <c r="C1078" s="6">
        <f t="shared" ca="1" si="135"/>
        <v>2.4207551620758596</v>
      </c>
      <c r="D1078" s="6">
        <f t="shared" ca="1" si="135"/>
        <v>0.86627212690114319</v>
      </c>
      <c r="E1078" s="8">
        <f t="shared" ca="1" si="136"/>
        <v>-1.5874723912821364E-2</v>
      </c>
      <c r="F1078" s="8">
        <f t="shared" ca="1" si="137"/>
        <v>2.9786952038923006E-2</v>
      </c>
      <c r="G1078" s="8">
        <f t="shared" ca="1" si="138"/>
        <v>-9.3591300790288826E-3</v>
      </c>
      <c r="H1078" s="10">
        <f t="shared" ca="1" si="139"/>
        <v>3952.2471087661092</v>
      </c>
      <c r="I1078" s="10">
        <f t="shared" ca="1" si="140"/>
        <v>560.20410190917403</v>
      </c>
      <c r="J1078" s="10">
        <f t="shared" ca="1" si="141"/>
        <v>2215.0729851432916</v>
      </c>
      <c r="K1078" s="12">
        <f t="array" aca="1" ref="K1078:L1078" ca="1">Opt3Spd(H1078:J1078,$E$3:$G$3,$K$3:$M$3,$N$3:$P$3,$H$3,$I$3,$Q$3,$J$3)</f>
        <v>124.26865169468942</v>
      </c>
      <c r="L1078" s="12">
        <f ca="1"/>
        <v>0.88459855490441441</v>
      </c>
      <c r="M1078" s="12">
        <f t="array" aca="1" ref="M1078:N1078" ca="1">Opt3Spd(H1078:J1078,$E$3:$G$3,$K$3:$M$3,$N$3:$P$3,$H$4,$I$3,$Q$3,$J$3)</f>
        <v>1.3548898368794804E-3</v>
      </c>
      <c r="N1078" s="12">
        <f ca="1"/>
        <v>276.61730175005187</v>
      </c>
      <c r="O1078" s="12">
        <f t="shared" ca="1" si="142"/>
        <v>0.88595344474129389</v>
      </c>
    </row>
    <row r="1079" spans="2:15" x14ac:dyDescent="0.15">
      <c r="B1079" s="6">
        <f t="shared" ca="1" si="135"/>
        <v>0.63783857622190132</v>
      </c>
      <c r="C1079" s="6">
        <f t="shared" ca="1" si="135"/>
        <v>0.53077403187035477</v>
      </c>
      <c r="D1079" s="6">
        <f t="shared" ca="1" si="135"/>
        <v>-0.16974747282729769</v>
      </c>
      <c r="E1079" s="8">
        <f t="shared" ca="1" si="136"/>
        <v>1.4522563298736899E-2</v>
      </c>
      <c r="F1079" s="8">
        <f t="shared" ca="1" si="137"/>
        <v>3.5861373345771712E-2</v>
      </c>
      <c r="G1079" s="8">
        <f t="shared" ca="1" si="138"/>
        <v>2.3165644531804672E-2</v>
      </c>
      <c r="H1079" s="10">
        <f t="shared" ca="1" si="139"/>
        <v>4074.3226142077274</v>
      </c>
      <c r="I1079" s="10">
        <f t="shared" ca="1" si="140"/>
        <v>563.50858710009982</v>
      </c>
      <c r="J1079" s="10">
        <f t="shared" ca="1" si="141"/>
        <v>2287.7983811731151</v>
      </c>
      <c r="K1079" s="12">
        <f t="array" aca="1" ref="K1079:L1079" ca="1">Opt3Spd(H1079:J1079,$E$3:$G$3,$K$3:$M$3,$N$3:$P$3,$H$3,$I$3,$Q$3,$J$3)</f>
        <v>203.83898369898566</v>
      </c>
      <c r="L1079" s="12">
        <f ca="1"/>
        <v>2.9299437975623732E-2</v>
      </c>
      <c r="M1079" s="12">
        <f t="array" aca="1" ref="M1079:N1079" ca="1">Opt3Spd(H1079:J1079,$E$3:$G$3,$K$3:$M$3,$N$3:$P$3,$H$4,$I$3,$Q$3,$J$3)</f>
        <v>0.10135012737790738</v>
      </c>
      <c r="N1079" s="12">
        <f ca="1"/>
        <v>196.29166586636788</v>
      </c>
      <c r="O1079" s="12">
        <f t="shared" ca="1" si="142"/>
        <v>0.13064956535353112</v>
      </c>
    </row>
    <row r="1080" spans="2:15" x14ac:dyDescent="0.15">
      <c r="B1080" s="6">
        <f t="shared" ca="1" si="135"/>
        <v>-0.73746707016127488</v>
      </c>
      <c r="C1080" s="6">
        <f t="shared" ca="1" si="135"/>
        <v>0.34218280724322536</v>
      </c>
      <c r="D1080" s="6">
        <f t="shared" ca="1" si="135"/>
        <v>-8.2670112302936014E-2</v>
      </c>
      <c r="E1080" s="8">
        <f t="shared" ca="1" si="136"/>
        <v>-1.6790944615781952E-2</v>
      </c>
      <c r="F1080" s="8">
        <f t="shared" ca="1" si="137"/>
        <v>-1.9488978789834972E-2</v>
      </c>
      <c r="G1080" s="8">
        <f t="shared" ca="1" si="138"/>
        <v>-2.6980683347687693E-2</v>
      </c>
      <c r="H1080" s="10">
        <f t="shared" ca="1" si="139"/>
        <v>3948.5675664230198</v>
      </c>
      <c r="I1080" s="10">
        <f t="shared" ca="1" si="140"/>
        <v>533.39799553832972</v>
      </c>
      <c r="J1080" s="10">
        <f t="shared" ca="1" si="141"/>
        <v>2175.6711920345706</v>
      </c>
      <c r="K1080" s="12">
        <f t="array" aca="1" ref="K1080:L1080" ca="1">Opt3Spd(H1080:J1080,$E$3:$G$3,$K$3:$M$3,$N$3:$P$3,$H$3,$I$3,$Q$3,$J$3)</f>
        <v>182.36709695289255</v>
      </c>
      <c r="L1080" s="12">
        <f ca="1"/>
        <v>7.1919408485882741E-2</v>
      </c>
      <c r="M1080" s="12">
        <f t="array" aca="1" ref="M1080:N1080" ca="1">Opt3Spd(H1080:J1080,$E$3:$G$3,$K$3:$M$3,$N$3:$P$3,$H$4,$I$3,$Q$3,$J$3)</f>
        <v>3.2932377801973889E-2</v>
      </c>
      <c r="N1080" s="12">
        <f ca="1"/>
        <v>217.73775483339531</v>
      </c>
      <c r="O1080" s="12">
        <f t="shared" ca="1" si="142"/>
        <v>0.10485178628785663</v>
      </c>
    </row>
    <row r="1081" spans="2:15" x14ac:dyDescent="0.15">
      <c r="B1081" s="6">
        <f t="shared" ca="1" si="135"/>
        <v>1.8066263940944012</v>
      </c>
      <c r="C1081" s="6">
        <f t="shared" ca="1" si="135"/>
        <v>5.8805372505180212E-2</v>
      </c>
      <c r="D1081" s="6">
        <f t="shared" ca="1" si="135"/>
        <v>-0.42802451635271527</v>
      </c>
      <c r="E1081" s="8">
        <f t="shared" ca="1" si="136"/>
        <v>4.1133990861470016E-2</v>
      </c>
      <c r="F1081" s="8">
        <f t="shared" ca="1" si="137"/>
        <v>6.8365973915163553E-2</v>
      </c>
      <c r="G1081" s="8">
        <f t="shared" ca="1" si="138"/>
        <v>6.1983457586854099E-2</v>
      </c>
      <c r="H1081" s="10">
        <f t="shared" ca="1" si="139"/>
        <v>4181.1941072996642</v>
      </c>
      <c r="I1081" s="10">
        <f t="shared" ca="1" si="140"/>
        <v>581.19108980984902</v>
      </c>
      <c r="J1081" s="10">
        <f t="shared" ca="1" si="141"/>
        <v>2374.5950111642055</v>
      </c>
      <c r="K1081" s="12">
        <f t="array" aca="1" ref="K1081:L1081" ca="1">Opt3Spd(H1081:J1081,$E$3:$G$3,$K$3:$M$3,$N$3:$P$3,$H$3,$I$3,$Q$3,$J$3)</f>
        <v>238.99625085529965</v>
      </c>
      <c r="L1081" s="12">
        <f ca="1"/>
        <v>5.3928334962165536E-3</v>
      </c>
      <c r="M1081" s="12">
        <f t="array" aca="1" ref="M1081:N1081" ca="1">Opt3Spd(H1081:J1081,$E$3:$G$3,$K$3:$M$3,$N$3:$P$3,$H$4,$I$3,$Q$3,$J$3)</f>
        <v>0.46058587771115356</v>
      </c>
      <c r="N1081" s="12">
        <f ca="1"/>
        <v>161.46972785590771</v>
      </c>
      <c r="O1081" s="12">
        <f t="shared" ca="1" si="142"/>
        <v>0.46597871120737011</v>
      </c>
    </row>
    <row r="1082" spans="2:15" x14ac:dyDescent="0.15">
      <c r="B1082" s="6">
        <f t="shared" ca="1" si="135"/>
        <v>-0.60265221719976947</v>
      </c>
      <c r="C1082" s="6">
        <f t="shared" ca="1" si="135"/>
        <v>-0.13454511133858768</v>
      </c>
      <c r="D1082" s="6">
        <f t="shared" ca="1" si="135"/>
        <v>0.25086010529700731</v>
      </c>
      <c r="E1082" s="8">
        <f t="shared" ca="1" si="136"/>
        <v>-1.3721426231772766E-2</v>
      </c>
      <c r="F1082" s="8">
        <f t="shared" ca="1" si="137"/>
        <v>-2.5447480140926196E-2</v>
      </c>
      <c r="G1082" s="8">
        <f t="shared" ca="1" si="138"/>
        <v>-1.9858616614761227E-2</v>
      </c>
      <c r="H1082" s="10">
        <f t="shared" ca="1" si="139"/>
        <v>3960.8947522532007</v>
      </c>
      <c r="I1082" s="10">
        <f t="shared" ca="1" si="140"/>
        <v>530.15657080333608</v>
      </c>
      <c r="J1082" s="10">
        <f t="shared" ca="1" si="141"/>
        <v>2191.5961332493939</v>
      </c>
      <c r="K1082" s="12">
        <f t="array" aca="1" ref="K1082:L1082" ca="1">Opt3Spd(H1082:J1082,$E$3:$G$3,$K$3:$M$3,$N$3:$P$3,$H$3,$I$3,$Q$3,$J$3)</f>
        <v>191.89244938232355</v>
      </c>
      <c r="L1082" s="12">
        <f ca="1"/>
        <v>4.6277039157303079E-2</v>
      </c>
      <c r="M1082" s="12">
        <f t="array" aca="1" ref="M1082:N1082" ca="1">Opt3Spd(H1082:J1082,$E$3:$G$3,$K$3:$M$3,$N$3:$P$3,$H$4,$I$3,$Q$3,$J$3)</f>
        <v>5.3122539678452263E-2</v>
      </c>
      <c r="N1082" s="12">
        <f ca="1"/>
        <v>208.2069501965122</v>
      </c>
      <c r="O1082" s="12">
        <f t="shared" ca="1" si="142"/>
        <v>9.9399578835755342E-2</v>
      </c>
    </row>
    <row r="1083" spans="2:15" x14ac:dyDescent="0.15">
      <c r="B1083" s="6">
        <f t="shared" ca="1" si="135"/>
        <v>0.46531588654270872</v>
      </c>
      <c r="C1083" s="6">
        <f t="shared" ca="1" si="135"/>
        <v>-1.5417422790154425</v>
      </c>
      <c r="D1083" s="6">
        <f t="shared" ca="1" si="135"/>
        <v>2.0787944797366222</v>
      </c>
      <c r="E1083" s="8">
        <f t="shared" ca="1" si="136"/>
        <v>1.0594497837135255E-2</v>
      </c>
      <c r="F1083" s="8">
        <f t="shared" ca="1" si="137"/>
        <v>-1.8182135220086961E-2</v>
      </c>
      <c r="G1083" s="8">
        <f t="shared" ca="1" si="138"/>
        <v>3.4764826639314725E-2</v>
      </c>
      <c r="H1083" s="10">
        <f t="shared" ca="1" si="139"/>
        <v>4058.5475033139355</v>
      </c>
      <c r="I1083" s="10">
        <f t="shared" ca="1" si="140"/>
        <v>534.10891844027276</v>
      </c>
      <c r="J1083" s="10">
        <f t="shared" ca="1" si="141"/>
        <v>2313.7341523655077</v>
      </c>
      <c r="K1083" s="12">
        <f t="array" aca="1" ref="K1083:L1083" ca="1">Opt3Spd(H1083:J1083,$E$3:$G$3,$K$3:$M$3,$N$3:$P$3,$H$3,$I$3,$Q$3,$J$3)</f>
        <v>222.11776662881311</v>
      </c>
      <c r="L1083" s="12">
        <f ca="1"/>
        <v>1.1609002067871188E-2</v>
      </c>
      <c r="M1083" s="12">
        <f t="array" aca="1" ref="M1083:N1083" ca="1">Opt3Spd(H1083:J1083,$E$3:$G$3,$K$3:$M$3,$N$3:$P$3,$H$4,$I$3,$Q$3,$J$3)</f>
        <v>0.22423874080645945</v>
      </c>
      <c r="N1083" s="12">
        <f ca="1"/>
        <v>178.11808111406123</v>
      </c>
      <c r="O1083" s="12">
        <f t="shared" ca="1" si="142"/>
        <v>0.23584774287433063</v>
      </c>
    </row>
    <row r="1084" spans="2:15" x14ac:dyDescent="0.15">
      <c r="B1084" s="6">
        <f t="shared" ca="1" si="135"/>
        <v>-0.1828136992606636</v>
      </c>
      <c r="C1084" s="6">
        <f t="shared" ca="1" si="135"/>
        <v>6.1727995912322323E-2</v>
      </c>
      <c r="D1084" s="6">
        <f t="shared" ca="1" si="135"/>
        <v>3.7285642062198545</v>
      </c>
      <c r="E1084" s="8">
        <f t="shared" ca="1" si="136"/>
        <v>-4.1623752754421069E-3</v>
      </c>
      <c r="F1084" s="8">
        <f t="shared" ca="1" si="137"/>
        <v>-5.3621691964341224E-3</v>
      </c>
      <c r="G1084" s="8">
        <f t="shared" ca="1" si="138"/>
        <v>3.3183513797982345E-2</v>
      </c>
      <c r="H1084" s="10">
        <f t="shared" ca="1" si="139"/>
        <v>3999.2839008938249</v>
      </c>
      <c r="I1084" s="10">
        <f t="shared" ca="1" si="140"/>
        <v>541.08297995713986</v>
      </c>
      <c r="J1084" s="10">
        <f t="shared" ca="1" si="141"/>
        <v>2310.1983368522883</v>
      </c>
      <c r="K1084" s="12">
        <f t="array" aca="1" ref="K1084:L1084" ca="1">Opt3Spd(H1084:J1084,$E$3:$G$3,$K$3:$M$3,$N$3:$P$3,$H$3,$I$3,$Q$3,$J$3)</f>
        <v>153.73907327429788</v>
      </c>
      <c r="L1084" s="12">
        <f ca="1"/>
        <v>0.28710873804106996</v>
      </c>
      <c r="M1084" s="12">
        <f t="array" aca="1" ref="M1084:N1084" ca="1">Opt3Spd(H1084:J1084,$E$3:$G$3,$K$3:$M$3,$N$3:$P$3,$H$4,$I$3,$Q$3,$J$3)</f>
        <v>8.5830002742788292E-3</v>
      </c>
      <c r="N1084" s="12">
        <f ca="1"/>
        <v>246.55661846401748</v>
      </c>
      <c r="O1084" s="12">
        <f t="shared" ca="1" si="142"/>
        <v>0.29569173831534878</v>
      </c>
    </row>
    <row r="1085" spans="2:15" x14ac:dyDescent="0.15">
      <c r="B1085" s="6">
        <f t="shared" ca="1" si="135"/>
        <v>1.3647601077424261</v>
      </c>
      <c r="C1085" s="6">
        <f t="shared" ca="1" si="135"/>
        <v>-0.2770425677205835</v>
      </c>
      <c r="D1085" s="6">
        <f t="shared" ca="1" si="135"/>
        <v>0.54462928484011974</v>
      </c>
      <c r="E1085" s="8">
        <f t="shared" ca="1" si="136"/>
        <v>3.1073402881460623E-2</v>
      </c>
      <c r="F1085" s="8">
        <f t="shared" ca="1" si="137"/>
        <v>4.4254959923230849E-2</v>
      </c>
      <c r="G1085" s="8">
        <f t="shared" ca="1" si="138"/>
        <v>5.5136785837272953E-2</v>
      </c>
      <c r="H1085" s="10">
        <f t="shared" ca="1" si="139"/>
        <v>4140.7907859719453</v>
      </c>
      <c r="I1085" s="10">
        <f t="shared" ca="1" si="140"/>
        <v>568.07469819823757</v>
      </c>
      <c r="J1085" s="10">
        <f t="shared" ca="1" si="141"/>
        <v>2359.2858531321422</v>
      </c>
      <c r="K1085" s="12">
        <f t="array" aca="1" ref="K1085:L1085" ca="1">Opt3Spd(H1085:J1085,$E$3:$G$3,$K$3:$M$3,$N$3:$P$3,$H$3,$I$3,$Q$3,$J$3)</f>
        <v>227.23806172384388</v>
      </c>
      <c r="L1085" s="12">
        <f ca="1"/>
        <v>9.719435149918354E-3</v>
      </c>
      <c r="M1085" s="12">
        <f t="array" aca="1" ref="M1085:N1085" ca="1">Opt3Spd(H1085:J1085,$E$3:$G$3,$K$3:$M$3,$N$3:$P$3,$H$4,$I$3,$Q$3,$J$3)</f>
        <v>0.28741468391632097</v>
      </c>
      <c r="N1085" s="12">
        <f ca="1"/>
        <v>173.05907239522236</v>
      </c>
      <c r="O1085" s="12">
        <f t="shared" ca="1" si="142"/>
        <v>0.29713411906623932</v>
      </c>
    </row>
    <row r="1086" spans="2:15" x14ac:dyDescent="0.15">
      <c r="B1086" s="6">
        <f t="shared" ca="1" si="135"/>
        <v>-0.30968932185874481</v>
      </c>
      <c r="C1086" s="6">
        <f t="shared" ca="1" si="135"/>
        <v>-2.1089398493345684</v>
      </c>
      <c r="D1086" s="6">
        <f t="shared" ca="1" si="135"/>
        <v>1.0394927432291954</v>
      </c>
      <c r="E1086" s="8">
        <f t="shared" ca="1" si="136"/>
        <v>-7.051130093567547E-3</v>
      </c>
      <c r="F1086" s="8">
        <f t="shared" ca="1" si="137"/>
        <v>-5.9968823770962632E-2</v>
      </c>
      <c r="G1086" s="8">
        <f t="shared" ca="1" si="138"/>
        <v>-6.4259003397312605E-3</v>
      </c>
      <c r="H1086" s="10">
        <f t="shared" ca="1" si="139"/>
        <v>3987.6826615442328</v>
      </c>
      <c r="I1086" s="10">
        <f t="shared" ca="1" si="140"/>
        <v>511.37695986859637</v>
      </c>
      <c r="J1086" s="10">
        <f t="shared" ca="1" si="141"/>
        <v>2221.631686840361</v>
      </c>
      <c r="K1086" s="12">
        <f t="array" aca="1" ref="K1086:L1086" ca="1">Opt3Spd(H1086:J1086,$E$3:$G$3,$K$3:$M$3,$N$3:$P$3,$H$3,$I$3,$Q$3,$J$3)</f>
        <v>233.6691597765157</v>
      </c>
      <c r="L1086" s="12">
        <f ca="1"/>
        <v>5.4774422178525128E-3</v>
      </c>
      <c r="M1086" s="12">
        <f t="array" aca="1" ref="M1086:N1086" ca="1">Opt3Spd(H1086:J1086,$E$3:$G$3,$K$3:$M$3,$N$3:$P$3,$H$4,$I$3,$Q$3,$J$3)</f>
        <v>0.33628101238394947</v>
      </c>
      <c r="N1086" s="12">
        <f ca="1"/>
        <v>166.6725986780861</v>
      </c>
      <c r="O1086" s="12">
        <f t="shared" ca="1" si="142"/>
        <v>0.34175845460180199</v>
      </c>
    </row>
    <row r="1087" spans="2:15" x14ac:dyDescent="0.15">
      <c r="B1087" s="6">
        <f t="shared" ca="1" si="135"/>
        <v>-0.67566747512184222</v>
      </c>
      <c r="C1087" s="6">
        <f t="shared" ca="1" si="135"/>
        <v>1.9950422817144491</v>
      </c>
      <c r="D1087" s="6">
        <f t="shared" ca="1" si="135"/>
        <v>1.1074431346628244</v>
      </c>
      <c r="E1087" s="8">
        <f t="shared" ca="1" si="136"/>
        <v>-1.5383866768417267E-2</v>
      </c>
      <c r="F1087" s="8">
        <f t="shared" ca="1" si="137"/>
        <v>2.0800140811029932E-2</v>
      </c>
      <c r="G1087" s="8">
        <f t="shared" ca="1" si="138"/>
        <v>-7.2337226473960445E-3</v>
      </c>
      <c r="H1087" s="10">
        <f t="shared" ca="1" si="139"/>
        <v>3954.2183910580361</v>
      </c>
      <c r="I1087" s="10">
        <f t="shared" ca="1" si="140"/>
        <v>555.31527660120025</v>
      </c>
      <c r="J1087" s="10">
        <f t="shared" ca="1" si="141"/>
        <v>2219.8253961604223</v>
      </c>
      <c r="K1087" s="12">
        <f t="array" aca="1" ref="K1087:L1087" ca="1">Opt3Spd(H1087:J1087,$E$3:$G$3,$K$3:$M$3,$N$3:$P$3,$H$3,$I$3,$Q$3,$J$3)</f>
        <v>131.47110539622668</v>
      </c>
      <c r="L1087" s="12">
        <f ca="1"/>
        <v>0.66985498032204305</v>
      </c>
      <c r="M1087" s="12">
        <f t="array" aca="1" ref="M1087:N1087" ca="1">Opt3Spd(H1087:J1087,$E$3:$G$3,$K$3:$M$3,$N$3:$P$3,$H$4,$I$3,$Q$3,$J$3)</f>
        <v>2.1248012793094184E-3</v>
      </c>
      <c r="N1087" s="12">
        <f ca="1"/>
        <v>269.20087438537468</v>
      </c>
      <c r="O1087" s="12">
        <f t="shared" ca="1" si="142"/>
        <v>0.67197978160135241</v>
      </c>
    </row>
    <row r="1088" spans="2:15" x14ac:dyDescent="0.15">
      <c r="B1088" s="6">
        <f t="shared" ref="B1088:D1143" ca="1" si="143">NORMINV(RAND(),0,1)</f>
        <v>-0.60651474024838226</v>
      </c>
      <c r="C1088" s="6">
        <f t="shared" ca="1" si="143"/>
        <v>-2.0498129356242747</v>
      </c>
      <c r="D1088" s="6">
        <f t="shared" ca="1" si="143"/>
        <v>-0.93202256283994256</v>
      </c>
      <c r="E1088" s="8">
        <f t="shared" ca="1" si="136"/>
        <v>-1.3809369698282064E-2</v>
      </c>
      <c r="F1088" s="8">
        <f t="shared" ca="1" si="137"/>
        <v>-6.9619883574555869E-2</v>
      </c>
      <c r="G1088" s="8">
        <f t="shared" ca="1" si="138"/>
        <v>-3.8161799560344239E-2</v>
      </c>
      <c r="H1088" s="10">
        <f t="shared" ca="1" si="139"/>
        <v>3960.5415712916993</v>
      </c>
      <c r="I1088" s="10">
        <f t="shared" ca="1" si="140"/>
        <v>506.12678333544164</v>
      </c>
      <c r="J1088" s="10">
        <f t="shared" ca="1" si="141"/>
        <v>2150.6702161830704</v>
      </c>
      <c r="K1088" s="12">
        <f t="array" aca="1" ref="K1088:L1088" ca="1">Opt3Spd(H1088:J1088,$E$3:$G$3,$K$3:$M$3,$N$3:$P$3,$H$3,$I$3,$Q$3,$J$3)</f>
        <v>250.40552623269127</v>
      </c>
      <c r="L1088" s="12">
        <f ca="1"/>
        <v>1.9163692343227012E-3</v>
      </c>
      <c r="M1088" s="12">
        <f t="array" aca="1" ref="M1088:N1088" ca="1">Opt3Spd(H1088:J1088,$E$3:$G$3,$K$3:$M$3,$N$3:$P$3,$H$4,$I$3,$Q$3,$J$3)</f>
        <v>0.61524969574523425</v>
      </c>
      <c r="N1088" s="12">
        <f ca="1"/>
        <v>150.21163983228828</v>
      </c>
      <c r="O1088" s="12">
        <f t="shared" ca="1" si="142"/>
        <v>0.61716606497955695</v>
      </c>
    </row>
    <row r="1089" spans="2:15" x14ac:dyDescent="0.15">
      <c r="B1089" s="6">
        <f t="shared" ca="1" si="143"/>
        <v>-1.0798376074248468</v>
      </c>
      <c r="C1089" s="6">
        <f t="shared" ca="1" si="143"/>
        <v>1.1199223942589329</v>
      </c>
      <c r="D1089" s="6">
        <f t="shared" ca="1" si="143"/>
        <v>-0.65735849117496836</v>
      </c>
      <c r="E1089" s="8">
        <f t="shared" ca="1" si="136"/>
        <v>-2.458617366649871E-2</v>
      </c>
      <c r="F1089" s="8">
        <f t="shared" ca="1" si="137"/>
        <v>-1.4309641859303779E-2</v>
      </c>
      <c r="G1089" s="8">
        <f t="shared" ca="1" si="138"/>
        <v>-4.3423251284931297E-2</v>
      </c>
      <c r="H1089" s="10">
        <f t="shared" ca="1" si="139"/>
        <v>3917.2619265553412</v>
      </c>
      <c r="I1089" s="10">
        <f t="shared" ca="1" si="140"/>
        <v>536.21555482853876</v>
      </c>
      <c r="J1089" s="10">
        <f t="shared" ca="1" si="141"/>
        <v>2138.9056101268934</v>
      </c>
      <c r="K1089" s="12">
        <f t="array" aca="1" ref="K1089:L1089" ca="1">Opt3Spd(H1089:J1089,$E$3:$G$3,$K$3:$M$3,$N$3:$P$3,$H$3,$I$3,$Q$3,$J$3)</f>
        <v>165.01852050197681</v>
      </c>
      <c r="L1089" s="12">
        <f ca="1"/>
        <v>0.15428673574410823</v>
      </c>
      <c r="M1089" s="12">
        <f t="array" aca="1" ref="M1089:N1089" ca="1">Opt3Spd(H1089:J1089,$E$3:$G$3,$K$3:$M$3,$N$3:$P$3,$H$4,$I$3,$Q$3,$J$3)</f>
        <v>1.2931897007865123E-2</v>
      </c>
      <c r="N1089" s="12">
        <f ca="1"/>
        <v>235.14869813077516</v>
      </c>
      <c r="O1089" s="12">
        <f t="shared" ca="1" si="142"/>
        <v>0.16721863275197335</v>
      </c>
    </row>
    <row r="1090" spans="2:15" x14ac:dyDescent="0.15">
      <c r="B1090" s="6">
        <f t="shared" ca="1" si="143"/>
        <v>-1.1371191386994319</v>
      </c>
      <c r="C1090" s="6">
        <f t="shared" ca="1" si="143"/>
        <v>-2.7853051227678838E-2</v>
      </c>
      <c r="D1090" s="6">
        <f t="shared" ca="1" si="143"/>
        <v>1.1406730502517408</v>
      </c>
      <c r="E1090" s="8">
        <f t="shared" ca="1" si="136"/>
        <v>-2.5890382434665682E-2</v>
      </c>
      <c r="F1090" s="8">
        <f t="shared" ca="1" si="137"/>
        <v>-4.2820047837839416E-2</v>
      </c>
      <c r="G1090" s="8">
        <f t="shared" ca="1" si="138"/>
        <v>-2.9705112517436495E-2</v>
      </c>
      <c r="H1090" s="10">
        <f t="shared" ca="1" si="139"/>
        <v>3912.0242241423825</v>
      </c>
      <c r="I1090" s="10">
        <f t="shared" ca="1" si="140"/>
        <v>520.70589397621529</v>
      </c>
      <c r="J1090" s="10">
        <f t="shared" ca="1" si="141"/>
        <v>2169.5793684110122</v>
      </c>
      <c r="K1090" s="12">
        <f t="array" aca="1" ref="K1090:L1090" ca="1">Opt3Spd(H1090:J1090,$E$3:$G$3,$K$3:$M$3,$N$3:$P$3,$H$3,$I$3,$Q$3,$J$3)</f>
        <v>169.23510947218733</v>
      </c>
      <c r="L1090" s="12">
        <f ca="1"/>
        <v>0.12999989725562955</v>
      </c>
      <c r="M1090" s="12">
        <f t="array" aca="1" ref="M1090:N1090" ca="1">Opt3Spd(H1090:J1090,$E$3:$G$3,$K$3:$M$3,$N$3:$P$3,$H$4,$I$3,$Q$3,$J$3)</f>
        <v>1.6647730917599191E-2</v>
      </c>
      <c r="N1090" s="12">
        <f ca="1"/>
        <v>230.91153815598591</v>
      </c>
      <c r="O1090" s="12">
        <f t="shared" ca="1" si="142"/>
        <v>0.14664762817322874</v>
      </c>
    </row>
    <row r="1091" spans="2:15" x14ac:dyDescent="0.15">
      <c r="B1091" s="6">
        <f t="shared" ca="1" si="143"/>
        <v>0.29039666177318901</v>
      </c>
      <c r="C1091" s="6">
        <f t="shared" ca="1" si="143"/>
        <v>-0.24131818349347384</v>
      </c>
      <c r="D1091" s="6">
        <f t="shared" ca="1" si="143"/>
        <v>2.2467612867473303E-2</v>
      </c>
      <c r="E1091" s="8">
        <f t="shared" ca="1" si="136"/>
        <v>6.6118671080123651E-3</v>
      </c>
      <c r="F1091" s="8">
        <f t="shared" ca="1" si="137"/>
        <v>5.2242911297006433E-3</v>
      </c>
      <c r="G1091" s="8">
        <f t="shared" ca="1" si="138"/>
        <v>1.0207510144325973E-2</v>
      </c>
      <c r="H1091" s="10">
        <f t="shared" ca="1" si="139"/>
        <v>4042.5532583057779</v>
      </c>
      <c r="I1091" s="10">
        <f t="shared" ca="1" si="140"/>
        <v>546.84201437455715</v>
      </c>
      <c r="J1091" s="10">
        <f t="shared" ca="1" si="141"/>
        <v>2258.8239926827127</v>
      </c>
      <c r="K1091" s="12">
        <f t="array" aca="1" ref="K1091:L1091" ca="1">Opt3Spd(H1091:J1091,$E$3:$G$3,$K$3:$M$3,$N$3:$P$3,$H$3,$I$3,$Q$3,$J$3)</f>
        <v>213.21145673539149</v>
      </c>
      <c r="L1091" s="12">
        <f ca="1"/>
        <v>1.7417770261545229E-2</v>
      </c>
      <c r="M1091" s="12">
        <f t="array" aca="1" ref="M1091:N1091" ca="1">Opt3Spd(H1091:J1091,$E$3:$G$3,$K$3:$M$3,$N$3:$P$3,$H$4,$I$3,$Q$3,$J$3)</f>
        <v>0.14850568110326279</v>
      </c>
      <c r="N1091" s="12">
        <f ca="1"/>
        <v>186.95446671597333</v>
      </c>
      <c r="O1091" s="12">
        <f t="shared" ca="1" si="142"/>
        <v>0.16592345136480802</v>
      </c>
    </row>
    <row r="1092" spans="2:15" x14ac:dyDescent="0.15">
      <c r="B1092" s="6">
        <f t="shared" ca="1" si="143"/>
        <v>0.86269410856431006</v>
      </c>
      <c r="C1092" s="6">
        <f t="shared" ca="1" si="143"/>
        <v>1.2213174977391499</v>
      </c>
      <c r="D1092" s="6">
        <f t="shared" ca="1" si="143"/>
        <v>-0.16994639492598049</v>
      </c>
      <c r="E1092" s="8">
        <f t="shared" ca="1" si="136"/>
        <v>1.9642163810916907E-2</v>
      </c>
      <c r="F1092" s="8">
        <f t="shared" ca="1" si="137"/>
        <v>6.007661232568403E-2</v>
      </c>
      <c r="G1092" s="8">
        <f t="shared" ca="1" si="138"/>
        <v>3.3428979579002538E-2</v>
      </c>
      <c r="H1092" s="10">
        <f t="shared" ca="1" si="139"/>
        <v>4094.8829298646428</v>
      </c>
      <c r="I1092" s="10">
        <f t="shared" ca="1" si="140"/>
        <v>576.68167710517207</v>
      </c>
      <c r="J1092" s="10">
        <f t="shared" ca="1" si="141"/>
        <v>2310.7471983386499</v>
      </c>
      <c r="K1092" s="12">
        <f t="array" aca="1" ref="K1092:L1092" ca="1">Opt3Spd(H1092:J1092,$E$3:$G$3,$K$3:$M$3,$N$3:$P$3,$H$3,$I$3,$Q$3,$J$3)</f>
        <v>191.87290621159514</v>
      </c>
      <c r="L1092" s="12">
        <f ca="1"/>
        <v>5.4258884552837117E-2</v>
      </c>
      <c r="M1092" s="12">
        <f t="array" aca="1" ref="M1092:N1092" ca="1">Opt3Spd(H1092:J1092,$E$3:$G$3,$K$3:$M$3,$N$3:$P$3,$H$4,$I$3,$Q$3,$J$3)</f>
        <v>6.0340263431235996E-2</v>
      </c>
      <c r="N1092" s="12">
        <f ca="1"/>
        <v>208.24169293638894</v>
      </c>
      <c r="O1092" s="12">
        <f t="shared" ca="1" si="142"/>
        <v>0.11459914798407311</v>
      </c>
    </row>
    <row r="1093" spans="2:15" x14ac:dyDescent="0.15">
      <c r="B1093" s="6">
        <f t="shared" ca="1" si="143"/>
        <v>-0.87918471577792334</v>
      </c>
      <c r="C1093" s="6">
        <f t="shared" ca="1" si="143"/>
        <v>0.49837642897235956</v>
      </c>
      <c r="D1093" s="6">
        <f t="shared" ca="1" si="143"/>
        <v>0.23350474930594436</v>
      </c>
      <c r="E1093" s="8">
        <f t="shared" ref="E1093:E1143" ca="1" si="144">B1093*$U$3*$C$6</f>
        <v>-2.0017628538235292E-2</v>
      </c>
      <c r="F1093" s="8">
        <f t="shared" ref="F1093:F1143" ca="1" si="145">($N$3*B1093+C1093*SQRT(1-$N$3^2))*$V$3*$C$6</f>
        <v>-2.1155128056326345E-2</v>
      </c>
      <c r="G1093" s="8">
        <f t="shared" ref="G1093:G1143" ca="1" si="146">(D1093/$T$3+($P$3-$N$3*$O$3)*C1093+$O$3*B1093*SQRT(1/(1-$N$3^2)))*$W$3*$C$6</f>
        <v>-2.8365505652900767E-2</v>
      </c>
      <c r="H1093" s="10">
        <f t="shared" ref="H1093:H1143" ca="1" si="147">B$3*(1+E1093)</f>
        <v>3935.6092037904468</v>
      </c>
      <c r="I1093" s="10">
        <f t="shared" ref="I1093:I1143" ca="1" si="148">C$3*(1+F1093)</f>
        <v>532.49161033735845</v>
      </c>
      <c r="J1093" s="10">
        <f t="shared" ref="J1093:J1143" ca="1" si="149">D$3*(1+G1093)</f>
        <v>2172.5747293601139</v>
      </c>
      <c r="K1093" s="12">
        <f t="array" aca="1" ref="K1093:L1093" ca="1">Opt3Spd(H1093:J1093,$E$3:$G$3,$K$3:$M$3,$N$3:$P$3,$H$3,$I$3,$Q$3,$J$3)</f>
        <v>172.44863806123908</v>
      </c>
      <c r="L1093" s="12">
        <f ca="1"/>
        <v>0.11337549062272956</v>
      </c>
      <c r="M1093" s="12">
        <f t="array" aca="1" ref="M1093:N1093" ca="1">Opt3Spd(H1093:J1093,$E$3:$G$3,$K$3:$M$3,$N$3:$P$3,$H$4,$I$3,$Q$3,$J$3)</f>
        <v>1.9830920952713882E-2</v>
      </c>
      <c r="N1093" s="12">
        <f ca="1"/>
        <v>227.68456835033635</v>
      </c>
      <c r="O1093" s="12">
        <f t="shared" ca="1" si="142"/>
        <v>0.13320641157544344</v>
      </c>
    </row>
    <row r="1094" spans="2:15" x14ac:dyDescent="0.15">
      <c r="B1094" s="6">
        <f t="shared" ca="1" si="143"/>
        <v>0.94592659825120107</v>
      </c>
      <c r="C1094" s="6">
        <f t="shared" ca="1" si="143"/>
        <v>5.4199420860494819E-2</v>
      </c>
      <c r="D1094" s="6">
        <f t="shared" ca="1" si="143"/>
        <v>-0.3291921844352001</v>
      </c>
      <c r="E1094" s="8">
        <f t="shared" ca="1" si="144"/>
        <v>2.1537234358623668E-2</v>
      </c>
      <c r="F1094" s="8">
        <f t="shared" ca="1" si="145"/>
        <v>3.633370753980792E-2</v>
      </c>
      <c r="G1094" s="8">
        <f t="shared" ca="1" si="146"/>
        <v>3.1402242036125363E-2</v>
      </c>
      <c r="H1094" s="10">
        <f t="shared" ca="1" si="147"/>
        <v>4102.4935331842335</v>
      </c>
      <c r="I1094" s="10">
        <f t="shared" ca="1" si="148"/>
        <v>563.76553690165554</v>
      </c>
      <c r="J1094" s="10">
        <f t="shared" ca="1" si="149"/>
        <v>2306.2154131927759</v>
      </c>
      <c r="K1094" s="12">
        <f t="array" aca="1" ref="K1094:L1094" ca="1">Opt3Spd(H1094:J1094,$E$3:$G$3,$K$3:$M$3,$N$3:$P$3,$H$3,$I$3,$Q$3,$J$3)</f>
        <v>222.37264266276702</v>
      </c>
      <c r="L1094" s="12">
        <f ca="1"/>
        <v>1.1675117570575821E-2</v>
      </c>
      <c r="M1094" s="12">
        <f t="array" aca="1" ref="M1094:N1094" ca="1">Opt3Spd(H1094:J1094,$E$3:$G$3,$K$3:$M$3,$N$3:$P$3,$H$4,$I$3,$Q$3,$J$3)</f>
        <v>0.22732147179099371</v>
      </c>
      <c r="N1094" s="12">
        <f ca="1"/>
        <v>177.86635392659454</v>
      </c>
      <c r="O1094" s="12">
        <f t="shared" ca="1" si="142"/>
        <v>0.23899658936156953</v>
      </c>
    </row>
    <row r="1095" spans="2:15" x14ac:dyDescent="0.15">
      <c r="B1095" s="6">
        <f t="shared" ca="1" si="143"/>
        <v>1.1188177662166734</v>
      </c>
      <c r="C1095" s="6">
        <f t="shared" ca="1" si="143"/>
        <v>-1.4402263730532443</v>
      </c>
      <c r="D1095" s="6">
        <f t="shared" ca="1" si="143"/>
        <v>0.17669786493158934</v>
      </c>
      <c r="E1095" s="8">
        <f t="shared" ca="1" si="144"/>
        <v>2.5473689480926619E-2</v>
      </c>
      <c r="F1095" s="8">
        <f t="shared" ca="1" si="145"/>
        <v>8.3922459451308759E-3</v>
      </c>
      <c r="G1095" s="8">
        <f t="shared" ca="1" si="146"/>
        <v>3.8804982013204634E-2</v>
      </c>
      <c r="H1095" s="10">
        <f t="shared" ca="1" si="147"/>
        <v>4118.3023369554012</v>
      </c>
      <c r="I1095" s="10">
        <f t="shared" ca="1" si="148"/>
        <v>548.56538179415122</v>
      </c>
      <c r="J1095" s="10">
        <f t="shared" ca="1" si="149"/>
        <v>2322.7679397815255</v>
      </c>
      <c r="K1095" s="12">
        <f t="array" aca="1" ref="K1095:L1095" ca="1">Opt3Spd(H1095:J1095,$E$3:$G$3,$K$3:$M$3,$N$3:$P$3,$H$3,$I$3,$Q$3,$J$3)</f>
        <v>254.21581240799401</v>
      </c>
      <c r="L1095" s="12">
        <f ca="1"/>
        <v>2.0562139973208104E-3</v>
      </c>
      <c r="M1095" s="12">
        <f t="array" aca="1" ref="M1095:N1095" ca="1">Opt3Spd(H1095:J1095,$E$3:$G$3,$K$3:$M$3,$N$3:$P$3,$H$4,$I$3,$Q$3,$J$3)</f>
        <v>0.77615511031618922</v>
      </c>
      <c r="N1095" s="12">
        <f ca="1"/>
        <v>146.56239891631949</v>
      </c>
      <c r="O1095" s="12">
        <f t="shared" ca="1" si="142"/>
        <v>0.77821132431351003</v>
      </c>
    </row>
    <row r="1096" spans="2:15" x14ac:dyDescent="0.15">
      <c r="B1096" s="6">
        <f t="shared" ca="1" si="143"/>
        <v>-0.88025994836406529</v>
      </c>
      <c r="C1096" s="6">
        <f t="shared" ca="1" si="143"/>
        <v>-0.80271638091146547</v>
      </c>
      <c r="D1096" s="6">
        <f t="shared" ca="1" si="143"/>
        <v>1.7207836370016721E-3</v>
      </c>
      <c r="E1096" s="8">
        <f t="shared" ca="1" si="144"/>
        <v>-2.0042109862939115E-2</v>
      </c>
      <c r="F1096" s="8">
        <f t="shared" ca="1" si="145"/>
        <v>-5.1105180531990646E-2</v>
      </c>
      <c r="G1096" s="8">
        <f t="shared" ca="1" si="146"/>
        <v>-3.4651249694558378E-2</v>
      </c>
      <c r="H1096" s="10">
        <f t="shared" ca="1" si="147"/>
        <v>3935.5108867904364</v>
      </c>
      <c r="I1096" s="10">
        <f t="shared" ca="1" si="148"/>
        <v>516.19878179059708</v>
      </c>
      <c r="J1096" s="10">
        <f t="shared" ca="1" si="149"/>
        <v>2158.5198056829677</v>
      </c>
      <c r="K1096" s="12">
        <f t="array" aca="1" ref="K1096:L1096" ca="1">Opt3Spd(H1096:J1096,$E$3:$G$3,$K$3:$M$3,$N$3:$P$3,$H$3,$I$3,$Q$3,$J$3)</f>
        <v>205.35567059065897</v>
      </c>
      <c r="L1096" s="12">
        <f ca="1"/>
        <v>2.2737506661542284E-2</v>
      </c>
      <c r="M1096" s="12">
        <f t="array" aca="1" ref="M1096:N1096" ca="1">Opt3Spd(H1096:J1096,$E$3:$G$3,$K$3:$M$3,$N$3:$P$3,$H$4,$I$3,$Q$3,$J$3)</f>
        <v>9.6389296706798078E-2</v>
      </c>
      <c r="N1096" s="12">
        <f ca="1"/>
        <v>194.76345621270937</v>
      </c>
      <c r="O1096" s="12">
        <f t="shared" ca="1" si="142"/>
        <v>0.11912680336834036</v>
      </c>
    </row>
    <row r="1097" spans="2:15" x14ac:dyDescent="0.15">
      <c r="B1097" s="6">
        <f t="shared" ca="1" si="143"/>
        <v>-0.82251063665925861</v>
      </c>
      <c r="C1097" s="6">
        <f t="shared" ca="1" si="143"/>
        <v>1.2981243226971941</v>
      </c>
      <c r="D1097" s="6">
        <f t="shared" ca="1" si="143"/>
        <v>1.7323584833621648</v>
      </c>
      <c r="E1097" s="8">
        <f t="shared" ca="1" si="144"/>
        <v>-1.8727250483220801E-2</v>
      </c>
      <c r="F1097" s="8">
        <f t="shared" ca="1" si="145"/>
        <v>-6.6788498723074777E-4</v>
      </c>
      <c r="G1097" s="8">
        <f t="shared" ca="1" si="146"/>
        <v>-7.9943769614179445E-3</v>
      </c>
      <c r="H1097" s="10">
        <f t="shared" ca="1" si="147"/>
        <v>3940.7913620593854</v>
      </c>
      <c r="I1097" s="10">
        <f t="shared" ca="1" si="148"/>
        <v>543.63667056694646</v>
      </c>
      <c r="J1097" s="10">
        <f t="shared" ca="1" si="149"/>
        <v>2218.1245731142694</v>
      </c>
      <c r="K1097" s="12">
        <f t="array" aca="1" ref="K1097:L1097" ca="1">Opt3Spd(H1097:J1097,$E$3:$G$3,$K$3:$M$3,$N$3:$P$3,$H$3,$I$3,$Q$3,$J$3)</f>
        <v>137.43564088255494</v>
      </c>
      <c r="L1097" s="12">
        <f ca="1"/>
        <v>0.52523828741868783</v>
      </c>
      <c r="M1097" s="12">
        <f t="array" aca="1" ref="M1097:N1097" ca="1">Opt3Spd(H1097:J1097,$E$3:$G$3,$K$3:$M$3,$N$3:$P$3,$H$4,$I$3,$Q$3,$J$3)</f>
        <v>3.0088834688984933E-3</v>
      </c>
      <c r="N1097" s="12">
        <f ca="1"/>
        <v>263.09260628833266</v>
      </c>
      <c r="O1097" s="12">
        <f t="shared" ca="1" si="142"/>
        <v>0.52824717088758633</v>
      </c>
    </row>
    <row r="1098" spans="2:15" x14ac:dyDescent="0.15">
      <c r="B1098" s="6">
        <f t="shared" ca="1" si="143"/>
        <v>-1.0234572603714538</v>
      </c>
      <c r="C1098" s="6">
        <f t="shared" ca="1" si="143"/>
        <v>0.30985211619719366</v>
      </c>
      <c r="D1098" s="6">
        <f t="shared" ca="1" si="143"/>
        <v>-1.4621072090167451</v>
      </c>
      <c r="E1098" s="8">
        <f t="shared" ca="1" si="144"/>
        <v>-2.3302483420390423E-2</v>
      </c>
      <c r="F1098" s="8">
        <f t="shared" ca="1" si="145"/>
        <v>-3.0840594757124071E-2</v>
      </c>
      <c r="G1098" s="8">
        <f t="shared" ca="1" si="146"/>
        <v>-5.2276571309970515E-2</v>
      </c>
      <c r="H1098" s="10">
        <f t="shared" ca="1" si="147"/>
        <v>3922.4172265837119</v>
      </c>
      <c r="I1098" s="10">
        <f t="shared" ca="1" si="148"/>
        <v>527.22271645212447</v>
      </c>
      <c r="J1098" s="10">
        <f t="shared" ca="1" si="149"/>
        <v>2119.109586550906</v>
      </c>
      <c r="K1098" s="12">
        <f t="array" aca="1" ref="K1098:L1098" ca="1">Opt3Spd(H1098:J1098,$E$3:$G$3,$K$3:$M$3,$N$3:$P$3,$H$3,$I$3,$Q$3,$J$3)</f>
        <v>194.34415986685008</v>
      </c>
      <c r="L1098" s="12">
        <f ca="1"/>
        <v>3.8072881990501628E-2</v>
      </c>
      <c r="M1098" s="12">
        <f t="array" aca="1" ref="M1098:N1098" ca="1">Opt3Spd(H1098:J1098,$E$3:$G$3,$K$3:$M$3,$N$3:$P$3,$H$4,$I$3,$Q$3,$J$3)</f>
        <v>5.590691881765153E-2</v>
      </c>
      <c r="N1098" s="12">
        <f ca="1"/>
        <v>205.74981993395807</v>
      </c>
      <c r="O1098" s="12">
        <f t="shared" ca="1" si="142"/>
        <v>9.3979800808153158E-2</v>
      </c>
    </row>
    <row r="1099" spans="2:15" x14ac:dyDescent="0.15">
      <c r="B1099" s="6">
        <f t="shared" ca="1" si="143"/>
        <v>0.16194232211486789</v>
      </c>
      <c r="C1099" s="6">
        <f t="shared" ca="1" si="143"/>
        <v>-1.1646705916203517</v>
      </c>
      <c r="D1099" s="6">
        <f t="shared" ca="1" si="143"/>
        <v>-1.2951187185853876</v>
      </c>
      <c r="E1099" s="8">
        <f t="shared" ca="1" si="144"/>
        <v>3.6871674297093973E-3</v>
      </c>
      <c r="F1099" s="8">
        <f t="shared" ca="1" si="145"/>
        <v>-2.0767016274459694E-2</v>
      </c>
      <c r="G1099" s="8">
        <f t="shared" ca="1" si="146"/>
        <v>-1.1228477399647007E-2</v>
      </c>
      <c r="H1099" s="10">
        <f t="shared" ca="1" si="147"/>
        <v>4030.8076643977129</v>
      </c>
      <c r="I1099" s="10">
        <f t="shared" ca="1" si="148"/>
        <v>532.70274314669393</v>
      </c>
      <c r="J1099" s="10">
        <f t="shared" ca="1" si="149"/>
        <v>2210.8931245343892</v>
      </c>
      <c r="K1099" s="12">
        <f t="array" aca="1" ref="K1099:L1099" ca="1">Opt3Spd(H1099:J1099,$E$3:$G$3,$K$3:$M$3,$N$3:$P$3,$H$3,$I$3,$Q$3,$J$3)</f>
        <v>248.03915431630685</v>
      </c>
      <c r="L1099" s="12">
        <f ca="1"/>
        <v>2.4412204988948361E-3</v>
      </c>
      <c r="M1099" s="12">
        <f t="array" aca="1" ref="M1099:N1099" ca="1">Opt3Spd(H1099:J1099,$E$3:$G$3,$K$3:$M$3,$N$3:$P$3,$H$4,$I$3,$Q$3,$J$3)</f>
        <v>0.58244640480629783</v>
      </c>
      <c r="N1099" s="12">
        <f ca="1"/>
        <v>152.54573330899834</v>
      </c>
      <c r="O1099" s="12">
        <f t="shared" ref="O1099:O1143" ca="1" si="150">L1099+M1099</f>
        <v>0.58488762530519267</v>
      </c>
    </row>
    <row r="1100" spans="2:15" x14ac:dyDescent="0.15">
      <c r="B1100" s="6">
        <f t="shared" ca="1" si="143"/>
        <v>-0.45386213633981004</v>
      </c>
      <c r="C1100" s="6">
        <f t="shared" ca="1" si="143"/>
        <v>-0.10027684210522299</v>
      </c>
      <c r="D1100" s="6">
        <f t="shared" ca="1" si="143"/>
        <v>-0.4070661747370875</v>
      </c>
      <c r="E1100" s="8">
        <f t="shared" ca="1" si="144"/>
        <v>-1.033371428071447E-2</v>
      </c>
      <c r="F1100" s="8">
        <f t="shared" ca="1" si="145"/>
        <v>-1.9140556745293087E-2</v>
      </c>
      <c r="G1100" s="8">
        <f t="shared" ca="1" si="146"/>
        <v>-2.1301755658561052E-2</v>
      </c>
      <c r="H1100" s="10">
        <f t="shared" ca="1" si="147"/>
        <v>3974.4998034486507</v>
      </c>
      <c r="I1100" s="10">
        <f t="shared" ca="1" si="148"/>
        <v>533.58753713056058</v>
      </c>
      <c r="J1100" s="10">
        <f t="shared" ca="1" si="149"/>
        <v>2188.3692743474576</v>
      </c>
      <c r="K1100" s="12">
        <f t="array" aca="1" ref="K1100:L1100" ca="1">Opt3Spd(H1100:J1100,$E$3:$G$3,$K$3:$M$3,$N$3:$P$3,$H$3,$I$3,$Q$3,$J$3)</f>
        <v>201.60377450887427</v>
      </c>
      <c r="L1100" s="12">
        <f ca="1"/>
        <v>2.8667642849086405E-2</v>
      </c>
      <c r="M1100" s="12">
        <f t="array" aca="1" ref="M1100:N1100" ca="1">Opt3Spd(H1100:J1100,$E$3:$G$3,$K$3:$M$3,$N$3:$P$3,$H$4,$I$3,$Q$3,$J$3)</f>
        <v>8.3501408655672904E-2</v>
      </c>
      <c r="N1100" s="12">
        <f ca="1"/>
        <v>198.5083945426305</v>
      </c>
      <c r="O1100" s="12">
        <f t="shared" ca="1" si="150"/>
        <v>0.11216905150475931</v>
      </c>
    </row>
    <row r="1101" spans="2:15" x14ac:dyDescent="0.15">
      <c r="B1101" s="6">
        <f t="shared" ca="1" si="143"/>
        <v>-1.9770100614321839</v>
      </c>
      <c r="C1101" s="6">
        <f t="shared" ca="1" si="143"/>
        <v>-1.05362253525411</v>
      </c>
      <c r="D1101" s="6">
        <f t="shared" ca="1" si="143"/>
        <v>0.84680613184328835</v>
      </c>
      <c r="E1101" s="8">
        <f t="shared" ca="1" si="144"/>
        <v>-4.5013354208604792E-2</v>
      </c>
      <c r="F1101" s="8">
        <f t="shared" ca="1" si="145"/>
        <v>-9.7555454852527451E-2</v>
      </c>
      <c r="G1101" s="8">
        <f t="shared" ca="1" si="146"/>
        <v>-6.6669698388055212E-2</v>
      </c>
      <c r="H1101" s="10">
        <f t="shared" ca="1" si="147"/>
        <v>3835.2263694982435</v>
      </c>
      <c r="I1101" s="10">
        <f t="shared" ca="1" si="148"/>
        <v>490.92983256022507</v>
      </c>
      <c r="J1101" s="10">
        <f t="shared" ca="1" si="149"/>
        <v>2086.9265544043083</v>
      </c>
      <c r="K1101" s="12">
        <f t="array" aca="1" ref="K1101:L1101" ca="1">Opt3Spd(H1101:J1101,$E$3:$G$3,$K$3:$M$3,$N$3:$P$3,$H$3,$I$3,$Q$3,$J$3)</f>
        <v>181.34373280056275</v>
      </c>
      <c r="L1101" s="12">
        <f ca="1"/>
        <v>6.8372600833527031E-2</v>
      </c>
      <c r="M1101" s="12">
        <f t="array" aca="1" ref="M1101:N1101" ca="1">Opt3Spd(H1101:J1101,$E$3:$G$3,$K$3:$M$3,$N$3:$P$3,$H$4,$I$3,$Q$3,$J$3)</f>
        <v>2.8492670612611182E-2</v>
      </c>
      <c r="N1101" s="12">
        <f ca="1"/>
        <v>218.7531324708834</v>
      </c>
      <c r="O1101" s="12">
        <f t="shared" ca="1" si="150"/>
        <v>9.6865271446138212E-2</v>
      </c>
    </row>
    <row r="1102" spans="2:15" x14ac:dyDescent="0.15">
      <c r="B1102" s="6">
        <f t="shared" ca="1" si="143"/>
        <v>-0.61649350836147676</v>
      </c>
      <c r="C1102" s="6">
        <f t="shared" ca="1" si="143"/>
        <v>1.02335483419335</v>
      </c>
      <c r="D1102" s="6">
        <f t="shared" ca="1" si="143"/>
        <v>3.4176101867111277</v>
      </c>
      <c r="E1102" s="8">
        <f t="shared" ca="1" si="144"/>
        <v>-1.4036570273738346E-2</v>
      </c>
      <c r="F1102" s="8">
        <f t="shared" ca="1" si="145"/>
        <v>6.5747725793796705E-4</v>
      </c>
      <c r="G1102" s="8">
        <f t="shared" ca="1" si="146"/>
        <v>1.6729787511589073E-2</v>
      </c>
      <c r="H1102" s="10">
        <f t="shared" ca="1" si="147"/>
        <v>3959.6291337806665</v>
      </c>
      <c r="I1102" s="10">
        <f t="shared" ca="1" si="148"/>
        <v>544.35766762831827</v>
      </c>
      <c r="J1102" s="10">
        <f t="shared" ca="1" si="149"/>
        <v>2273.4078048759129</v>
      </c>
      <c r="K1102" s="12">
        <f t="array" aca="1" ref="K1102:L1102" ca="1">Opt3Spd(H1102:J1102,$E$3:$G$3,$K$3:$M$3,$N$3:$P$3,$H$3,$I$3,$Q$3,$J$3)</f>
        <v>127.74691851820717</v>
      </c>
      <c r="L1102" s="12">
        <f ca="1"/>
        <v>0.79395538080643746</v>
      </c>
      <c r="M1102" s="12">
        <f t="array" aca="1" ref="M1102:N1102" ca="1">Opt3Spd(H1102:J1102,$E$3:$G$3,$K$3:$M$3,$N$3:$P$3,$H$4,$I$3,$Q$3,$J$3)</f>
        <v>1.8071492889231155E-3</v>
      </c>
      <c r="N1102" s="12">
        <f ca="1"/>
        <v>273.04884401188821</v>
      </c>
      <c r="O1102" s="12">
        <f t="shared" ca="1" si="150"/>
        <v>0.79576253009536058</v>
      </c>
    </row>
    <row r="1103" spans="2:15" x14ac:dyDescent="0.15">
      <c r="B1103" s="6">
        <f t="shared" ca="1" si="143"/>
        <v>0.35774419328641333</v>
      </c>
      <c r="C1103" s="6">
        <f t="shared" ca="1" si="143"/>
        <v>0.26932284391172268</v>
      </c>
      <c r="D1103" s="6">
        <f t="shared" ca="1" si="143"/>
        <v>-0.80593846734744157</v>
      </c>
      <c r="E1103" s="8">
        <f t="shared" ca="1" si="144"/>
        <v>8.1452625874890022E-3</v>
      </c>
      <c r="F1103" s="8">
        <f t="shared" ca="1" si="145"/>
        <v>1.9461317721358236E-2</v>
      </c>
      <c r="G1103" s="8">
        <f t="shared" ca="1" si="146"/>
        <v>5.3390699500674302E-3</v>
      </c>
      <c r="H1103" s="10">
        <f t="shared" ca="1" si="147"/>
        <v>4048.7113745513557</v>
      </c>
      <c r="I1103" s="10">
        <f t="shared" ca="1" si="148"/>
        <v>554.58695684041891</v>
      </c>
      <c r="J1103" s="10">
        <f t="shared" ca="1" si="149"/>
        <v>2247.938160408351</v>
      </c>
      <c r="K1103" s="12">
        <f t="array" aca="1" ref="K1103:L1103" ca="1">Opt3Spd(H1103:J1103,$E$3:$G$3,$K$3:$M$3,$N$3:$P$3,$H$3,$I$3,$Q$3,$J$3)</f>
        <v>212.42120058998194</v>
      </c>
      <c r="L1103" s="12">
        <f ca="1"/>
        <v>1.8037187471918514E-2</v>
      </c>
      <c r="M1103" s="12">
        <f t="array" aca="1" ref="M1103:N1103" ca="1">Opt3Spd(H1103:J1103,$E$3:$G$3,$K$3:$M$3,$N$3:$P$3,$H$4,$I$3,$Q$3,$J$3)</f>
        <v>0.14270572854720953</v>
      </c>
      <c r="N1103" s="12">
        <f ca="1"/>
        <v>187.7395423260372</v>
      </c>
      <c r="O1103" s="12">
        <f t="shared" ca="1" si="150"/>
        <v>0.16074291601912805</v>
      </c>
    </row>
    <row r="1104" spans="2:15" x14ac:dyDescent="0.15">
      <c r="B1104" s="6">
        <f t="shared" ca="1" si="143"/>
        <v>-0.38226699388636837</v>
      </c>
      <c r="C1104" s="6">
        <f t="shared" ca="1" si="143"/>
        <v>0.8663524351458245</v>
      </c>
      <c r="D1104" s="6">
        <f t="shared" ca="1" si="143"/>
        <v>-1.4743862812353128</v>
      </c>
      <c r="E1104" s="8">
        <f t="shared" ca="1" si="144"/>
        <v>-8.7036074999034124E-3</v>
      </c>
      <c r="F1104" s="8">
        <f t="shared" ca="1" si="145"/>
        <v>5.7365132447477355E-3</v>
      </c>
      <c r="G1104" s="8">
        <f t="shared" ca="1" si="146"/>
        <v>-2.7235589031523882E-2</v>
      </c>
      <c r="H1104" s="10">
        <f t="shared" ca="1" si="147"/>
        <v>3981.0463122803881</v>
      </c>
      <c r="I1104" s="10">
        <f t="shared" ca="1" si="148"/>
        <v>547.12066320514282</v>
      </c>
      <c r="J1104" s="10">
        <f t="shared" ca="1" si="149"/>
        <v>2175.1012229255125</v>
      </c>
      <c r="K1104" s="12">
        <f t="array" aca="1" ref="K1104:L1104" ca="1">Opt3Spd(H1104:J1104,$E$3:$G$3,$K$3:$M$3,$N$3:$P$3,$H$3,$I$3,$Q$3,$J$3)</f>
        <v>193.145971957857</v>
      </c>
      <c r="L1104" s="12">
        <f ca="1"/>
        <v>4.3332268453696088E-2</v>
      </c>
      <c r="M1104" s="12">
        <f t="array" aca="1" ref="M1104:N1104" ca="1">Opt3Spd(H1104:J1104,$E$3:$G$3,$K$3:$M$3,$N$3:$P$3,$H$4,$I$3,$Q$3,$J$3)</f>
        <v>5.5865027802252776E-2</v>
      </c>
      <c r="N1104" s="12">
        <f ca="1"/>
        <v>206.95322533839894</v>
      </c>
      <c r="O1104" s="12">
        <f t="shared" ca="1" si="150"/>
        <v>9.9197296255948864E-2</v>
      </c>
    </row>
    <row r="1105" spans="2:15" x14ac:dyDescent="0.15">
      <c r="B1105" s="6">
        <f t="shared" ca="1" si="143"/>
        <v>0.5465054607978258</v>
      </c>
      <c r="C1105" s="6">
        <f t="shared" ca="1" si="143"/>
        <v>0.55719215951262158</v>
      </c>
      <c r="D1105" s="6">
        <f t="shared" ca="1" si="143"/>
        <v>-1.322209373339076E-2</v>
      </c>
      <c r="E1105" s="8">
        <f t="shared" ca="1" si="144"/>
        <v>1.2443054470855131E-2</v>
      </c>
      <c r="F1105" s="8">
        <f t="shared" ca="1" si="145"/>
        <v>3.3080819931661801E-2</v>
      </c>
      <c r="G1105" s="8">
        <f t="shared" ca="1" si="146"/>
        <v>2.155437882922355E-2</v>
      </c>
      <c r="H1105" s="10">
        <f t="shared" ca="1" si="147"/>
        <v>4065.9713067549542</v>
      </c>
      <c r="I1105" s="10">
        <f t="shared" ca="1" si="148"/>
        <v>561.99596604282408</v>
      </c>
      <c r="J1105" s="10">
        <f t="shared" ca="1" si="149"/>
        <v>2284.1955910621441</v>
      </c>
      <c r="K1105" s="12">
        <f t="array" aca="1" ref="K1105:L1105" ca="1">Opt3Spd(H1105:J1105,$E$3:$G$3,$K$3:$M$3,$N$3:$P$3,$H$3,$I$3,$Q$3,$J$3)</f>
        <v>199.71564930199474</v>
      </c>
      <c r="L1105" s="12">
        <f ca="1"/>
        <v>3.5683746631320901E-2</v>
      </c>
      <c r="M1105" s="12">
        <f t="array" aca="1" ref="M1105:N1105" ca="1">Opt3Spd(H1105:J1105,$E$3:$G$3,$K$3:$M$3,$N$3:$P$3,$H$4,$I$3,$Q$3,$J$3)</f>
        <v>8.3883957767975303E-2</v>
      </c>
      <c r="N1105" s="12">
        <f ca="1"/>
        <v>200.40391840240454</v>
      </c>
      <c r="O1105" s="12">
        <f t="shared" ca="1" si="150"/>
        <v>0.1195677043992962</v>
      </c>
    </row>
    <row r="1106" spans="2:15" x14ac:dyDescent="0.15">
      <c r="B1106" s="6">
        <f t="shared" ca="1" si="143"/>
        <v>-0.37508834127614926</v>
      </c>
      <c r="C1106" s="6">
        <f t="shared" ca="1" si="143"/>
        <v>1.1573095749091407</v>
      </c>
      <c r="D1106" s="6">
        <f t="shared" ca="1" si="143"/>
        <v>1.427362179140417</v>
      </c>
      <c r="E1106" s="8">
        <f t="shared" ca="1" si="144"/>
        <v>-8.540161071891695E-3</v>
      </c>
      <c r="F1106" s="8">
        <f t="shared" ca="1" si="145"/>
        <v>1.2691462087578865E-2</v>
      </c>
      <c r="G1106" s="8">
        <f t="shared" ca="1" si="146"/>
        <v>4.7852672367624353E-3</v>
      </c>
      <c r="H1106" s="10">
        <f t="shared" ca="1" si="147"/>
        <v>3981.7027131352829</v>
      </c>
      <c r="I1106" s="10">
        <f t="shared" ca="1" si="148"/>
        <v>550.90415537564286</v>
      </c>
      <c r="J1106" s="10">
        <f t="shared" ca="1" si="149"/>
        <v>2246.6998575414009</v>
      </c>
      <c r="K1106" s="12">
        <f t="array" aca="1" ref="K1106:L1106" ca="1">Opt3Spd(H1106:J1106,$E$3:$G$3,$K$3:$M$3,$N$3:$P$3,$H$3,$I$3,$Q$3,$J$3)</f>
        <v>152.20027142636172</v>
      </c>
      <c r="L1106" s="12">
        <f ca="1"/>
        <v>0.29413566280800296</v>
      </c>
      <c r="M1106" s="12">
        <f t="array" aca="1" ref="M1106:N1106" ca="1">Opt3Spd(H1106:J1106,$E$3:$G$3,$K$3:$M$3,$N$3:$P$3,$H$4,$I$3,$Q$3,$J$3)</f>
        <v>7.3471612663652541E-3</v>
      </c>
      <c r="N1106" s="12">
        <f ca="1"/>
        <v>248.10121139771263</v>
      </c>
      <c r="O1106" s="12">
        <f t="shared" ca="1" si="150"/>
        <v>0.30148282407436822</v>
      </c>
    </row>
    <row r="1107" spans="2:15" x14ac:dyDescent="0.15">
      <c r="B1107" s="6">
        <f t="shared" ca="1" si="143"/>
        <v>-1.3633174565644948</v>
      </c>
      <c r="C1107" s="6">
        <f t="shared" ca="1" si="143"/>
        <v>-0.56928978384482354</v>
      </c>
      <c r="D1107" s="6">
        <f t="shared" ca="1" si="143"/>
        <v>0.53615005181439124</v>
      </c>
      <c r="E1107" s="8">
        <f t="shared" ca="1" si="144"/>
        <v>-3.1040556023602631E-2</v>
      </c>
      <c r="F1107" s="8">
        <f t="shared" ca="1" si="145"/>
        <v>-6.3657355746842351E-2</v>
      </c>
      <c r="G1107" s="8">
        <f t="shared" ca="1" si="146"/>
        <v>-4.6027062317306439E-2</v>
      </c>
      <c r="H1107" s="10">
        <f t="shared" ca="1" si="147"/>
        <v>3891.3411270092115</v>
      </c>
      <c r="I1107" s="10">
        <f t="shared" ca="1" si="148"/>
        <v>509.37039847371773</v>
      </c>
      <c r="J1107" s="10">
        <f t="shared" ca="1" si="149"/>
        <v>2133.0834886585026</v>
      </c>
      <c r="K1107" s="12">
        <f t="array" aca="1" ref="K1107:L1107" ca="1">Opt3Spd(H1107:J1107,$E$3:$G$3,$K$3:$M$3,$N$3:$P$3,$H$3,$I$3,$Q$3,$J$3)</f>
        <v>184.86740463607794</v>
      </c>
      <c r="L1107" s="12">
        <f ca="1"/>
        <v>6.065951406617387E-2</v>
      </c>
      <c r="M1107" s="12">
        <f t="array" aca="1" ref="M1107:N1107" ca="1">Opt3Spd(H1107:J1107,$E$3:$G$3,$K$3:$M$3,$N$3:$P$3,$H$4,$I$3,$Q$3,$J$3)</f>
        <v>3.5591948756248826E-2</v>
      </c>
      <c r="N1107" s="12">
        <f ca="1"/>
        <v>215.22884682674447</v>
      </c>
      <c r="O1107" s="12">
        <f t="shared" ca="1" si="150"/>
        <v>9.6251462822422695E-2</v>
      </c>
    </row>
    <row r="1108" spans="2:15" x14ac:dyDescent="0.15">
      <c r="B1108" s="6">
        <f t="shared" ca="1" si="143"/>
        <v>-1.2233661191143026</v>
      </c>
      <c r="C1108" s="6">
        <f t="shared" ca="1" si="143"/>
        <v>-1.8111768150143835E-2</v>
      </c>
      <c r="D1108" s="6">
        <f t="shared" ca="1" si="143"/>
        <v>-0.72416795857026417</v>
      </c>
      <c r="E1108" s="8">
        <f t="shared" ca="1" si="144"/>
        <v>-2.7854088110510742E-2</v>
      </c>
      <c r="F1108" s="8">
        <f t="shared" ca="1" si="145"/>
        <v>-4.579531421006261E-2</v>
      </c>
      <c r="G1108" s="8">
        <f t="shared" ca="1" si="146"/>
        <v>-5.2711660332379617E-2</v>
      </c>
      <c r="H1108" s="10">
        <f t="shared" ca="1" si="147"/>
        <v>3904.1379821481892</v>
      </c>
      <c r="I1108" s="10">
        <f t="shared" ca="1" si="148"/>
        <v>519.08734906972586</v>
      </c>
      <c r="J1108" s="10">
        <f t="shared" ca="1" si="149"/>
        <v>2118.1367274967993</v>
      </c>
      <c r="K1108" s="12">
        <f t="array" aca="1" ref="K1108:L1108" ca="1">Opt3Spd(H1108:J1108,$E$3:$G$3,$K$3:$M$3,$N$3:$P$3,$H$3,$I$3,$Q$3,$J$3)</f>
        <v>189.57769829446966</v>
      </c>
      <c r="L1108" s="12">
        <f ca="1"/>
        <v>4.7838406241680786E-2</v>
      </c>
      <c r="M1108" s="12">
        <f t="array" aca="1" ref="M1108:N1108" ca="1">Opt3Spd(H1108:J1108,$E$3:$G$3,$K$3:$M$3,$N$3:$P$3,$H$4,$I$3,$Q$3,$J$3)</f>
        <v>4.4305793510673652E-2</v>
      </c>
      <c r="N1108" s="12">
        <f ca="1"/>
        <v>210.51444590528268</v>
      </c>
      <c r="O1108" s="12">
        <f t="shared" ca="1" si="150"/>
        <v>9.2144199752354439E-2</v>
      </c>
    </row>
    <row r="1109" spans="2:15" x14ac:dyDescent="0.15">
      <c r="B1109" s="6">
        <f t="shared" ca="1" si="143"/>
        <v>-0.68141592383060134</v>
      </c>
      <c r="C1109" s="6">
        <f t="shared" ca="1" si="143"/>
        <v>-1.6916793008928535</v>
      </c>
      <c r="D1109" s="6">
        <f t="shared" ca="1" si="143"/>
        <v>-0.97469497423851303</v>
      </c>
      <c r="E1109" s="8">
        <f t="shared" ca="1" si="144"/>
        <v>-1.5514749743130062E-2</v>
      </c>
      <c r="F1109" s="8">
        <f t="shared" ca="1" si="145"/>
        <v>-6.41652778657468E-2</v>
      </c>
      <c r="G1109" s="8">
        <f t="shared" ca="1" si="146"/>
        <v>-4.0328487241422781E-2</v>
      </c>
      <c r="H1109" s="10">
        <f t="shared" ca="1" si="147"/>
        <v>3953.6927650315897</v>
      </c>
      <c r="I1109" s="10">
        <f t="shared" ca="1" si="148"/>
        <v>509.09408884103374</v>
      </c>
      <c r="J1109" s="10">
        <f t="shared" ca="1" si="149"/>
        <v>2145.8255025281787</v>
      </c>
      <c r="K1109" s="12">
        <f t="array" aca="1" ref="K1109:L1109" ca="1">Opt3Spd(H1109:J1109,$E$3:$G$3,$K$3:$M$3,$N$3:$P$3,$H$3,$I$3,$Q$3,$J$3)</f>
        <v>241.23270250993119</v>
      </c>
      <c r="L1109" s="12">
        <f ca="1"/>
        <v>3.2308880849996058E-3</v>
      </c>
      <c r="M1109" s="12">
        <f t="array" aca="1" ref="M1109:N1109" ca="1">Opt3Spd(H1109:J1109,$E$3:$G$3,$K$3:$M$3,$N$3:$P$3,$H$4,$I$3,$Q$3,$J$3)</f>
        <v>0.43256996834951877</v>
      </c>
      <c r="N1109" s="12">
        <f ca="1"/>
        <v>159.20309834650334</v>
      </c>
      <c r="O1109" s="12">
        <f t="shared" ca="1" si="150"/>
        <v>0.43580085643451838</v>
      </c>
    </row>
    <row r="1110" spans="2:15" x14ac:dyDescent="0.15">
      <c r="B1110" s="6">
        <f t="shared" ca="1" si="143"/>
        <v>-0.41625542858844911</v>
      </c>
      <c r="C1110" s="6">
        <f t="shared" ca="1" si="143"/>
        <v>-0.91623603538668996</v>
      </c>
      <c r="D1110" s="6">
        <f t="shared" ca="1" si="143"/>
        <v>-0.86385299333862464</v>
      </c>
      <c r="E1110" s="8">
        <f t="shared" ca="1" si="144"/>
        <v>-9.4774697477932809E-3</v>
      </c>
      <c r="F1110" s="8">
        <f t="shared" ca="1" si="145"/>
        <v>-3.6503267261436975E-2</v>
      </c>
      <c r="G1110" s="8">
        <f t="shared" ca="1" si="146"/>
        <v>-2.715502697712046E-2</v>
      </c>
      <c r="H1110" s="10">
        <f t="shared" ca="1" si="147"/>
        <v>3977.9384814928621</v>
      </c>
      <c r="I1110" s="10">
        <f t="shared" ca="1" si="148"/>
        <v>524.14222260977829</v>
      </c>
      <c r="J1110" s="10">
        <f t="shared" ca="1" si="149"/>
        <v>2175.2813596791584</v>
      </c>
      <c r="K1110" s="12">
        <f t="array" aca="1" ref="K1110:L1110" ca="1">Opt3Spd(H1110:J1110,$E$3:$G$3,$K$3:$M$3,$N$3:$P$3,$H$3,$I$3,$Q$3,$J$3)</f>
        <v>226.67784738437899</v>
      </c>
      <c r="L1110" s="12">
        <f ca="1"/>
        <v>7.6019067412289587E-3</v>
      </c>
      <c r="M1110" s="12">
        <f t="array" aca="1" ref="M1110:N1110" ca="1">Opt3Spd(H1110:J1110,$E$3:$G$3,$K$3:$M$3,$N$3:$P$3,$H$4,$I$3,$Q$3,$J$3)</f>
        <v>0.24597166448917918</v>
      </c>
      <c r="N1110" s="12">
        <f ca="1"/>
        <v>173.57572618685143</v>
      </c>
      <c r="O1110" s="12">
        <f t="shared" ca="1" si="150"/>
        <v>0.25357357123040813</v>
      </c>
    </row>
    <row r="1111" spans="2:15" x14ac:dyDescent="0.15">
      <c r="B1111" s="6">
        <f t="shared" ca="1" si="143"/>
        <v>0.90795837623878894</v>
      </c>
      <c r="C1111" s="6">
        <f t="shared" ca="1" si="143"/>
        <v>1.2609923204212401</v>
      </c>
      <c r="D1111" s="6">
        <f t="shared" ca="1" si="143"/>
        <v>2.0869606960043723</v>
      </c>
      <c r="E1111" s="8">
        <f t="shared" ca="1" si="144"/>
        <v>2.0672758724707287E-2</v>
      </c>
      <c r="F1111" s="8">
        <f t="shared" ca="1" si="145"/>
        <v>6.266768775317258E-2</v>
      </c>
      <c r="G1111" s="8">
        <f t="shared" ca="1" si="146"/>
        <v>5.9250043983557182E-2</v>
      </c>
      <c r="H1111" s="10">
        <f t="shared" ca="1" si="147"/>
        <v>4099.0217990384244</v>
      </c>
      <c r="I1111" s="10">
        <f t="shared" ca="1" si="148"/>
        <v>578.09122213772594</v>
      </c>
      <c r="J1111" s="10">
        <f t="shared" ca="1" si="149"/>
        <v>2368.4830983472339</v>
      </c>
      <c r="K1111" s="12">
        <f t="array" aca="1" ref="K1111:L1111" ca="1">Opt3Spd(H1111:J1111,$E$3:$G$3,$K$3:$M$3,$N$3:$P$3,$H$3,$I$3,$Q$3,$J$3)</f>
        <v>165.02581976996316</v>
      </c>
      <c r="L1111" s="12">
        <f ca="1"/>
        <v>0.19152532551697732</v>
      </c>
      <c r="M1111" s="12">
        <f t="array" aca="1" ref="M1111:N1111" ca="1">Opt3Spd(H1111:J1111,$E$3:$G$3,$K$3:$M$3,$N$3:$P$3,$H$4,$I$3,$Q$3,$J$3)</f>
        <v>1.7168626446955937E-2</v>
      </c>
      <c r="N1111" s="12">
        <f ca="1"/>
        <v>235.18287418200077</v>
      </c>
      <c r="O1111" s="12">
        <f t="shared" ca="1" si="150"/>
        <v>0.20869395196393326</v>
      </c>
    </row>
    <row r="1112" spans="2:15" x14ac:dyDescent="0.15">
      <c r="B1112" s="6">
        <f t="shared" ca="1" si="143"/>
        <v>-1.3014779608993561</v>
      </c>
      <c r="C1112" s="6">
        <f t="shared" ca="1" si="143"/>
        <v>0.39661636610681961</v>
      </c>
      <c r="D1112" s="6">
        <f t="shared" ca="1" si="143"/>
        <v>1.7500454495262101</v>
      </c>
      <c r="E1112" s="8">
        <f t="shared" ca="1" si="144"/>
        <v>-2.9632569702865409E-2</v>
      </c>
      <c r="F1112" s="8">
        <f t="shared" ca="1" si="145"/>
        <v>-3.9158780616180826E-2</v>
      </c>
      <c r="G1112" s="8">
        <f t="shared" ca="1" si="146"/>
        <v>-2.8019488693071234E-2</v>
      </c>
      <c r="H1112" s="10">
        <f t="shared" ca="1" si="147"/>
        <v>3896.9956000732923</v>
      </c>
      <c r="I1112" s="10">
        <f t="shared" ca="1" si="148"/>
        <v>522.69762334479765</v>
      </c>
      <c r="J1112" s="10">
        <f t="shared" ca="1" si="149"/>
        <v>2173.3484232822925</v>
      </c>
      <c r="K1112" s="12">
        <f t="array" aca="1" ref="K1112:L1112" ca="1">Opt3Spd(H1112:J1112,$E$3:$G$3,$K$3:$M$3,$N$3:$P$3,$H$3,$I$3,$Q$3,$J$3)</f>
        <v>149.31539316071121</v>
      </c>
      <c r="L1112" s="12">
        <f ca="1"/>
        <v>0.31020208024142448</v>
      </c>
      <c r="M1112" s="12">
        <f t="array" aca="1" ref="M1112:N1112" ca="1">Opt3Spd(H1112:J1112,$E$3:$G$3,$K$3:$M$3,$N$3:$P$3,$H$4,$I$3,$Q$3,$J$3)</f>
        <v>5.6088960366198481E-3</v>
      </c>
      <c r="N1112" s="12">
        <f ca="1"/>
        <v>251.00041781556683</v>
      </c>
      <c r="O1112" s="12">
        <f t="shared" ca="1" si="150"/>
        <v>0.31581097627804433</v>
      </c>
    </row>
    <row r="1113" spans="2:15" x14ac:dyDescent="0.15">
      <c r="B1113" s="6">
        <f t="shared" ca="1" si="143"/>
        <v>-9.5167051355279406E-2</v>
      </c>
      <c r="C1113" s="6">
        <f t="shared" ca="1" si="143"/>
        <v>-1.4313668804013548</v>
      </c>
      <c r="D1113" s="6">
        <f t="shared" ca="1" si="143"/>
        <v>0.94696128798164592</v>
      </c>
      <c r="E1113" s="8">
        <f t="shared" ca="1" si="144"/>
        <v>-2.1668014114912581E-3</v>
      </c>
      <c r="F1113" s="8">
        <f t="shared" ca="1" si="145"/>
        <v>-3.6435054045755741E-2</v>
      </c>
      <c r="G1113" s="8">
        <f t="shared" ca="1" si="146"/>
        <v>2.4365310001495505E-3</v>
      </c>
      <c r="H1113" s="10">
        <f t="shared" ca="1" si="147"/>
        <v>4007.2981255314512</v>
      </c>
      <c r="I1113" s="10">
        <f t="shared" ca="1" si="148"/>
        <v>524.17933059910888</v>
      </c>
      <c r="J1113" s="10">
        <f t="shared" ca="1" si="149"/>
        <v>2241.4480833163343</v>
      </c>
      <c r="K1113" s="12">
        <f t="array" aca="1" ref="K1113:L1113" ca="1">Opt3Spd(H1113:J1113,$E$3:$G$3,$K$3:$M$3,$N$3:$P$3,$H$3,$I$3,$Q$3,$J$3)</f>
        <v>222.89727603150959</v>
      </c>
      <c r="L1113" s="12">
        <f ca="1"/>
        <v>1.0121116799837182E-2</v>
      </c>
      <c r="M1113" s="12">
        <f t="array" aca="1" ref="M1113:N1113" ca="1">Opt3Spd(H1113:J1113,$E$3:$G$3,$K$3:$M$3,$N$3:$P$3,$H$4,$I$3,$Q$3,$J$3)</f>
        <v>0.219991745605018</v>
      </c>
      <c r="N1113" s="12">
        <f ca="1"/>
        <v>177.33283683089527</v>
      </c>
      <c r="O1113" s="12">
        <f t="shared" ca="1" si="150"/>
        <v>0.23011286240485518</v>
      </c>
    </row>
    <row r="1114" spans="2:15" x14ac:dyDescent="0.15">
      <c r="B1114" s="6">
        <f t="shared" ca="1" si="143"/>
        <v>-9.6429475460512674E-4</v>
      </c>
      <c r="C1114" s="6">
        <f t="shared" ca="1" si="143"/>
        <v>-1.3056231754680097</v>
      </c>
      <c r="D1114" s="6">
        <f t="shared" ca="1" si="143"/>
        <v>-0.73995747526128097</v>
      </c>
      <c r="E1114" s="8">
        <f t="shared" ca="1" si="144"/>
        <v>-2.1955447874198458E-5</v>
      </c>
      <c r="F1114" s="8">
        <f t="shared" ca="1" si="145"/>
        <v>-3.0050083697530094E-2</v>
      </c>
      <c r="G1114" s="8">
        <f t="shared" ca="1" si="146"/>
        <v>-1.170841991639213E-2</v>
      </c>
      <c r="H1114" s="10">
        <f t="shared" ca="1" si="147"/>
        <v>4015.9118269213373</v>
      </c>
      <c r="I1114" s="10">
        <f t="shared" ca="1" si="148"/>
        <v>527.65275446854355</v>
      </c>
      <c r="J1114" s="10">
        <f t="shared" ca="1" si="149"/>
        <v>2209.8199730669471</v>
      </c>
      <c r="K1114" s="12">
        <f t="array" aca="1" ref="K1114:L1114" ca="1">Opt3Spd(H1114:J1114,$E$3:$G$3,$K$3:$M$3,$N$3:$P$3,$H$3,$I$3,$Q$3,$J$3)</f>
        <v>241.76090220767082</v>
      </c>
      <c r="L1114" s="12">
        <f ca="1"/>
        <v>3.4689694771259383E-3</v>
      </c>
      <c r="M1114" s="12">
        <f t="array" aca="1" ref="M1114:N1114" ca="1">Opt3Spd(H1114:J1114,$E$3:$G$3,$K$3:$M$3,$N$3:$P$3,$H$4,$I$3,$Q$3,$J$3)</f>
        <v>0.45864109330875635</v>
      </c>
      <c r="N1114" s="12">
        <f ca="1"/>
        <v>158.70120785511506</v>
      </c>
      <c r="O1114" s="12">
        <f t="shared" ca="1" si="150"/>
        <v>0.46211006278588229</v>
      </c>
    </row>
    <row r="1115" spans="2:15" x14ac:dyDescent="0.15">
      <c r="B1115" s="6">
        <f t="shared" ca="1" si="143"/>
        <v>1.2133298139850737</v>
      </c>
      <c r="C1115" s="6">
        <f t="shared" ca="1" si="143"/>
        <v>0.11239079238714586</v>
      </c>
      <c r="D1115" s="6">
        <f t="shared" ca="1" si="143"/>
        <v>0.2092317145185226</v>
      </c>
      <c r="E1115" s="8">
        <f t="shared" ca="1" si="144"/>
        <v>2.7625577509305027E-2</v>
      </c>
      <c r="F1115" s="8">
        <f t="shared" ca="1" si="145"/>
        <v>4.7590365433082815E-2</v>
      </c>
      <c r="G1115" s="8">
        <f t="shared" ca="1" si="146"/>
        <v>4.7130988257475713E-2</v>
      </c>
      <c r="H1115" s="10">
        <f t="shared" ca="1" si="147"/>
        <v>4126.9443192773688</v>
      </c>
      <c r="I1115" s="10">
        <f t="shared" ca="1" si="148"/>
        <v>569.88915879559715</v>
      </c>
      <c r="J1115" s="10">
        <f t="shared" ca="1" si="149"/>
        <v>2341.3848897437156</v>
      </c>
      <c r="K1115" s="12">
        <f t="array" aca="1" ref="K1115:L1115" ca="1">Opt3Spd(H1115:J1115,$E$3:$G$3,$K$3:$M$3,$N$3:$P$3,$H$3,$I$3,$Q$3,$J$3)</f>
        <v>219.44350511036168</v>
      </c>
      <c r="L1115" s="12">
        <f ca="1"/>
        <v>1.42847778063242E-2</v>
      </c>
      <c r="M1115" s="12">
        <f t="array" aca="1" ref="M1115:N1115" ca="1">Opt3Spd(H1115:J1115,$E$3:$G$3,$K$3:$M$3,$N$3:$P$3,$H$4,$I$3,$Q$3,$J$3)</f>
        <v>0.20695901151085039</v>
      </c>
      <c r="N1115" s="12">
        <f ca="1"/>
        <v>180.7777386789555</v>
      </c>
      <c r="O1115" s="12">
        <f t="shared" ca="1" si="150"/>
        <v>0.22124378931717459</v>
      </c>
    </row>
    <row r="1116" spans="2:15" x14ac:dyDescent="0.15">
      <c r="B1116" s="6">
        <f t="shared" ca="1" si="143"/>
        <v>0.83558234083575933</v>
      </c>
      <c r="C1116" s="6">
        <f t="shared" ca="1" si="143"/>
        <v>-1.8250715929942598</v>
      </c>
      <c r="D1116" s="6">
        <f t="shared" ca="1" si="143"/>
        <v>0.14110446125898785</v>
      </c>
      <c r="E1116" s="8">
        <f t="shared" ca="1" si="144"/>
        <v>1.9024872261524078E-2</v>
      </c>
      <c r="F1116" s="8">
        <f t="shared" ca="1" si="145"/>
        <v>-1.0960965339776226E-2</v>
      </c>
      <c r="G1116" s="8">
        <f t="shared" ca="1" si="146"/>
        <v>2.6903000151174777E-2</v>
      </c>
      <c r="H1116" s="10">
        <f t="shared" ca="1" si="147"/>
        <v>4092.4038870022805</v>
      </c>
      <c r="I1116" s="10">
        <f t="shared" ca="1" si="148"/>
        <v>538.03723485516173</v>
      </c>
      <c r="J1116" s="10">
        <f t="shared" ca="1" si="149"/>
        <v>2296.1551083380268</v>
      </c>
      <c r="K1116" s="12">
        <f t="array" aca="1" ref="K1116:L1116" ca="1">Opt3Spd(H1116:J1116,$E$3:$G$3,$K$3:$M$3,$N$3:$P$3,$H$3,$I$3,$Q$3,$J$3)</f>
        <v>258.46828497266188</v>
      </c>
      <c r="L1116" s="12">
        <f ca="1"/>
        <v>1.5279076537808578E-3</v>
      </c>
      <c r="M1116" s="12">
        <f t="array" aca="1" ref="M1116:N1116" ca="1">Opt3Spd(H1116:J1116,$E$3:$G$3,$K$3:$M$3,$N$3:$P$3,$H$4,$I$3,$Q$3,$J$3)</f>
        <v>0.88906244626230091</v>
      </c>
      <c r="N1116" s="12">
        <f ca="1"/>
        <v>142.4223053812542</v>
      </c>
      <c r="O1116" s="12">
        <f t="shared" ca="1" si="150"/>
        <v>0.89059035391608177</v>
      </c>
    </row>
    <row r="1117" spans="2:15" x14ac:dyDescent="0.15">
      <c r="B1117" s="6">
        <f t="shared" ca="1" si="143"/>
        <v>0.24408072621475085</v>
      </c>
      <c r="C1117" s="6">
        <f t="shared" ca="1" si="143"/>
        <v>0.96894494320166036</v>
      </c>
      <c r="D1117" s="6">
        <f t="shared" ca="1" si="143"/>
        <v>-0.43359714690850126</v>
      </c>
      <c r="E1117" s="8">
        <f t="shared" ca="1" si="144"/>
        <v>5.5573274000633843E-3</v>
      </c>
      <c r="F1117" s="8">
        <f t="shared" ca="1" si="145"/>
        <v>3.1328400595617534E-2</v>
      </c>
      <c r="G1117" s="8">
        <f t="shared" ca="1" si="146"/>
        <v>7.1608139347361533E-3</v>
      </c>
      <c r="H1117" s="10">
        <f t="shared" ca="1" si="147"/>
        <v>4038.3182268386545</v>
      </c>
      <c r="I1117" s="10">
        <f t="shared" ca="1" si="148"/>
        <v>561.04264992401602</v>
      </c>
      <c r="J1117" s="10">
        <f t="shared" ca="1" si="149"/>
        <v>2252.0115799580699</v>
      </c>
      <c r="K1117" s="12">
        <f t="array" aca="1" ref="K1117:L1117" ca="1">Opt3Spd(H1117:J1117,$E$3:$G$3,$K$3:$M$3,$N$3:$P$3,$H$3,$I$3,$Q$3,$J$3)</f>
        <v>189.70007543574866</v>
      </c>
      <c r="L1117" s="12">
        <f ca="1"/>
        <v>5.5878454554658674E-2</v>
      </c>
      <c r="M1117" s="12">
        <f t="array" aca="1" ref="M1117:N1117" ca="1">Opt3Spd(H1117:J1117,$E$3:$G$3,$K$3:$M$3,$N$3:$P$3,$H$4,$I$3,$Q$3,$J$3)</f>
        <v>5.1186002472379144E-2</v>
      </c>
      <c r="N1117" s="12">
        <f ca="1"/>
        <v>210.40698902127838</v>
      </c>
      <c r="O1117" s="12">
        <f t="shared" ca="1" si="150"/>
        <v>0.10706445702703782</v>
      </c>
    </row>
    <row r="1118" spans="2:15" x14ac:dyDescent="0.15">
      <c r="B1118" s="6">
        <f t="shared" ca="1" si="143"/>
        <v>-0.72339920904162336</v>
      </c>
      <c r="C1118" s="6">
        <f t="shared" ca="1" si="143"/>
        <v>4.2928216395411667E-2</v>
      </c>
      <c r="D1118" s="6">
        <f t="shared" ca="1" si="143"/>
        <v>-1.8281905113719383</v>
      </c>
      <c r="E1118" s="8">
        <f t="shared" ca="1" si="144"/>
        <v>-1.6470641938577769E-2</v>
      </c>
      <c r="F1118" s="8">
        <f t="shared" ca="1" si="145"/>
        <v>-2.5846565645807399E-2</v>
      </c>
      <c r="G1118" s="8">
        <f t="shared" ca="1" si="146"/>
        <v>-4.5927704102227455E-2</v>
      </c>
      <c r="H1118" s="10">
        <f t="shared" ca="1" si="147"/>
        <v>3949.8539019746718</v>
      </c>
      <c r="I1118" s="10">
        <f t="shared" ca="1" si="148"/>
        <v>529.9394682886807</v>
      </c>
      <c r="J1118" s="10">
        <f t="shared" ca="1" si="149"/>
        <v>2133.3056536274194</v>
      </c>
      <c r="K1118" s="12">
        <f t="array" aca="1" ref="K1118:L1118" ca="1">Opt3Spd(H1118:J1118,$E$3:$G$3,$K$3:$M$3,$N$3:$P$3,$H$3,$I$3,$Q$3,$J$3)</f>
        <v>210.31518640744935</v>
      </c>
      <c r="L1118" s="12">
        <f ca="1"/>
        <v>1.7260508376466532E-2</v>
      </c>
      <c r="M1118" s="12">
        <f t="array" aca="1" ref="M1118:N1118" ca="1">Opt3Spd(H1118:J1118,$E$3:$G$3,$K$3:$M$3,$N$3:$P$3,$H$4,$I$3,$Q$3,$J$3)</f>
        <v>0.11831423773309346</v>
      </c>
      <c r="N1118" s="12">
        <f ca="1"/>
        <v>189.82038833866022</v>
      </c>
      <c r="O1118" s="12">
        <f t="shared" ca="1" si="150"/>
        <v>0.13557474610956</v>
      </c>
    </row>
    <row r="1119" spans="2:15" x14ac:dyDescent="0.15">
      <c r="B1119" s="6">
        <f t="shared" ca="1" si="143"/>
        <v>-0.19317792551178911</v>
      </c>
      <c r="C1119" s="6">
        <f t="shared" ca="1" si="143"/>
        <v>-0.65349758724828688</v>
      </c>
      <c r="D1119" s="6">
        <f t="shared" ca="1" si="143"/>
        <v>1.7083344283211905</v>
      </c>
      <c r="E1119" s="8">
        <f t="shared" ca="1" si="144"/>
        <v>-4.3983521156419339E-3</v>
      </c>
      <c r="F1119" s="8">
        <f t="shared" ca="1" si="145"/>
        <v>-2.2188576059778344E-2</v>
      </c>
      <c r="G1119" s="8">
        <f t="shared" ca="1" si="146"/>
        <v>9.2048522520876593E-3</v>
      </c>
      <c r="H1119" s="10">
        <f t="shared" ca="1" si="147"/>
        <v>3998.3362179035821</v>
      </c>
      <c r="I1119" s="10">
        <f t="shared" ca="1" si="148"/>
        <v>531.92941462348062</v>
      </c>
      <c r="J1119" s="10">
        <f t="shared" ca="1" si="149"/>
        <v>2256.5820496356678</v>
      </c>
      <c r="K1119" s="12">
        <f t="array" aca="1" ref="K1119:L1119" ca="1">Opt3Spd(H1119:J1119,$E$3:$G$3,$K$3:$M$3,$N$3:$P$3,$H$3,$I$3,$Q$3,$J$3)</f>
        <v>194.00279175859237</v>
      </c>
      <c r="L1119" s="12">
        <f ca="1"/>
        <v>4.4662070413323818E-2</v>
      </c>
      <c r="M1119" s="12">
        <f t="array" aca="1" ref="M1119:N1119" ca="1">Opt3Spd(H1119:J1119,$E$3:$G$3,$K$3:$M$3,$N$3:$P$3,$H$4,$I$3,$Q$3,$J$3)</f>
        <v>6.2235629914265012E-2</v>
      </c>
      <c r="N1119" s="12">
        <f ca="1"/>
        <v>206.10410594173521</v>
      </c>
      <c r="O1119" s="12">
        <f t="shared" ca="1" si="150"/>
        <v>0.10689770032758883</v>
      </c>
    </row>
    <row r="1120" spans="2:15" x14ac:dyDescent="0.15">
      <c r="B1120" s="6">
        <f t="shared" ca="1" si="143"/>
        <v>0.72883618100638514</v>
      </c>
      <c r="C1120" s="6">
        <f t="shared" ca="1" si="143"/>
        <v>1.0007066856913664</v>
      </c>
      <c r="D1120" s="6">
        <f t="shared" ca="1" si="143"/>
        <v>-2.4145908596630936</v>
      </c>
      <c r="E1120" s="8">
        <f t="shared" ca="1" si="144"/>
        <v>1.6594433086456289E-2</v>
      </c>
      <c r="F1120" s="8">
        <f t="shared" ca="1" si="145"/>
        <v>5.0039840002229885E-2</v>
      </c>
      <c r="G1120" s="8">
        <f t="shared" ca="1" si="146"/>
        <v>3.9585106961761507E-3</v>
      </c>
      <c r="H1120" s="10">
        <f t="shared" ca="1" si="147"/>
        <v>4082.6432432752081</v>
      </c>
      <c r="I1120" s="10">
        <f t="shared" ca="1" si="148"/>
        <v>571.22167296121313</v>
      </c>
      <c r="J1120" s="10">
        <f t="shared" ca="1" si="149"/>
        <v>2244.85122991665</v>
      </c>
      <c r="K1120" s="12">
        <f t="array" aca="1" ref="K1120:L1120" ca="1">Opt3Spd(H1120:J1120,$E$3:$G$3,$K$3:$M$3,$N$3:$P$3,$H$3,$I$3,$Q$3,$J$3)</f>
        <v>221.27451654984475</v>
      </c>
      <c r="L1120" s="12">
        <f ca="1"/>
        <v>1.1564970902782079E-2</v>
      </c>
      <c r="M1120" s="12">
        <f t="array" aca="1" ref="M1120:N1120" ca="1">Opt3Spd(H1120:J1120,$E$3:$G$3,$K$3:$M$3,$N$3:$P$3,$H$4,$I$3,$Q$3,$J$3)</f>
        <v>0.2087356715990758</v>
      </c>
      <c r="N1120" s="12">
        <f ca="1"/>
        <v>178.94578409265711</v>
      </c>
      <c r="O1120" s="12">
        <f t="shared" ca="1" si="150"/>
        <v>0.22030064250185788</v>
      </c>
    </row>
    <row r="1121" spans="2:15" x14ac:dyDescent="0.15">
      <c r="B1121" s="6">
        <f t="shared" ca="1" si="143"/>
        <v>0.67126848445744114</v>
      </c>
      <c r="C1121" s="6">
        <f t="shared" ca="1" si="143"/>
        <v>-2.4875129405288616</v>
      </c>
      <c r="D1121" s="6">
        <f t="shared" ca="1" si="143"/>
        <v>-0.96526158194620537</v>
      </c>
      <c r="E1121" s="8">
        <f t="shared" ca="1" si="144"/>
        <v>1.5283708793098927E-2</v>
      </c>
      <c r="F1121" s="8">
        <f t="shared" ca="1" si="145"/>
        <v>-3.2284475169413004E-2</v>
      </c>
      <c r="G1121" s="8">
        <f t="shared" ca="1" si="146"/>
        <v>7.1571507089381644E-3</v>
      </c>
      <c r="H1121" s="10">
        <f t="shared" ca="1" si="147"/>
        <v>4077.3793745130856</v>
      </c>
      <c r="I1121" s="10">
        <f t="shared" ca="1" si="148"/>
        <v>526.43724550783929</v>
      </c>
      <c r="J1121" s="10">
        <f t="shared" ca="1" si="149"/>
        <v>2252.0033889851857</v>
      </c>
      <c r="K1121" s="12">
        <f t="array" aca="1" ref="K1121:L1121" ca="1">Opt3Spd(H1121:J1121,$E$3:$G$3,$K$3:$M$3,$N$3:$P$3,$H$3,$I$3,$Q$3,$J$3)</f>
        <v>284.07838566663031</v>
      </c>
      <c r="L1121" s="12">
        <f ca="1"/>
        <v>2.9845868039046763E-4</v>
      </c>
      <c r="M1121" s="12">
        <f t="array" aca="1" ref="M1121:N1121" ca="1">Opt3Spd(H1121:J1121,$E$3:$G$3,$K$3:$M$3,$N$3:$P$3,$H$4,$I$3,$Q$3,$J$3)</f>
        <v>2.041830699799732</v>
      </c>
      <c r="N1121" s="12">
        <f ca="1"/>
        <v>117.96374349184981</v>
      </c>
      <c r="O1121" s="12">
        <f t="shared" ca="1" si="150"/>
        <v>2.0421291584801224</v>
      </c>
    </row>
    <row r="1122" spans="2:15" x14ac:dyDescent="0.15">
      <c r="B1122" s="6">
        <f t="shared" ca="1" si="143"/>
        <v>0.23592935531739873</v>
      </c>
      <c r="C1122" s="6">
        <f t="shared" ca="1" si="143"/>
        <v>0.30402888721827648</v>
      </c>
      <c r="D1122" s="6">
        <f t="shared" ca="1" si="143"/>
        <v>0.29725013897762392</v>
      </c>
      <c r="E1122" s="8">
        <f t="shared" ca="1" si="144"/>
        <v>5.3717337338265924E-3</v>
      </c>
      <c r="F1122" s="8">
        <f t="shared" ca="1" si="145"/>
        <v>1.5740616740656146E-2</v>
      </c>
      <c r="G1122" s="8">
        <f t="shared" ca="1" si="146"/>
        <v>1.2716869745822227E-2</v>
      </c>
      <c r="H1122" s="10">
        <f t="shared" ca="1" si="147"/>
        <v>4037.5728826750478</v>
      </c>
      <c r="I1122" s="10">
        <f t="shared" ca="1" si="148"/>
        <v>552.56289550691702</v>
      </c>
      <c r="J1122" s="10">
        <f t="shared" ca="1" si="149"/>
        <v>2264.4349207516584</v>
      </c>
      <c r="K1122" s="12">
        <f t="array" aca="1" ref="K1122:L1122" ca="1">Opt3Spd(H1122:J1122,$E$3:$G$3,$K$3:$M$3,$N$3:$P$3,$H$3,$I$3,$Q$3,$J$3)</f>
        <v>196.29571473735245</v>
      </c>
      <c r="L1122" s="12">
        <f ca="1"/>
        <v>4.0925249201336555E-2</v>
      </c>
      <c r="M1122" s="12">
        <f t="array" aca="1" ref="M1122:N1122" ca="1">Opt3Spd(H1122:J1122,$E$3:$G$3,$K$3:$M$3,$N$3:$P$3,$H$4,$I$3,$Q$3,$J$3)</f>
        <v>7.0223699280274943E-2</v>
      </c>
      <c r="N1122" s="12">
        <f ca="1"/>
        <v>203.81543421112914</v>
      </c>
      <c r="O1122" s="12">
        <f t="shared" ca="1" si="150"/>
        <v>0.1111489484816115</v>
      </c>
    </row>
    <row r="1123" spans="2:15" x14ac:dyDescent="0.15">
      <c r="B1123" s="6">
        <f t="shared" ca="1" si="143"/>
        <v>1.1645377501462233</v>
      </c>
      <c r="C1123" s="6">
        <f t="shared" ca="1" si="143"/>
        <v>-0.34536076332013194</v>
      </c>
      <c r="D1123" s="6">
        <f t="shared" ca="1" si="143"/>
        <v>-1.8573739864708021</v>
      </c>
      <c r="E1123" s="8">
        <f t="shared" ca="1" si="144"/>
        <v>2.6514660324313065E-2</v>
      </c>
      <c r="F1123" s="8">
        <f t="shared" ca="1" si="145"/>
        <v>3.5257475864184137E-2</v>
      </c>
      <c r="G1123" s="8">
        <f t="shared" ca="1" si="146"/>
        <v>2.1993944827334598E-2</v>
      </c>
      <c r="H1123" s="10">
        <f t="shared" ca="1" si="147"/>
        <v>4122.4828758624417</v>
      </c>
      <c r="I1123" s="10">
        <f t="shared" ca="1" si="148"/>
        <v>563.18006687011621</v>
      </c>
      <c r="J1123" s="10">
        <f t="shared" ca="1" si="149"/>
        <v>2285.1784606339202</v>
      </c>
      <c r="K1123" s="12">
        <f t="array" aca="1" ref="K1123:L1123" ca="1">Opt3Spd(H1123:J1123,$E$3:$G$3,$K$3:$M$3,$N$3:$P$3,$H$3,$I$3,$Q$3,$J$3)</f>
        <v>253.80756245712928</v>
      </c>
      <c r="L1123" s="12">
        <f ca="1"/>
        <v>2.0239038340150728E-3</v>
      </c>
      <c r="M1123" s="12">
        <f t="array" aca="1" ref="M1123:N1123" ca="1">Opt3Spd(H1123:J1123,$E$3:$G$3,$K$3:$M$3,$N$3:$P$3,$H$4,$I$3,$Q$3,$J$3)</f>
        <v>0.7525132833193382</v>
      </c>
      <c r="N1123" s="12">
        <f ca="1"/>
        <v>146.94697473002407</v>
      </c>
      <c r="O1123" s="12">
        <f t="shared" ca="1" si="150"/>
        <v>0.75453718715335327</v>
      </c>
    </row>
    <row r="1124" spans="2:15" x14ac:dyDescent="0.15">
      <c r="B1124" s="6">
        <f t="shared" ca="1" si="143"/>
        <v>-1.5706807323797358</v>
      </c>
      <c r="C1124" s="6">
        <f t="shared" ca="1" si="143"/>
        <v>-0.56400595156978051</v>
      </c>
      <c r="D1124" s="6">
        <f t="shared" ca="1" si="143"/>
        <v>0.66124792561582135</v>
      </c>
      <c r="E1124" s="8">
        <f t="shared" ca="1" si="144"/>
        <v>-3.5761885857081704E-2</v>
      </c>
      <c r="F1124" s="8">
        <f t="shared" ca="1" si="145"/>
        <v>-7.1227721570829128E-2</v>
      </c>
      <c r="G1124" s="8">
        <f t="shared" ca="1" si="146"/>
        <v>-5.2297238589364942E-2</v>
      </c>
      <c r="H1124" s="10">
        <f t="shared" ca="1" si="147"/>
        <v>3872.38026639796</v>
      </c>
      <c r="I1124" s="10">
        <f t="shared" ca="1" si="148"/>
        <v>505.25211946546898</v>
      </c>
      <c r="J1124" s="10">
        <f t="shared" ca="1" si="149"/>
        <v>2119.0633745141799</v>
      </c>
      <c r="K1124" s="12">
        <f t="array" aca="1" ref="K1124:L1124" ca="1">Opt3Spd(H1124:J1124,$E$3:$G$3,$K$3:$M$3,$N$3:$P$3,$H$3,$I$3,$Q$3,$J$3)</f>
        <v>179.52220892533387</v>
      </c>
      <c r="L1124" s="12">
        <f ca="1"/>
        <v>7.7020929214313583E-2</v>
      </c>
      <c r="M1124" s="12">
        <f t="array" aca="1" ref="M1124:N1124" ca="1">Opt3Spd(H1124:J1124,$E$3:$G$3,$K$3:$M$3,$N$3:$P$3,$H$4,$I$3,$Q$3,$J$3)</f>
        <v>2.6821240373384292E-2</v>
      </c>
      <c r="N1124" s="12">
        <f ca="1"/>
        <v>220.58163324425382</v>
      </c>
      <c r="O1124" s="12">
        <f t="shared" ca="1" si="150"/>
        <v>0.10384216958769787</v>
      </c>
    </row>
    <row r="1125" spans="2:15" x14ac:dyDescent="0.15">
      <c r="B1125" s="6">
        <f t="shared" ca="1" si="143"/>
        <v>1.7892582732510047</v>
      </c>
      <c r="C1125" s="6">
        <f t="shared" ca="1" si="143"/>
        <v>0.27446418717168053</v>
      </c>
      <c r="D1125" s="6">
        <f t="shared" ca="1" si="143"/>
        <v>1.5492550147707993</v>
      </c>
      <c r="E1125" s="8">
        <f t="shared" ca="1" si="144"/>
        <v>4.0738546553566332E-2</v>
      </c>
      <c r="F1125" s="8">
        <f t="shared" ca="1" si="145"/>
        <v>7.2679401270835345E-2</v>
      </c>
      <c r="G1125" s="8">
        <f t="shared" ca="1" si="146"/>
        <v>8.3035498697368301E-2</v>
      </c>
      <c r="H1125" s="10">
        <f t="shared" ca="1" si="147"/>
        <v>4179.6060029591226</v>
      </c>
      <c r="I1125" s="10">
        <f t="shared" ca="1" si="148"/>
        <v>583.53759429133447</v>
      </c>
      <c r="J1125" s="10">
        <f t="shared" ca="1" si="149"/>
        <v>2421.6673750873156</v>
      </c>
      <c r="K1125" s="12">
        <f t="array" aca="1" ref="K1125:L1125" ca="1">Opt3Spd(H1125:J1125,$E$3:$G$3,$K$3:$M$3,$N$3:$P$3,$H$3,$I$3,$Q$3,$J$3)</f>
        <v>210.13762897397692</v>
      </c>
      <c r="L1125" s="12">
        <f ca="1"/>
        <v>2.5464424647225314E-2</v>
      </c>
      <c r="M1125" s="12">
        <f t="array" aca="1" ref="M1125:N1125" ca="1">Opt3Spd(H1125:J1125,$E$3:$G$3,$K$3:$M$3,$N$3:$P$3,$H$4,$I$3,$Q$3,$J$3)</f>
        <v>0.14959304096588788</v>
      </c>
      <c r="N1125" s="12">
        <f ca="1"/>
        <v>190.03742849163621</v>
      </c>
      <c r="O1125" s="12">
        <f t="shared" ca="1" si="150"/>
        <v>0.17505746561311319</v>
      </c>
    </row>
    <row r="1126" spans="2:15" x14ac:dyDescent="0.15">
      <c r="B1126" s="6">
        <f t="shared" ca="1" si="143"/>
        <v>0.55638157305315894</v>
      </c>
      <c r="C1126" s="6">
        <f t="shared" ca="1" si="143"/>
        <v>0.86918560912786491</v>
      </c>
      <c r="D1126" s="6">
        <f t="shared" ca="1" si="143"/>
        <v>1.0736374529102179</v>
      </c>
      <c r="E1126" s="8">
        <f t="shared" ca="1" si="144"/>
        <v>1.2667917736766489E-2</v>
      </c>
      <c r="F1126" s="8">
        <f t="shared" ca="1" si="145"/>
        <v>4.0619420188092475E-2</v>
      </c>
      <c r="G1126" s="8">
        <f t="shared" ca="1" si="146"/>
        <v>3.4401292886483109E-2</v>
      </c>
      <c r="H1126" s="10">
        <f t="shared" ca="1" si="147"/>
        <v>4066.8743576308543</v>
      </c>
      <c r="I1126" s="10">
        <f t="shared" ca="1" si="148"/>
        <v>566.09696458232236</v>
      </c>
      <c r="J1126" s="10">
        <f t="shared" ca="1" si="149"/>
        <v>2312.9212908941763</v>
      </c>
      <c r="K1126" s="12">
        <f t="array" aca="1" ref="K1126:L1126" ca="1">Opt3Spd(H1126:J1126,$E$3:$G$3,$K$3:$M$3,$N$3:$P$3,$H$3,$I$3,$Q$3,$J$3)</f>
        <v>179.75294116667737</v>
      </c>
      <c r="L1126" s="12">
        <f ca="1"/>
        <v>9.4372314626980369E-2</v>
      </c>
      <c r="M1126" s="12">
        <f t="array" aca="1" ref="M1126:N1126" ca="1">Opt3Spd(H1126:J1126,$E$3:$G$3,$K$3:$M$3,$N$3:$P$3,$H$4,$I$3,$Q$3,$J$3)</f>
        <v>3.3657138261227626E-2</v>
      </c>
      <c r="N1126" s="12">
        <f ca="1"/>
        <v>220.37508828621083</v>
      </c>
      <c r="O1126" s="12">
        <f t="shared" ca="1" si="150"/>
        <v>0.128029452888208</v>
      </c>
    </row>
    <row r="1127" spans="2:15" x14ac:dyDescent="0.15">
      <c r="B1127" s="6">
        <f t="shared" ca="1" si="143"/>
        <v>1.8014875396343657</v>
      </c>
      <c r="C1127" s="6">
        <f t="shared" ca="1" si="143"/>
        <v>0.26521294863058603</v>
      </c>
      <c r="D1127" s="6">
        <f t="shared" ca="1" si="143"/>
        <v>0.50925483372829328</v>
      </c>
      <c r="E1127" s="8">
        <f t="shared" ca="1" si="144"/>
        <v>4.1016987371933655E-2</v>
      </c>
      <c r="F1127" s="8">
        <f t="shared" ca="1" si="145"/>
        <v>7.2920355700167444E-2</v>
      </c>
      <c r="G1127" s="8">
        <f t="shared" ca="1" si="146"/>
        <v>7.2378747499495202E-2</v>
      </c>
      <c r="H1127" s="10">
        <f t="shared" ca="1" si="147"/>
        <v>4180.7242212856854</v>
      </c>
      <c r="I1127" s="10">
        <f t="shared" ca="1" si="148"/>
        <v>583.66867350089103</v>
      </c>
      <c r="J1127" s="10">
        <f t="shared" ca="1" si="149"/>
        <v>2397.8388794088714</v>
      </c>
      <c r="K1127" s="12">
        <f t="array" aca="1" ref="K1127:L1127" ca="1">Opt3Spd(H1127:J1127,$E$3:$G$3,$K$3:$M$3,$N$3:$P$3,$H$3,$I$3,$Q$3,$J$3)</f>
        <v>222.9479084643549</v>
      </c>
      <c r="L1127" s="12">
        <f ca="1"/>
        <v>1.3004484530938498E-2</v>
      </c>
      <c r="M1127" s="12">
        <f t="array" aca="1" ref="M1127:N1127" ca="1">Opt3Spd(H1127:J1127,$E$3:$G$3,$K$3:$M$3,$N$3:$P$3,$H$4,$I$3,$Q$3,$J$3)</f>
        <v>0.24992415710528704</v>
      </c>
      <c r="N1127" s="12">
        <f ca="1"/>
        <v>177.31502017728133</v>
      </c>
      <c r="O1127" s="12">
        <f t="shared" ca="1" si="150"/>
        <v>0.26292864163622554</v>
      </c>
    </row>
    <row r="1128" spans="2:15" x14ac:dyDescent="0.15">
      <c r="B1128" s="6">
        <f t="shared" ca="1" si="143"/>
        <v>0.93046976392314762</v>
      </c>
      <c r="C1128" s="6">
        <f t="shared" ca="1" si="143"/>
        <v>1.4496260591143217</v>
      </c>
      <c r="D1128" s="6">
        <f t="shared" ca="1" si="143"/>
        <v>-0.37165131625401071</v>
      </c>
      <c r="E1128" s="8">
        <f t="shared" ca="1" si="144"/>
        <v>2.1185306984997473E-2</v>
      </c>
      <c r="F1128" s="8">
        <f t="shared" ca="1" si="145"/>
        <v>6.7839120453247914E-2</v>
      </c>
      <c r="G1128" s="8">
        <f t="shared" ca="1" si="146"/>
        <v>3.4432946551840933E-2</v>
      </c>
      <c r="H1128" s="10">
        <f t="shared" ca="1" si="147"/>
        <v>4101.0801928517494</v>
      </c>
      <c r="I1128" s="10">
        <f t="shared" ca="1" si="148"/>
        <v>580.90448152656688</v>
      </c>
      <c r="J1128" s="10">
        <f t="shared" ca="1" si="149"/>
        <v>2312.9920684899162</v>
      </c>
      <c r="K1128" s="12">
        <f t="array" aca="1" ref="K1128:L1128" ca="1">Opt3Spd(H1128:J1128,$E$3:$G$3,$K$3:$M$3,$N$3:$P$3,$H$3,$I$3,$Q$3,$J$3)</f>
        <v>190.19611164383286</v>
      </c>
      <c r="L1128" s="12">
        <f ca="1"/>
        <v>5.9123479548361502E-2</v>
      </c>
      <c r="M1128" s="12">
        <f t="array" aca="1" ref="M1128:N1128" ca="1">Opt3Spd(H1128:J1128,$E$3:$G$3,$K$3:$M$3,$N$3:$P$3,$H$4,$I$3,$Q$3,$J$3)</f>
        <v>5.6062041481614422E-2</v>
      </c>
      <c r="N1128" s="12">
        <f ca="1"/>
        <v>209.91907387719712</v>
      </c>
      <c r="O1128" s="12">
        <f t="shared" ca="1" si="150"/>
        <v>0.11518552102997592</v>
      </c>
    </row>
    <row r="1129" spans="2:15" x14ac:dyDescent="0.15">
      <c r="B1129" s="6">
        <f t="shared" ca="1" si="143"/>
        <v>-0.38813309656464284</v>
      </c>
      <c r="C1129" s="6">
        <f t="shared" ca="1" si="143"/>
        <v>1.8557485284496706</v>
      </c>
      <c r="D1129" s="6">
        <f t="shared" ca="1" si="143"/>
        <v>-1.5874277849067193</v>
      </c>
      <c r="E1129" s="8">
        <f t="shared" ca="1" si="144"/>
        <v>-8.8371692671560947E-3</v>
      </c>
      <c r="F1129" s="8">
        <f t="shared" ca="1" si="145"/>
        <v>2.826364811057714E-2</v>
      </c>
      <c r="G1129" s="8">
        <f t="shared" ca="1" si="146"/>
        <v>-2.5783149330318212E-2</v>
      </c>
      <c r="H1129" s="10">
        <f t="shared" ca="1" si="147"/>
        <v>3980.5099282231013</v>
      </c>
      <c r="I1129" s="10">
        <f t="shared" ca="1" si="148"/>
        <v>559.37542457215397</v>
      </c>
      <c r="J1129" s="10">
        <f t="shared" ca="1" si="149"/>
        <v>2178.3488780974085</v>
      </c>
      <c r="K1129" s="12">
        <f t="array" aca="1" ref="K1129:L1129" ca="1">Opt3Spd(H1129:J1129,$E$3:$G$3,$K$3:$M$3,$N$3:$P$3,$H$3,$I$3,$Q$3,$J$3)</f>
        <v>171.45619479373363</v>
      </c>
      <c r="L1129" s="12">
        <f ca="1"/>
        <v>0.12138493478278178</v>
      </c>
      <c r="M1129" s="12">
        <f t="array" aca="1" ref="M1129:N1129" ca="1">Opt3Spd(H1129:J1129,$E$3:$G$3,$K$3:$M$3,$N$3:$P$3,$H$4,$I$3,$Q$3,$J$3)</f>
        <v>1.921296624661295E-2</v>
      </c>
      <c r="N1129" s="12">
        <f ca="1"/>
        <v>228.68440310729576</v>
      </c>
      <c r="O1129" s="12">
        <f t="shared" ca="1" si="150"/>
        <v>0.14059790102939473</v>
      </c>
    </row>
    <row r="1130" spans="2:15" x14ac:dyDescent="0.15">
      <c r="B1130" s="6">
        <f t="shared" ca="1" si="143"/>
        <v>2.1711425562742064E-2</v>
      </c>
      <c r="C1130" s="6">
        <f t="shared" ca="1" si="143"/>
        <v>0.8601238088655675</v>
      </c>
      <c r="D1130" s="6">
        <f t="shared" ca="1" si="143"/>
        <v>0.41440834794646436</v>
      </c>
      <c r="E1130" s="8">
        <f t="shared" ca="1" si="144"/>
        <v>4.9433440339776899E-4</v>
      </c>
      <c r="F1130" s="8">
        <f t="shared" ca="1" si="145"/>
        <v>2.0578306838215151E-2</v>
      </c>
      <c r="G1130" s="8">
        <f t="shared" ca="1" si="146"/>
        <v>7.7092715134524231E-3</v>
      </c>
      <c r="H1130" s="10">
        <f t="shared" ca="1" si="147"/>
        <v>4017.9852469640459</v>
      </c>
      <c r="I1130" s="10">
        <f t="shared" ca="1" si="148"/>
        <v>555.19459891998895</v>
      </c>
      <c r="J1130" s="10">
        <f t="shared" ca="1" si="149"/>
        <v>2253.2379311040795</v>
      </c>
      <c r="K1130" s="12">
        <f t="array" aca="1" ref="K1130:L1130" ca="1">Opt3Spd(H1130:J1130,$E$3:$G$3,$K$3:$M$3,$N$3:$P$3,$H$3,$I$3,$Q$3,$J$3)</f>
        <v>178.15024856023751</v>
      </c>
      <c r="L1130" s="12">
        <f ca="1"/>
        <v>9.5325420213839607E-2</v>
      </c>
      <c r="M1130" s="12">
        <f t="array" aca="1" ref="M1130:N1130" ca="1">Opt3Spd(H1130:J1130,$E$3:$G$3,$K$3:$M$3,$N$3:$P$3,$H$4,$I$3,$Q$3,$J$3)</f>
        <v>2.9111456441656802E-2</v>
      </c>
      <c r="N1130" s="12">
        <f ca="1"/>
        <v>221.97418831641798</v>
      </c>
      <c r="O1130" s="12">
        <f t="shared" ca="1" si="150"/>
        <v>0.12443687665549641</v>
      </c>
    </row>
    <row r="1131" spans="2:15" x14ac:dyDescent="0.15">
      <c r="B1131" s="6">
        <f t="shared" ca="1" si="143"/>
        <v>8.1008063561082172E-2</v>
      </c>
      <c r="C1131" s="6">
        <f t="shared" ca="1" si="143"/>
        <v>2.570690333594392</v>
      </c>
      <c r="D1131" s="6">
        <f t="shared" ca="1" si="143"/>
        <v>-0.20912320356172934</v>
      </c>
      <c r="E1131" s="8">
        <f t="shared" ca="1" si="144"/>
        <v>1.8444239257875139E-3</v>
      </c>
      <c r="F1131" s="8">
        <f t="shared" ca="1" si="145"/>
        <v>6.2101181318497803E-2</v>
      </c>
      <c r="G1131" s="8">
        <f t="shared" ca="1" si="146"/>
        <v>8.2109428701639953E-3</v>
      </c>
      <c r="H1131" s="10">
        <f t="shared" ca="1" si="147"/>
        <v>4023.4072064859629</v>
      </c>
      <c r="I1131" s="10">
        <f t="shared" ca="1" si="148"/>
        <v>577.78304263726272</v>
      </c>
      <c r="J1131" s="10">
        <f t="shared" ca="1" si="149"/>
        <v>2254.3596682576867</v>
      </c>
      <c r="K1131" s="12">
        <f t="array" aca="1" ref="K1131:L1131" ca="1">Opt3Spd(H1131:J1131,$E$3:$G$3,$K$3:$M$3,$N$3:$P$3,$H$3,$I$3,$Q$3,$J$3)</f>
        <v>147.14624339618786</v>
      </c>
      <c r="L1131" s="12">
        <f ca="1"/>
        <v>0.37173925868887636</v>
      </c>
      <c r="M1131" s="12">
        <f t="array" aca="1" ref="M1131:N1131" ca="1">Opt3Spd(H1131:J1131,$E$3:$G$3,$K$3:$M$3,$N$3:$P$3,$H$4,$I$3,$Q$3,$J$3)</f>
        <v>5.7200446489805712E-3</v>
      </c>
      <c r="N1131" s="12">
        <f ca="1"/>
        <v>253.23121590714999</v>
      </c>
      <c r="O1131" s="12">
        <f t="shared" ca="1" si="150"/>
        <v>0.37745930333785693</v>
      </c>
    </row>
    <row r="1132" spans="2:15" x14ac:dyDescent="0.15">
      <c r="B1132" s="6">
        <f t="shared" ca="1" si="143"/>
        <v>-0.76495775996469728</v>
      </c>
      <c r="C1132" s="6">
        <f t="shared" ca="1" si="143"/>
        <v>0.9824883422140418</v>
      </c>
      <c r="D1132" s="6">
        <f t="shared" ca="1" si="143"/>
        <v>2.0809460927335812</v>
      </c>
      <c r="E1132" s="8">
        <f t="shared" ca="1" si="144"/>
        <v>-1.7416863614223416E-2</v>
      </c>
      <c r="F1132" s="8">
        <f t="shared" ca="1" si="145"/>
        <v>-5.7890432092520027E-3</v>
      </c>
      <c r="G1132" s="8">
        <f t="shared" ca="1" si="146"/>
        <v>-3.082737171117721E-3</v>
      </c>
      <c r="H1132" s="10">
        <f t="shared" ca="1" si="147"/>
        <v>3946.0538757252784</v>
      </c>
      <c r="I1132" s="10">
        <f t="shared" ca="1" si="148"/>
        <v>540.85076049416693</v>
      </c>
      <c r="J1132" s="10">
        <f t="shared" ca="1" si="149"/>
        <v>2229.1069996853807</v>
      </c>
      <c r="K1132" s="12">
        <f t="array" aca="1" ref="K1132:L1132" ca="1">Opt3Spd(H1132:J1132,$E$3:$G$3,$K$3:$M$3,$N$3:$P$3,$H$3,$I$3,$Q$3,$J$3)</f>
        <v>141.58620463115358</v>
      </c>
      <c r="L1132" s="12">
        <f ca="1"/>
        <v>0.44704553923270396</v>
      </c>
      <c r="M1132" s="12">
        <f t="array" aca="1" ref="M1132:N1132" ca="1">Opt3Spd(H1132:J1132,$E$3:$G$3,$K$3:$M$3,$N$3:$P$3,$H$4,$I$3,$Q$3,$J$3)</f>
        <v>3.8942965686443731E-3</v>
      </c>
      <c r="N1132" s="12">
        <f ca="1"/>
        <v>258.86473520464779</v>
      </c>
      <c r="O1132" s="12">
        <f t="shared" ca="1" si="150"/>
        <v>0.45093983580134833</v>
      </c>
    </row>
    <row r="1133" spans="2:15" x14ac:dyDescent="0.15">
      <c r="B1133" s="6">
        <f t="shared" ca="1" si="143"/>
        <v>-0.55978167416831215</v>
      </c>
      <c r="C1133" s="6">
        <f t="shared" ca="1" si="143"/>
        <v>0.9261436251845051</v>
      </c>
      <c r="D1133" s="6">
        <f t="shared" ca="1" si="143"/>
        <v>0.97206159774651524</v>
      </c>
      <c r="E1133" s="8">
        <f t="shared" ca="1" si="144"/>
        <v>-1.2745332596117579E-2</v>
      </c>
      <c r="F1133" s="8">
        <f t="shared" ca="1" si="145"/>
        <v>5.2637904238402218E-4</v>
      </c>
      <c r="G1133" s="8">
        <f t="shared" ca="1" si="146"/>
        <v>-7.5214753369034597E-3</v>
      </c>
      <c r="H1133" s="10">
        <f t="shared" ca="1" si="147"/>
        <v>3964.8147442939921</v>
      </c>
      <c r="I1133" s="10">
        <f t="shared" ca="1" si="148"/>
        <v>544.28635019905687</v>
      </c>
      <c r="J1133" s="10">
        <f t="shared" ca="1" si="149"/>
        <v>2219.1819811466839</v>
      </c>
      <c r="K1133" s="12">
        <f t="array" aca="1" ref="K1133:L1133" ca="1">Opt3Spd(H1133:J1133,$E$3:$G$3,$K$3:$M$3,$N$3:$P$3,$H$3,$I$3,$Q$3,$J$3)</f>
        <v>159.57534903798864</v>
      </c>
      <c r="L1133" s="12">
        <f ca="1"/>
        <v>0.20975563582965151</v>
      </c>
      <c r="M1133" s="12">
        <f t="array" aca="1" ref="M1133:N1133" ca="1">Opt3Spd(H1133:J1133,$E$3:$G$3,$K$3:$M$3,$N$3:$P$3,$H$4,$I$3,$Q$3,$J$3)</f>
        <v>1.0613836644382868E-2</v>
      </c>
      <c r="N1133" s="12">
        <f ca="1"/>
        <v>240.64502043448539</v>
      </c>
      <c r="O1133" s="12">
        <f t="shared" ca="1" si="150"/>
        <v>0.22036947247403438</v>
      </c>
    </row>
    <row r="1134" spans="2:15" x14ac:dyDescent="0.15">
      <c r="B1134" s="6">
        <f t="shared" ca="1" si="143"/>
        <v>1.5980282710240745</v>
      </c>
      <c r="C1134" s="6">
        <f t="shared" ca="1" si="143"/>
        <v>0.70955047006786576</v>
      </c>
      <c r="D1134" s="6">
        <f t="shared" ca="1" si="143"/>
        <v>-4.4365694342425842E-2</v>
      </c>
      <c r="E1134" s="8">
        <f t="shared" ca="1" si="144"/>
        <v>3.638454553279391E-2</v>
      </c>
      <c r="F1134" s="8">
        <f t="shared" ca="1" si="145"/>
        <v>7.5587987704020324E-2</v>
      </c>
      <c r="G1134" s="8">
        <f t="shared" ca="1" si="146"/>
        <v>6.0296134140978806E-2</v>
      </c>
      <c r="H1134" s="10">
        <f t="shared" ca="1" si="147"/>
        <v>4162.120334859701</v>
      </c>
      <c r="I1134" s="10">
        <f t="shared" ca="1" si="148"/>
        <v>585.11986531098705</v>
      </c>
      <c r="J1134" s="10">
        <f t="shared" ca="1" si="149"/>
        <v>2370.8221559392287</v>
      </c>
      <c r="K1134" s="12">
        <f t="array" aca="1" ref="K1134:L1134" ca="1">Opt3Spd(H1134:J1134,$E$3:$G$3,$K$3:$M$3,$N$3:$P$3,$H$3,$I$3,$Q$3,$J$3)</f>
        <v>215.53587350453518</v>
      </c>
      <c r="L1134" s="12">
        <f ca="1"/>
        <v>1.840111202773187E-2</v>
      </c>
      <c r="M1134" s="12">
        <f t="array" aca="1" ref="M1134:N1134" ca="1">Opt3Spd(H1134:J1134,$E$3:$G$3,$K$3:$M$3,$N$3:$P$3,$H$4,$I$3,$Q$3,$J$3)</f>
        <v>0.1809800489452762</v>
      </c>
      <c r="N1134" s="12">
        <f ca="1"/>
        <v>184.66350765643784</v>
      </c>
      <c r="O1134" s="12">
        <f t="shared" ca="1" si="150"/>
        <v>0.19938116097300806</v>
      </c>
    </row>
    <row r="1135" spans="2:15" x14ac:dyDescent="0.15">
      <c r="B1135" s="6">
        <f t="shared" ca="1" si="143"/>
        <v>2.6106728293221884</v>
      </c>
      <c r="C1135" s="6">
        <f t="shared" ca="1" si="143"/>
        <v>-0.35634112186294054</v>
      </c>
      <c r="D1135" s="6">
        <f t="shared" ca="1" si="143"/>
        <v>0.82223262030406918</v>
      </c>
      <c r="E1135" s="8">
        <f t="shared" ca="1" si="144"/>
        <v>5.9440841036453758E-2</v>
      </c>
      <c r="F1135" s="8">
        <f t="shared" ca="1" si="145"/>
        <v>8.8647290000269635E-2</v>
      </c>
      <c r="G1135" s="8">
        <f t="shared" ca="1" si="146"/>
        <v>0.10363671513536338</v>
      </c>
      <c r="H1135" s="10">
        <f t="shared" ca="1" si="147"/>
        <v>4254.7144176023985</v>
      </c>
      <c r="I1135" s="10">
        <f t="shared" ca="1" si="148"/>
        <v>592.22412576014676</v>
      </c>
      <c r="J1135" s="10">
        <f t="shared" ca="1" si="149"/>
        <v>2467.7316950426725</v>
      </c>
      <c r="K1135" s="12">
        <f t="array" aca="1" ref="K1135:L1135" ca="1">Opt3Spd(H1135:J1135,$E$3:$G$3,$K$3:$M$3,$N$3:$P$3,$H$3,$I$3,$Q$3,$J$3)</f>
        <v>248.29373857219639</v>
      </c>
      <c r="L1135" s="12">
        <f ca="1"/>
        <v>3.7697073687468219E-3</v>
      </c>
      <c r="M1135" s="12">
        <f t="array" aca="1" ref="M1135:N1135" ca="1">Opt3Spd(H1135:J1135,$E$3:$G$3,$K$3:$M$3,$N$3:$P$3,$H$4,$I$3,$Q$3,$J$3)</f>
        <v>0.68621422118106778</v>
      </c>
      <c r="N1135" s="12">
        <f ca="1"/>
        <v>152.39624535635343</v>
      </c>
      <c r="O1135" s="12">
        <f t="shared" ca="1" si="150"/>
        <v>0.68998392854981461</v>
      </c>
    </row>
    <row r="1136" spans="2:15" x14ac:dyDescent="0.15">
      <c r="B1136" s="6">
        <f t="shared" ca="1" si="143"/>
        <v>1.102587648012032</v>
      </c>
      <c r="C1136" s="6">
        <f t="shared" ca="1" si="143"/>
        <v>0.57117738868714685</v>
      </c>
      <c r="D1136" s="6">
        <f t="shared" ca="1" si="143"/>
        <v>-0.15450685464435732</v>
      </c>
      <c r="E1136" s="8">
        <f t="shared" ca="1" si="144"/>
        <v>2.5104155671339529E-2</v>
      </c>
      <c r="F1136" s="8">
        <f t="shared" ca="1" si="145"/>
        <v>5.4029363371435227E-2</v>
      </c>
      <c r="G1136" s="8">
        <f t="shared" ca="1" si="146"/>
        <v>4.0519418548856212E-2</v>
      </c>
      <c r="H1136" s="10">
        <f t="shared" ca="1" si="147"/>
        <v>4116.8182891760998</v>
      </c>
      <c r="I1136" s="10">
        <f t="shared" ca="1" si="148"/>
        <v>573.39197367406075</v>
      </c>
      <c r="J1136" s="10">
        <f t="shared" ca="1" si="149"/>
        <v>2326.6014198752423</v>
      </c>
      <c r="K1136" s="12">
        <f t="array" aca="1" ref="K1136:L1136" ca="1">Opt3Spd(H1136:J1136,$E$3:$G$3,$K$3:$M$3,$N$3:$P$3,$H$3,$I$3,$Q$3,$J$3)</f>
        <v>211.11194837635162</v>
      </c>
      <c r="L1136" s="12">
        <f ca="1"/>
        <v>2.1527016370328056E-2</v>
      </c>
      <c r="M1136" s="12">
        <f t="array" aca="1" ref="M1136:N1136" ca="1">Opt3Spd(H1136:J1136,$E$3:$G$3,$K$3:$M$3,$N$3:$P$3,$H$4,$I$3,$Q$3,$J$3)</f>
        <v>0.14431797935060331</v>
      </c>
      <c r="N1136" s="12">
        <f ca="1"/>
        <v>189.05389661936931</v>
      </c>
      <c r="O1136" s="12">
        <f t="shared" ca="1" si="150"/>
        <v>0.16584499572093137</v>
      </c>
    </row>
    <row r="1137" spans="2:15" x14ac:dyDescent="0.15">
      <c r="B1137" s="6">
        <f t="shared" ca="1" si="143"/>
        <v>-0.40896085908018737</v>
      </c>
      <c r="C1137" s="6">
        <f t="shared" ca="1" si="143"/>
        <v>-1.8902009246016249</v>
      </c>
      <c r="D1137" s="6">
        <f t="shared" ca="1" si="143"/>
        <v>1.4174640951183921</v>
      </c>
      <c r="E1137" s="8">
        <f t="shared" ca="1" si="144"/>
        <v>-9.3113840775783246E-3</v>
      </c>
      <c r="F1137" s="8">
        <f t="shared" ca="1" si="145"/>
        <v>-5.8622675077879313E-2</v>
      </c>
      <c r="G1137" s="8">
        <f t="shared" ca="1" si="146"/>
        <v>-5.4114330838103972E-3</v>
      </c>
      <c r="H1137" s="10">
        <f t="shared" ca="1" si="147"/>
        <v>3978.6054815444454</v>
      </c>
      <c r="I1137" s="10">
        <f t="shared" ca="1" si="148"/>
        <v>512.1092647576337</v>
      </c>
      <c r="J1137" s="10">
        <f t="shared" ca="1" si="149"/>
        <v>2223.9000356245997</v>
      </c>
      <c r="K1137" s="12">
        <f t="array" aca="1" ref="K1137:L1137" ca="1">Opt3Spd(H1137:J1137,$E$3:$G$3,$K$3:$M$3,$N$3:$P$3,$H$3,$I$3,$Q$3,$J$3)</f>
        <v>222.29079986741885</v>
      </c>
      <c r="L1137" s="12">
        <f ca="1"/>
        <v>1.0159747487477944E-2</v>
      </c>
      <c r="M1137" s="12">
        <f t="array" aca="1" ref="M1137:N1137" ca="1">Opt3Spd(H1137:J1137,$E$3:$G$3,$K$3:$M$3,$N$3:$P$3,$H$4,$I$3,$Q$3,$J$3)</f>
        <v>0.21170321084217392</v>
      </c>
      <c r="N1137" s="12">
        <f ca="1"/>
        <v>177.93106309091081</v>
      </c>
      <c r="O1137" s="12">
        <f t="shared" ca="1" si="150"/>
        <v>0.22186295832965186</v>
      </c>
    </row>
    <row r="1138" spans="2:15" x14ac:dyDescent="0.15">
      <c r="B1138" s="6">
        <f t="shared" ca="1" si="143"/>
        <v>0.7320876078811861</v>
      </c>
      <c r="C1138" s="6">
        <f t="shared" ca="1" si="143"/>
        <v>-1.2988540649265536</v>
      </c>
      <c r="D1138" s="6">
        <f t="shared" ca="1" si="143"/>
        <v>1.1449062336993374</v>
      </c>
      <c r="E1138" s="8">
        <f t="shared" ca="1" si="144"/>
        <v>1.666846287135924E-2</v>
      </c>
      <c r="F1138" s="8">
        <f t="shared" ca="1" si="145"/>
        <v>-2.7029988409009468E-3</v>
      </c>
      <c r="G1138" s="8">
        <f t="shared" ca="1" si="146"/>
        <v>3.5321921000258279E-2</v>
      </c>
      <c r="H1138" s="10">
        <f t="shared" ca="1" si="147"/>
        <v>4082.9405468913783</v>
      </c>
      <c r="I1138" s="10">
        <f t="shared" ca="1" si="148"/>
        <v>542.52956863054987</v>
      </c>
      <c r="J1138" s="10">
        <f t="shared" ca="1" si="149"/>
        <v>2314.9798153565775</v>
      </c>
      <c r="K1138" s="12">
        <f t="array" aca="1" ref="K1138:L1138" ca="1">Opt3Spd(H1138:J1138,$E$3:$G$3,$K$3:$M$3,$N$3:$P$3,$H$3,$I$3,$Q$3,$J$3)</f>
        <v>232.41011315078435</v>
      </c>
      <c r="L1138" s="12">
        <f ca="1"/>
        <v>6.783746574228644E-3</v>
      </c>
      <c r="M1138" s="12">
        <f t="array" aca="1" ref="M1138:N1138" ca="1">Opt3Spd(H1138:J1138,$E$3:$G$3,$K$3:$M$3,$N$3:$P$3,$H$4,$I$3,$Q$3,$J$3)</f>
        <v>0.34042397536477154</v>
      </c>
      <c r="N1138" s="12">
        <f ca="1"/>
        <v>167.93709457115466</v>
      </c>
      <c r="O1138" s="12">
        <f t="shared" ca="1" si="150"/>
        <v>0.34720772193900018</v>
      </c>
    </row>
    <row r="1139" spans="2:15" x14ac:dyDescent="0.15">
      <c r="B1139" s="6">
        <f t="shared" ca="1" si="143"/>
        <v>-0.10305747567960823</v>
      </c>
      <c r="C1139" s="6">
        <f t="shared" ca="1" si="143"/>
        <v>0.76149474378817594</v>
      </c>
      <c r="D1139" s="6">
        <f t="shared" ca="1" si="143"/>
        <v>1.0127090542244075</v>
      </c>
      <c r="E1139" s="8">
        <f t="shared" ca="1" si="144"/>
        <v>-2.3464537419957921E-3</v>
      </c>
      <c r="F1139" s="8">
        <f t="shared" ca="1" si="145"/>
        <v>1.3682855505846954E-2</v>
      </c>
      <c r="G1139" s="8">
        <f t="shared" ca="1" si="146"/>
        <v>9.212877636285581E-3</v>
      </c>
      <c r="H1139" s="10">
        <f t="shared" ca="1" si="147"/>
        <v>4006.5766417721447</v>
      </c>
      <c r="I1139" s="10">
        <f t="shared" ca="1" si="148"/>
        <v>551.44347339518083</v>
      </c>
      <c r="J1139" s="10">
        <f t="shared" ca="1" si="149"/>
        <v>2256.5999943947345</v>
      </c>
      <c r="K1139" s="12">
        <f t="array" aca="1" ref="K1139:L1139" ca="1">Opt3Spd(H1139:J1139,$E$3:$G$3,$K$3:$M$3,$N$3:$P$3,$H$3,$I$3,$Q$3,$J$3)</f>
        <v>171.09815232759934</v>
      </c>
      <c r="L1139" s="12">
        <f ca="1"/>
        <v>0.13106518511108334</v>
      </c>
      <c r="M1139" s="12">
        <f t="array" aca="1" ref="M1139:N1139" ca="1">Opt3Spd(H1139:J1139,$E$3:$G$3,$K$3:$M$3,$N$3:$P$3,$H$4,$I$3,$Q$3,$J$3)</f>
        <v>2.0403852950989787E-2</v>
      </c>
      <c r="N1139" s="12">
        <f ca="1"/>
        <v>229.05331671046272</v>
      </c>
      <c r="O1139" s="12">
        <f t="shared" ca="1" si="150"/>
        <v>0.15146903806207312</v>
      </c>
    </row>
    <row r="1140" spans="2:15" x14ac:dyDescent="0.15">
      <c r="B1140" s="6">
        <f t="shared" ca="1" si="143"/>
        <v>1.5698264495996817</v>
      </c>
      <c r="C1140" s="6">
        <f t="shared" ca="1" si="143"/>
        <v>-1.0702845999798676</v>
      </c>
      <c r="D1140" s="6">
        <f t="shared" ca="1" si="143"/>
        <v>-0.36791496242684268</v>
      </c>
      <c r="E1140" s="8">
        <f t="shared" ca="1" si="144"/>
        <v>3.5742435205755714E-2</v>
      </c>
      <c r="F1140" s="8">
        <f t="shared" ca="1" si="145"/>
        <v>3.3626149574680887E-2</v>
      </c>
      <c r="G1140" s="8">
        <f t="shared" ca="1" si="146"/>
        <v>5.0646447736532769E-2</v>
      </c>
      <c r="H1140" s="10">
        <f t="shared" ca="1" si="147"/>
        <v>4159.5416197863151</v>
      </c>
      <c r="I1140" s="10">
        <f t="shared" ca="1" si="148"/>
        <v>562.29262536862632</v>
      </c>
      <c r="J1140" s="10">
        <f t="shared" ca="1" si="149"/>
        <v>2349.2454571388871</v>
      </c>
      <c r="K1140" s="12">
        <f t="array" aca="1" ref="K1140:L1140" ca="1">Opt3Spd(H1140:J1140,$E$3:$G$3,$K$3:$M$3,$N$3:$P$3,$H$3,$I$3,$Q$3,$J$3)</f>
        <v>260.25222969933247</v>
      </c>
      <c r="L1140" s="12">
        <f ca="1"/>
        <v>1.5390722628580988E-3</v>
      </c>
      <c r="M1140" s="12">
        <f t="array" aca="1" ref="M1140:N1140" ca="1">Opt3Spd(H1140:J1140,$E$3:$G$3,$K$3:$M$3,$N$3:$P$3,$H$4,$I$3,$Q$3,$J$3)</f>
        <v>0.97486924912327311</v>
      </c>
      <c r="N1140" s="12">
        <f ca="1"/>
        <v>140.72417862205367</v>
      </c>
      <c r="O1140" s="12">
        <f t="shared" ca="1" si="150"/>
        <v>0.97640832138613121</v>
      </c>
    </row>
    <row r="1141" spans="2:15" x14ac:dyDescent="0.15">
      <c r="B1141" s="6">
        <f t="shared" ca="1" si="143"/>
        <v>0.29265612010625452</v>
      </c>
      <c r="C1141" s="6">
        <f t="shared" ca="1" si="143"/>
        <v>-0.1437790312830074</v>
      </c>
      <c r="D1141" s="6">
        <f t="shared" ca="1" si="143"/>
        <v>0.15905679550701482</v>
      </c>
      <c r="E1141" s="8">
        <f t="shared" ca="1" si="144"/>
        <v>6.6633113572096524E-3</v>
      </c>
      <c r="F1141" s="8">
        <f t="shared" ca="1" si="145"/>
        <v>7.5503809057095011E-3</v>
      </c>
      <c r="G1141" s="8">
        <f t="shared" ca="1" si="146"/>
        <v>1.2028764278832437E-2</v>
      </c>
      <c r="H1141" s="10">
        <f t="shared" ca="1" si="147"/>
        <v>4042.759858410554</v>
      </c>
      <c r="I1141" s="10">
        <f t="shared" ca="1" si="148"/>
        <v>548.10740721270599</v>
      </c>
      <c r="J1141" s="10">
        <f t="shared" ca="1" si="149"/>
        <v>2262.8963169274693</v>
      </c>
      <c r="K1141" s="12">
        <f t="array" aca="1" ref="K1141:L1141" ca="1">Opt3Spd(H1141:J1141,$E$3:$G$3,$K$3:$M$3,$N$3:$P$3,$H$3,$I$3,$Q$3,$J$3)</f>
        <v>209.36116003962843</v>
      </c>
      <c r="L1141" s="12">
        <f ca="1"/>
        <v>2.1311633138793695E-2</v>
      </c>
      <c r="M1141" s="12">
        <f t="array" aca="1" ref="M1141:N1141" ca="1">Opt3Spd(H1141:J1141,$E$3:$G$3,$K$3:$M$3,$N$3:$P$3,$H$4,$I$3,$Q$3,$J$3)</f>
        <v>0.12606106614030388</v>
      </c>
      <c r="N1141" s="12">
        <f ca="1"/>
        <v>190.78621265965066</v>
      </c>
      <c r="O1141" s="12">
        <f t="shared" ca="1" si="150"/>
        <v>0.14737269927909757</v>
      </c>
    </row>
    <row r="1142" spans="2:15" x14ac:dyDescent="0.15">
      <c r="B1142" s="6">
        <f t="shared" ca="1" si="143"/>
        <v>0.84930283487435743</v>
      </c>
      <c r="C1142" s="6">
        <f t="shared" ca="1" si="143"/>
        <v>3.050141784556094E-2</v>
      </c>
      <c r="D1142" s="6">
        <f t="shared" ca="1" si="143"/>
        <v>0.65245866450374479</v>
      </c>
      <c r="E1142" s="8">
        <f t="shared" ca="1" si="144"/>
        <v>1.9337265946374152E-2</v>
      </c>
      <c r="F1142" s="8">
        <f t="shared" ca="1" si="145"/>
        <v>3.2204810860708449E-2</v>
      </c>
      <c r="G1142" s="8">
        <f t="shared" ca="1" si="146"/>
        <v>3.8241227361416261E-2</v>
      </c>
      <c r="H1142" s="10">
        <f t="shared" ca="1" si="147"/>
        <v>4093.6584600406386</v>
      </c>
      <c r="I1142" s="10">
        <f t="shared" ca="1" si="148"/>
        <v>561.51941710822541</v>
      </c>
      <c r="J1142" s="10">
        <f t="shared" ca="1" si="149"/>
        <v>2321.507384380127</v>
      </c>
      <c r="K1142" s="12">
        <f t="array" aca="1" ref="K1142:L1142" ca="1">Opt3Spd(H1142:J1142,$E$3:$G$3,$K$3:$M$3,$N$3:$P$3,$H$3,$I$3,$Q$3,$J$3)</f>
        <v>209.49660611454965</v>
      </c>
      <c r="L1142" s="12">
        <f ca="1"/>
        <v>2.2905637135181678E-2</v>
      </c>
      <c r="M1142" s="12">
        <f t="array" aca="1" ref="M1142:N1142" ca="1">Opt3Spd(H1142:J1142,$E$3:$G$3,$K$3:$M$3,$N$3:$P$3,$H$4,$I$3,$Q$3,$J$3)</f>
        <v>0.1333592270998718</v>
      </c>
      <c r="N1142" s="12">
        <f ca="1"/>
        <v>190.65965874968541</v>
      </c>
      <c r="O1142" s="12">
        <f t="shared" ca="1" si="150"/>
        <v>0.15626486423505348</v>
      </c>
    </row>
    <row r="1143" spans="2:15" x14ac:dyDescent="0.15">
      <c r="B1143" s="6">
        <f t="shared" ca="1" si="143"/>
        <v>-1.0588331248646217</v>
      </c>
      <c r="C1143" s="6">
        <f t="shared" ca="1" si="143"/>
        <v>-0.77257051889614359</v>
      </c>
      <c r="D1143" s="6">
        <f t="shared" ca="1" si="143"/>
        <v>1.1716247530752892</v>
      </c>
      <c r="E1143" s="8">
        <f t="shared" ca="1" si="144"/>
        <v>-2.410793522356082E-2</v>
      </c>
      <c r="F1143" s="8">
        <f t="shared" ca="1" si="145"/>
        <v>-5.7036079619777004E-2</v>
      </c>
      <c r="G1143" s="8">
        <f t="shared" ca="1" si="146"/>
        <v>-2.8661174637489989E-2</v>
      </c>
      <c r="H1143" s="10">
        <f t="shared" ca="1" si="147"/>
        <v>3919.1825321421798</v>
      </c>
      <c r="I1143" s="10">
        <f t="shared" ca="1" si="148"/>
        <v>512.97237268684137</v>
      </c>
      <c r="J1143" s="10">
        <f t="shared" ca="1" si="149"/>
        <v>2171.9136135105723</v>
      </c>
      <c r="K1143" s="12">
        <f t="array" aca="1" ref="K1143:L1143" ca="1">Opt3Spd(H1143:J1143,$E$3:$G$3,$K$3:$M$3,$N$3:$P$3,$H$3,$I$3,$Q$3,$J$3)</f>
        <v>187.52545307473974</v>
      </c>
      <c r="L1143" s="12">
        <f ca="1"/>
        <v>5.5523986792422875E-2</v>
      </c>
      <c r="M1143" s="12">
        <f t="array" aca="1" ref="M1143:N1143" ca="1">Opt3Spd(H1143:J1143,$E$3:$G$3,$K$3:$M$3,$N$3:$P$3,$H$4,$I$3,$Q$3,$J$3)</f>
        <v>4.2111047448107009E-2</v>
      </c>
      <c r="N1143" s="12">
        <f ca="1"/>
        <v>212.5721819595008</v>
      </c>
      <c r="O1143" s="12">
        <f t="shared" ca="1" si="150"/>
        <v>9.7635034240529883E-2</v>
      </c>
    </row>
  </sheetData>
  <mergeCells count="5">
    <mergeCell ref="T1:W1"/>
    <mergeCell ref="B8:D8"/>
    <mergeCell ref="E8:G8"/>
    <mergeCell ref="H8:J8"/>
    <mergeCell ref="K8:O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2018-03-01T08:27:37Z</dcterms:modified>
</cp:coreProperties>
</file>