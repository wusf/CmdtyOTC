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5" i="5" l="1"/>
  <c r="AE16" i="5"/>
  <c r="AE19" i="5"/>
  <c r="AE20" i="5"/>
  <c r="AE27" i="5"/>
  <c r="AE28" i="5"/>
  <c r="AE29" i="5"/>
  <c r="AE30" i="5"/>
  <c r="AE31" i="5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0" i="5" l="1"/>
  <c r="AE18" i="5"/>
  <c r="AE26" i="5"/>
  <c r="AE12" i="5"/>
  <c r="AE11" i="5"/>
  <c r="AE14" i="5"/>
  <c r="AE13" i="5"/>
  <c r="AE21" i="5"/>
  <c r="AE22" i="5"/>
  <c r="AE9" i="5"/>
  <c r="AE25" i="5"/>
  <c r="AE23" i="5"/>
  <c r="AE17" i="5"/>
  <c r="AE7" i="5"/>
  <c r="AE8" i="5"/>
  <c r="AE24" i="5"/>
  <c r="E18" i="6"/>
  <c r="AR7" i="5"/>
  <c r="AP21" i="5"/>
  <c r="AM10" i="5"/>
  <c r="AK24" i="5"/>
  <c r="AH13" i="5"/>
  <c r="AF27" i="5"/>
  <c r="AN21" i="5"/>
  <c r="AI24" i="5"/>
  <c r="AR24" i="5"/>
  <c r="AO13" i="5"/>
  <c r="AM27" i="5"/>
  <c r="AJ16" i="5"/>
  <c r="AH30" i="5"/>
  <c r="AR9" i="5"/>
  <c r="AO22" i="5"/>
  <c r="AJ25" i="5"/>
  <c r="AF23" i="5"/>
  <c r="AQ25" i="5"/>
  <c r="AN14" i="5"/>
  <c r="AL28" i="5"/>
  <c r="AI17" i="5"/>
  <c r="AG31" i="5"/>
  <c r="AR27" i="5"/>
  <c r="AO16" i="5"/>
  <c r="AM30" i="5"/>
  <c r="AJ19" i="5"/>
  <c r="AG8" i="5"/>
  <c r="AR13" i="5"/>
  <c r="AK13" i="5"/>
  <c r="AF18" i="5"/>
  <c r="AH10" i="5"/>
  <c r="AG11" i="5"/>
  <c r="AP11" i="5"/>
  <c r="AJ30" i="5"/>
  <c r="AM24" i="5"/>
  <c r="AH28" i="5"/>
  <c r="AO25" i="5"/>
  <c r="AO17" i="5"/>
  <c r="AH11" i="5"/>
  <c r="AN16" i="5"/>
  <c r="AG10" i="5"/>
  <c r="AP27" i="5"/>
  <c r="AO12" i="5"/>
  <c r="AJ15" i="5"/>
  <c r="AH31" i="5"/>
  <c r="AO29" i="5"/>
  <c r="AI7" i="5"/>
  <c r="AQ8" i="5"/>
  <c r="AH7" i="5"/>
  <c r="AR20" i="5"/>
  <c r="AN30" i="5"/>
  <c r="AH8" i="5"/>
  <c r="AQ18" i="5"/>
  <c r="AL21" i="5"/>
  <c r="AG24" i="5"/>
  <c r="AJ29" i="5"/>
  <c r="AQ20" i="5"/>
  <c r="AO27" i="5"/>
  <c r="AI11" i="5"/>
  <c r="AK30" i="5"/>
  <c r="AG27" i="5"/>
  <c r="AF26" i="5"/>
  <c r="AO26" i="5"/>
  <c r="AN9" i="5"/>
  <c r="AM23" i="5"/>
  <c r="AL8" i="5"/>
  <c r="AR29" i="5"/>
  <c r="AL25" i="5"/>
  <c r="AK26" i="5"/>
  <c r="AN28" i="5"/>
  <c r="AF20" i="5"/>
  <c r="AL27" i="5"/>
  <c r="AO15" i="5"/>
  <c r="AG7" i="5"/>
  <c r="AN31" i="5"/>
  <c r="AF31" i="5"/>
  <c r="AJ13" i="5"/>
  <c r="AG17" i="5"/>
  <c r="AM7" i="5"/>
  <c r="AK22" i="5"/>
  <c r="AQ30" i="5"/>
  <c r="AI22" i="5"/>
  <c r="AF11" i="5"/>
  <c r="AP22" i="5"/>
  <c r="AH14" i="5"/>
  <c r="AF13" i="5"/>
  <c r="AL12" i="5"/>
  <c r="AR11" i="5"/>
  <c r="AM14" i="5"/>
  <c r="AM17" i="5"/>
  <c r="AM15" i="5"/>
  <c r="AP12" i="5"/>
  <c r="AQ21" i="5"/>
  <c r="AI19" i="5"/>
  <c r="AN27" i="5"/>
  <c r="AF19" i="5"/>
  <c r="AR16" i="5"/>
  <c r="AJ8" i="5"/>
  <c r="AP31" i="5"/>
  <c r="AQ17" i="5"/>
  <c r="AI9" i="5"/>
  <c r="AO8" i="5"/>
  <c r="AR12" i="5"/>
  <c r="AG25" i="5"/>
  <c r="AQ13" i="5"/>
  <c r="AI12" i="5"/>
  <c r="AI13" i="5"/>
  <c r="AQ29" i="5"/>
  <c r="AR15" i="5"/>
  <c r="AP29" i="5"/>
  <c r="AM18" i="5"/>
  <c r="AJ7" i="5"/>
  <c r="AH21" i="5"/>
  <c r="AM12" i="5"/>
  <c r="AH15" i="5"/>
  <c r="AQ7" i="5"/>
  <c r="AO21" i="5"/>
  <c r="AL10" i="5"/>
  <c r="AJ24" i="5"/>
  <c r="AG13" i="5"/>
  <c r="AR25" i="5"/>
  <c r="AN13" i="5"/>
  <c r="AI16" i="5"/>
  <c r="AP8" i="5"/>
  <c r="AN22" i="5"/>
  <c r="AK11" i="5"/>
  <c r="AI25" i="5"/>
  <c r="AF14" i="5"/>
  <c r="AQ10" i="5"/>
  <c r="AO24" i="5"/>
  <c r="AL13" i="5"/>
  <c r="AJ27" i="5"/>
  <c r="AG16" i="5"/>
  <c r="AQ12" i="5"/>
  <c r="AK31" i="5"/>
  <c r="AR21" i="5"/>
  <c r="AR22" i="5"/>
  <c r="AG26" i="5"/>
  <c r="AO9" i="5"/>
  <c r="AI28" i="5"/>
  <c r="AK15" i="5"/>
  <c r="AF24" i="5"/>
  <c r="AM16" i="5"/>
  <c r="AN10" i="5"/>
  <c r="AG9" i="5"/>
  <c r="AM9" i="5"/>
  <c r="AF8" i="5"/>
  <c r="AK7" i="5"/>
  <c r="AR23" i="5"/>
  <c r="AM26" i="5"/>
  <c r="AH29" i="5"/>
  <c r="AM28" i="5"/>
  <c r="AQ15" i="5"/>
  <c r="AL18" i="5"/>
  <c r="AG21" i="5"/>
  <c r="AN29" i="5"/>
  <c r="AP16" i="5"/>
  <c r="AK19" i="5"/>
  <c r="AF22" i="5"/>
  <c r="AN7" i="5"/>
  <c r="AI10" i="5"/>
  <c r="AP10" i="5"/>
  <c r="AO10" i="5"/>
  <c r="AR30" i="5"/>
  <c r="AN18" i="5"/>
  <c r="AH26" i="5"/>
  <c r="AM8" i="5"/>
  <c r="AL7" i="5"/>
  <c r="AI21" i="5"/>
  <c r="AH20" i="5"/>
  <c r="AJ28" i="5"/>
  <c r="AP18" i="5"/>
  <c r="AL24" i="5"/>
  <c r="AI20" i="5"/>
  <c r="AN11" i="5"/>
  <c r="AP15" i="5"/>
  <c r="AP14" i="5"/>
  <c r="AI31" i="5"/>
  <c r="AG22" i="5"/>
  <c r="AM29" i="5"/>
  <c r="AH9" i="5"/>
  <c r="AG18" i="5"/>
  <c r="AN17" i="5"/>
  <c r="AQ19" i="5"/>
  <c r="AR28" i="5"/>
  <c r="AJ21" i="5"/>
  <c r="AN19" i="5"/>
  <c r="AJ17" i="5"/>
  <c r="AM11" i="5"/>
  <c r="AF28" i="5"/>
  <c r="AK18" i="5"/>
  <c r="AO23" i="5"/>
  <c r="AG15" i="5"/>
  <c r="AH17" i="5"/>
  <c r="AF16" i="5"/>
  <c r="AL23" i="5"/>
  <c r="AK14" i="5"/>
  <c r="AH18" i="5"/>
  <c r="AP20" i="5"/>
  <c r="AP13" i="5"/>
  <c r="AO30" i="5"/>
  <c r="AP30" i="5"/>
  <c r="AH22" i="5"/>
  <c r="AJ9" i="5"/>
  <c r="AO31" i="5"/>
  <c r="AG23" i="5"/>
  <c r="AM22" i="5"/>
  <c r="AL15" i="5"/>
  <c r="AJ14" i="5"/>
  <c r="AJ12" i="5"/>
  <c r="AO18" i="5"/>
  <c r="AR31" i="5"/>
  <c r="AO20" i="5"/>
  <c r="AL9" i="5"/>
  <c r="AJ23" i="5"/>
  <c r="AG12" i="5"/>
  <c r="AL19" i="5"/>
  <c r="AG30" i="5"/>
  <c r="AQ23" i="5"/>
  <c r="AN12" i="5"/>
  <c r="AL26" i="5"/>
  <c r="AI15" i="5"/>
  <c r="AG29" i="5"/>
  <c r="AQ16" i="5"/>
  <c r="AM20" i="5"/>
  <c r="AH23" i="5"/>
  <c r="AR10" i="5"/>
  <c r="AP24" i="5"/>
  <c r="AM13" i="5"/>
  <c r="AK27" i="5"/>
  <c r="AH16" i="5"/>
  <c r="AF30" i="5"/>
  <c r="AQ26" i="5"/>
  <c r="AN15" i="5"/>
  <c r="AL29" i="5"/>
  <c r="AI18" i="5"/>
  <c r="AF7" i="5"/>
  <c r="AP28" i="5"/>
  <c r="AI27" i="5"/>
  <c r="AN26" i="5"/>
  <c r="AO11" i="5"/>
  <c r="AQ28" i="5"/>
  <c r="AL14" i="5"/>
  <c r="AN25" i="5"/>
  <c r="AG19" i="5"/>
  <c r="AH27" i="5"/>
  <c r="AO19" i="5"/>
  <c r="AH19" i="5"/>
  <c r="AM31" i="5"/>
  <c r="AF25" i="5"/>
  <c r="AL30" i="5"/>
  <c r="AL31" i="5"/>
  <c r="AF10" i="5"/>
  <c r="AQ14" i="5"/>
  <c r="AO28" i="5"/>
  <c r="AL17" i="5"/>
  <c r="AJ31" i="5"/>
  <c r="AG20" i="5"/>
  <c r="AR17" i="5"/>
  <c r="AK10" i="5"/>
  <c r="AF21" i="5"/>
  <c r="AQ31" i="5"/>
  <c r="AN20" i="5"/>
  <c r="AK9" i="5"/>
  <c r="AI23" i="5"/>
  <c r="AF12" i="5"/>
  <c r="AQ24" i="5"/>
  <c r="AL11" i="5"/>
  <c r="AG14" i="5"/>
  <c r="AR18" i="5"/>
  <c r="AO7" i="5"/>
  <c r="AM21" i="5"/>
  <c r="AJ10" i="5"/>
  <c r="AH24" i="5"/>
  <c r="AP9" i="5"/>
  <c r="AN23" i="5"/>
  <c r="AK12" i="5"/>
  <c r="AI26" i="5"/>
  <c r="AF15" i="5"/>
  <c r="AL22" i="5"/>
  <c r="AP26" i="5"/>
  <c r="AF17" i="5"/>
  <c r="AK23" i="5"/>
  <c r="AQ22" i="5"/>
  <c r="AI14" i="5"/>
  <c r="AG28" i="5"/>
  <c r="AK17" i="5"/>
  <c r="AP7" i="5"/>
  <c r="AR26" i="5"/>
  <c r="AJ18" i="5"/>
  <c r="AP17" i="5"/>
  <c r="AK20" i="5"/>
  <c r="AN24" i="5"/>
  <c r="AM25" i="5"/>
  <c r="AL16" i="5"/>
  <c r="AJ22" i="5"/>
  <c r="AQ27" i="5"/>
  <c r="AF9" i="5"/>
  <c r="AK8" i="5"/>
  <c r="AO14" i="5"/>
  <c r="AR8" i="5"/>
  <c r="AK25" i="5"/>
  <c r="AP23" i="5"/>
  <c r="AQ9" i="5"/>
  <c r="AJ26" i="5"/>
  <c r="AP25" i="5"/>
  <c r="AK28" i="5"/>
  <c r="AI29" i="5"/>
  <c r="AR14" i="5"/>
  <c r="AK21" i="5"/>
  <c r="AJ20" i="5"/>
  <c r="AQ11" i="5"/>
  <c r="AK16" i="5"/>
  <c r="AI30" i="5"/>
  <c r="AI8" i="5"/>
  <c r="AM19" i="5"/>
  <c r="AF29" i="5"/>
  <c r="AL20" i="5"/>
  <c r="AR19" i="5"/>
  <c r="AJ11" i="5"/>
  <c r="AH25" i="5"/>
  <c r="AK29" i="5"/>
  <c r="AN8" i="5"/>
  <c r="AP19" i="5"/>
  <c r="AH12" i="5"/>
  <c r="E17" i="6" l="1"/>
  <c r="E16" i="6"/>
  <c r="E12" i="6" l="1"/>
  <c r="J18" i="6"/>
  <c r="J17" i="6"/>
  <c r="J16" i="6"/>
  <c r="J12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8" i="6"/>
  <c r="J9" i="6"/>
  <c r="J7" i="6"/>
</calcChain>
</file>

<file path=xl/sharedStrings.xml><?xml version="1.0" encoding="utf-8"?>
<sst xmlns="http://schemas.openxmlformats.org/spreadsheetml/2006/main" count="809" uniqueCount="325">
  <si>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</si>
  <si>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</si>
  <si>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</si>
  <si>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</si>
  <si>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</si>
  <si>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</si>
  <si>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</si>
  <si>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</si>
  <si>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</si>
  <si>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</si>
  <si>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</si>
  <si>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</si>
  <si>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</si>
  <si>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</si>
  <si>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</si>
  <si>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</si>
  <si>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</si>
  <si>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</si>
  <si>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</si>
  <si>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</si>
  <si>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</si>
  <si>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</si>
  <si>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</si>
  <si>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</si>
  <si>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</si>
  <si>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</si>
  <si>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</si>
  <si>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</si>
  <si>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</si>
  <si>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</si>
  <si>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</si>
  <si>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</si>
  <si>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</si>
  <si>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</si>
  <si>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</si>
  <si>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</si>
  <si>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</si>
  <si>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</si>
  <si>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</si>
  <si>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</si>
  <si>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</si>
  <si>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</si>
  <si>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</si>
  <si>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</si>
  <si>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</si>
  <si>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</si>
  <si>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</si>
  <si>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</si>
  <si>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</si>
  <si>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</si>
  <si>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</si>
  <si>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</si>
  <si>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</si>
  <si>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</si>
  <si>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</si>
  <si>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</si>
  <si>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</si>
  <si>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</si>
  <si>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</si>
  <si>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</si>
  <si>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</si>
  <si>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</si>
  <si>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</si>
  <si>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</si>
  <si>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</si>
  <si>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</si>
  <si>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</si>
  <si>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</si>
  <si>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</si>
  <si>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</si>
  <si>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</si>
  <si>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</si>
  <si>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</si>
  <si>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</si>
  <si>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</si>
  <si>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</si>
  <si>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</si>
  <si>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</si>
  <si>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</si>
  <si>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</si>
  <si>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</si>
  <si>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</si>
  <si>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</si>
  <si>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</si>
  <si>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</si>
  <si>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</si>
  <si>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</si>
  <si>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</si>
  <si>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</si>
  <si>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</si>
  <si>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</si>
  <si>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</si>
  <si>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</si>
  <si>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</si>
  <si>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</si>
  <si>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</si>
  <si>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</si>
  <si>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</si>
  <si>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</si>
  <si>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</si>
  <si>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</si>
  <si>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</si>
  <si>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</si>
  <si>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</si>
  <si>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</si>
  <si>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</si>
  <si>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</si>
  <si>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</si>
  <si>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</si>
  <si>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</si>
  <si>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</si>
  <si>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</si>
  <si>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</si>
  <si>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</si>
  <si>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</si>
  <si>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</si>
  <si>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</si>
  <si>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</si>
  <si>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</si>
  <si>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</si>
  <si>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</si>
  <si>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</si>
  <si>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</si>
  <si>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</si>
  <si>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</si>
  <si>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</si>
  <si>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</si>
  <si>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</si>
  <si>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</si>
  <si>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</si>
  <si>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</si>
  <si>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</si>
  <si>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</si>
  <si>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</si>
  <si>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</si>
  <si>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</si>
  <si>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</si>
  <si>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</si>
  <si>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</si>
  <si>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</si>
  <si>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</si>
  <si>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</si>
  <si>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</si>
  <si>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</si>
  <si>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</si>
  <si>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</si>
  <si>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</si>
  <si>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</si>
  <si>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</si>
  <si>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</si>
  <si>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</si>
  <si>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</si>
  <si>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</si>
  <si>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</si>
  <si>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</si>
  <si>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</si>
  <si>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</si>
  <si>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</si>
  <si>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</si>
  <si>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</si>
  <si>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</si>
  <si>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</si>
  <si>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</si>
  <si>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</si>
  <si>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</si>
  <si>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</si>
  <si>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</si>
  <si>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</si>
  <si>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</si>
  <si>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</si>
  <si>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</si>
  <si>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</si>
  <si>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</si>
  <si>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</si>
  <si>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</si>
  <si>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</si>
  <si>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</si>
  <si>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</si>
  <si>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</si>
  <si>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</si>
  <si>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</si>
  <si>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</si>
  <si>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</si>
  <si>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</si>
  <si>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</si>
  <si>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</si>
  <si>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</si>
  <si>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</si>
  <si>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1.032|1|1</t>
  </si>
  <si>
    <t>1.064|1|1</t>
  </si>
  <si>
    <t>.968|1|1</t>
  </si>
  <si>
    <t>.936|1|1</t>
  </si>
  <si>
    <t>1.021|1|1</t>
  </si>
  <si>
    <t>1.042|1|1</t>
  </si>
  <si>
    <t>.979|1|1</t>
  </si>
  <si>
    <t>.958|1|1</t>
  </si>
  <si>
    <t>b</t>
  </si>
  <si>
    <t>b</t>
    <phoneticPr fontId="1" type="noConversion"/>
  </si>
  <si>
    <t>s</t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</si>
  <si>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</si>
  <si>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</si>
  <si>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</si>
  <si>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20180227-CICC-MRJH-SIK18-SWP-59</t>
  </si>
  <si>
    <t>b</t>
    <phoneticPr fontId="1" type="noConversion"/>
  </si>
  <si>
    <t>swp</t>
    <phoneticPr fontId="1" type="noConversion"/>
  </si>
  <si>
    <t>lmca</t>
    <phoneticPr fontId="1" type="noConversion"/>
  </si>
  <si>
    <t>lmah</t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</si>
  <si>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</si>
  <si>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</si>
  <si>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</si>
  <si>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</si>
  <si>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</si>
  <si>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</si>
  <si>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</si>
  <si>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</si>
  <si>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</si>
  <si>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</si>
  <si>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</si>
  <si>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</si>
  <si>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</si>
  <si>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</si>
  <si>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</si>
  <si>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</si>
  <si>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1.083|1|1</t>
  </si>
  <si>
    <t>1.125|1|1</t>
  </si>
  <si>
    <t>.917|1|1</t>
  </si>
  <si>
    <t>.875|1|1</t>
  </si>
  <si>
    <t>1.125|1.1|1</t>
  </si>
  <si>
    <t>1.125|.9|1</t>
  </si>
  <si>
    <t>.875|1.1|1</t>
  </si>
  <si>
    <t>.875|.9|1</t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</si>
  <si>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</si>
  <si>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</si>
  <si>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</si>
  <si>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</si>
  <si>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</si>
  <si>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</si>
  <si>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</si>
  <si>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</si>
  <si>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1.073|1|1</t>
  </si>
  <si>
    <t>1.109|1|1</t>
  </si>
  <si>
    <t>.927|1|1</t>
  </si>
  <si>
    <t>.891|1|1</t>
  </si>
  <si>
    <t>1.109|1.1|1</t>
  </si>
  <si>
    <t>1.109|.9|1</t>
  </si>
  <si>
    <t>.891|1.1|1</t>
  </si>
  <si>
    <t>.891|.9|1</t>
  </si>
  <si>
    <t>1.033|1|1</t>
  </si>
  <si>
    <t>1.066|1|1</t>
  </si>
  <si>
    <t>1.099|1|1</t>
  </si>
  <si>
    <t>.967|1|1</t>
  </si>
  <si>
    <t>.934|1|1</t>
  </si>
  <si>
    <t>.901|1|1</t>
  </si>
  <si>
    <t>1.099|1.1|1</t>
  </si>
  <si>
    <t>1.099|.9|1</t>
  </si>
  <si>
    <t>.901|1.1|1</t>
  </si>
  <si>
    <t>.901|.9|1</t>
  </si>
  <si>
    <t>1.043|1|1</t>
  </si>
  <si>
    <t>.957|1|1</t>
  </si>
  <si>
    <t>1.064|1.1|1</t>
  </si>
  <si>
    <t>1.064|.9|1</t>
  </si>
  <si>
    <t>.936|1.1|1</t>
  </si>
  <si>
    <t>.936|.9|1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</si>
  <si>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</si>
  <si>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</si>
  <si>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</si>
  <si>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</si>
  <si>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</si>
  <si>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</si>
  <si>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</si>
  <si>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</si>
  <si>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</si>
  <si>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</si>
  <si>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1.016|1|1</t>
  </si>
  <si>
    <t>1.048|1|1</t>
  </si>
  <si>
    <t>.984|1|1</t>
  </si>
  <si>
    <t>.952|1|1</t>
  </si>
  <si>
    <t>1.048|1.1|1</t>
  </si>
  <si>
    <t>1.048|.9|1</t>
  </si>
  <si>
    <t>.952|1.1|1</t>
  </si>
  <si>
    <t>.952|.9|1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</si>
  <si>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</si>
  <si>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</si>
  <si>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</si>
  <si>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</si>
  <si>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</si>
  <si>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</si>
  <si>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</si>
  <si>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</si>
  <si>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</si>
  <si>
    <t>ca</t>
    <phoneticPr fontId="1" type="noConversion"/>
  </si>
  <si>
    <t>20180309-CICC-MRJH-LMECA-SWP-89</t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</si>
  <si>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</si>
  <si>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</si>
  <si>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</si>
  <si>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</si>
  <si>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lmca</t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</si>
  <si>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</si>
  <si>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</si>
  <si>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</si>
  <si>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</si>
  <si>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</si>
  <si>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1.213|1|.35</t>
  </si>
  <si>
    <t>.787|1|.35</t>
  </si>
  <si>
    <t>1.25|1|.35</t>
  </si>
  <si>
    <t>.75|1|.35</t>
  </si>
  <si>
    <t>1.218|1|.35</t>
  </si>
  <si>
    <t>.782|1|.35</t>
  </si>
  <si>
    <t>1.197|1|.35</t>
  </si>
  <si>
    <t>.803|1|.35</t>
  </si>
  <si>
    <t>1.128|1|.35</t>
  </si>
  <si>
    <t>.872|1|.35</t>
  </si>
  <si>
    <t>1.152|1|.35</t>
  </si>
  <si>
    <t>.848|1|.35</t>
  </si>
  <si>
    <t>1.097|1|.35</t>
  </si>
  <si>
    <t>.903|1|.35</t>
  </si>
  <si>
    <t>1.039|1|1</t>
  </si>
  <si>
    <t>.961|1|1</t>
  </si>
  <si>
    <t>1.117|1|.35</t>
  </si>
  <si>
    <t>.883|1|.35</t>
  </si>
  <si>
    <t>#</t>
    <phoneticPr fontId="1" type="noConversion"/>
  </si>
  <si>
    <t>20180316-CICC-MRJH-SIN18-SWP-C-63</t>
  </si>
  <si>
    <t>sin18e</t>
  </si>
  <si>
    <t>sin18e</t>
    <phoneticPr fontId="1" type="noConversion"/>
  </si>
  <si>
    <t>20180316-CICC-MRJH-SIN18-SWP-C-63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</si>
</sst>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d\-mmm\-yy;@"/>
    <numFmt numFmtId="177" formatCode="0.000"/>
    <numFmt numFmtId="178" formatCode="###,###,##0.000000"/>
    <numFmt numFmtId="179" formatCode="###,###,##0.0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1" totalsRowShown="0" headerRowDxfId="126" dataDxfId="125">
  <autoFilter ref="B6:AR31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6" totalsRowShown="0" headerRowDxfId="68" dataDxfId="67">
  <autoFilter ref="B8:N36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0" totalsRowShown="0" headerRowDxfId="53" dataDxfId="52">
  <autoFilter ref="B6:J20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D27" sqref="D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5"/>
  <sheetViews>
    <sheetView tabSelected="1" topLeftCell="I1" zoomScaleNormal="100" workbookViewId="0">
      <selection activeCell="B6" sqref="B6:AR31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4">
      <c r="B3" s="6" t="s">
        <v>36</v>
      </c>
    </row>
    <row r="4" spans="1:44">
      <c r="B4" s="7">
        <f ca="1">TODAY()</f>
        <v>43180</v>
      </c>
      <c r="AE4" s="8"/>
    </row>
    <row r="6" spans="1:44">
      <c r="A6" s="6" t="s">
        <v>320</v>
      </c>
      <c r="B6" s="6" t="s">
        <v>281</v>
      </c>
      <c r="C6" s="6" t="s">
        <v>81</v>
      </c>
      <c r="D6" s="6" t="s">
        <v>167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4" ht="15" customHeight="1">
      <c r="B7" s="9" t="s">
        <v>283</v>
      </c>
      <c r="C7" s="9" t="s">
        <v>284</v>
      </c>
      <c r="D7" s="9" t="s">
        <v>168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13935</v>
      </c>
      <c r="P7" s="9">
        <v>0.14000000000000001</v>
      </c>
      <c r="Q7" s="9" t="s">
        <v>164</v>
      </c>
      <c r="R7" s="9" t="s">
        <v>186</v>
      </c>
      <c r="S7" s="9" t="s">
        <v>231</v>
      </c>
      <c r="T7" s="9" t="s">
        <v>232</v>
      </c>
      <c r="U7" s="9" t="s">
        <v>187</v>
      </c>
      <c r="V7" s="9" t="s">
        <v>233</v>
      </c>
      <c r="W7" s="9" t="s">
        <v>234</v>
      </c>
      <c r="X7" s="9" t="s">
        <v>235</v>
      </c>
      <c r="Y7" s="9" t="s">
        <v>236</v>
      </c>
      <c r="Z7" s="9" t="s">
        <v>237</v>
      </c>
      <c r="AA7" s="9" t="s">
        <v>238</v>
      </c>
      <c r="AB7" s="9" t="s">
        <v>300</v>
      </c>
      <c r="AC7" s="9" t="s">
        <v>301</v>
      </c>
      <c r="AD7" s="9">
        <v>0.12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0.13085714285714287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184885.48329730341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-89553.628396707383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-182890.09789786098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-205986.78949818155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768760.72390934033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1698302.0961753486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2940988.9045677758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-201277.31836169894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-208520.01226779094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2962376.3194333813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2924770.8165063695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-209999.0652408915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2268417.1944303908</v>
      </c>
    </row>
    <row r="8" spans="1:44">
      <c r="B8" s="9" t="s">
        <v>66</v>
      </c>
      <c r="C8" s="9" t="s">
        <v>111</v>
      </c>
      <c r="D8" s="9" t="s">
        <v>168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3432</v>
      </c>
      <c r="P8" s="9">
        <v>0.18</v>
      </c>
      <c r="Q8" s="9" t="s">
        <v>164</v>
      </c>
      <c r="R8" s="9" t="s">
        <v>165</v>
      </c>
      <c r="S8" s="9" t="s">
        <v>215</v>
      </c>
      <c r="T8" s="9" t="s">
        <v>216</v>
      </c>
      <c r="U8" s="9" t="s">
        <v>166</v>
      </c>
      <c r="V8" s="9" t="s">
        <v>217</v>
      </c>
      <c r="W8" s="9" t="s">
        <v>218</v>
      </c>
      <c r="X8" s="9" t="s">
        <v>219</v>
      </c>
      <c r="Y8" s="9" t="s">
        <v>220</v>
      </c>
      <c r="Z8" s="9" t="s">
        <v>221</v>
      </c>
      <c r="AA8" s="9" t="s">
        <v>222</v>
      </c>
      <c r="AB8" s="9" t="s">
        <v>302</v>
      </c>
      <c r="AC8" s="9" t="s">
        <v>303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0.15237048665620093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1088384.6420635493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556172.71838708769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157333.87991961831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-97016.623006456241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1682466.6064509321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2278183.4403408067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2894248.969451563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-64007.678481836425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-129114.6434814008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2894308.4481432857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2894233.9070150196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-273908.55323381384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1469486.1900100172</v>
      </c>
    </row>
    <row r="9" spans="1:44">
      <c r="B9" s="9" t="s">
        <v>67</v>
      </c>
      <c r="C9" s="9" t="s">
        <v>111</v>
      </c>
      <c r="D9" s="9" t="s">
        <v>168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3432</v>
      </c>
      <c r="P9" s="9">
        <v>0.18</v>
      </c>
      <c r="Q9" s="9" t="s">
        <v>164</v>
      </c>
      <c r="R9" s="9" t="s">
        <v>165</v>
      </c>
      <c r="S9" s="9" t="s">
        <v>215</v>
      </c>
      <c r="T9" s="9" t="s">
        <v>216</v>
      </c>
      <c r="U9" s="9" t="s">
        <v>166</v>
      </c>
      <c r="V9" s="9" t="s">
        <v>217</v>
      </c>
      <c r="W9" s="9" t="s">
        <v>218</v>
      </c>
      <c r="X9" s="9" t="s">
        <v>219</v>
      </c>
      <c r="Y9" s="9" t="s">
        <v>220</v>
      </c>
      <c r="Z9" s="9" t="s">
        <v>221</v>
      </c>
      <c r="AA9" s="9" t="s">
        <v>222</v>
      </c>
      <c r="AB9" s="9" t="s">
        <v>302</v>
      </c>
      <c r="AC9" s="9" t="s">
        <v>303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0.14647619047619048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2385520.2270510932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1227091.0006955643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320088.580697631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-230682.9344947348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3610227.8384875599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4809270.7066820012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6043046.486095055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-179855.96657939436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-280021.57425342553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6043047.2408325868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6043046.4160539275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-499709.9883605729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3061551.6884926641</v>
      </c>
    </row>
    <row r="10" spans="1:44">
      <c r="B10" s="9" t="s">
        <v>95</v>
      </c>
      <c r="C10" s="9" t="s">
        <v>112</v>
      </c>
      <c r="D10" s="9" t="s">
        <v>168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463</v>
      </c>
      <c r="P10" s="9">
        <v>0.36</v>
      </c>
      <c r="Q10" s="9" t="s">
        <v>164</v>
      </c>
      <c r="R10" s="9" t="s">
        <v>193</v>
      </c>
      <c r="S10" s="9" t="s">
        <v>223</v>
      </c>
      <c r="T10" s="9" t="s">
        <v>224</v>
      </c>
      <c r="U10" s="9" t="s">
        <v>195</v>
      </c>
      <c r="V10" s="9" t="s">
        <v>225</v>
      </c>
      <c r="W10" s="9" t="s">
        <v>226</v>
      </c>
      <c r="X10" s="9" t="s">
        <v>227</v>
      </c>
      <c r="Y10" s="9" t="s">
        <v>228</v>
      </c>
      <c r="Z10" s="9" t="s">
        <v>229</v>
      </c>
      <c r="AA10" s="9" t="s">
        <v>230</v>
      </c>
      <c r="AB10" s="9" t="s">
        <v>304</v>
      </c>
      <c r="AC10" s="9" t="s">
        <v>305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0.20614770459081838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374026.01823065255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184489.50643509324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16520.940300019138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-115005.79780100074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567735.64483336254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757313.23667801428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951542.25305687007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-104630.94533765203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-125366.42134624626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951542.32586352923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951542.24709127727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-234936.25473751416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382092.4058692262</v>
      </c>
    </row>
    <row r="11" spans="1:44">
      <c r="B11" s="9" t="s">
        <v>96</v>
      </c>
      <c r="C11" s="9" t="s">
        <v>112</v>
      </c>
      <c r="D11" s="9" t="s">
        <v>168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463</v>
      </c>
      <c r="P11" s="9">
        <v>0.36</v>
      </c>
      <c r="Q11" s="9" t="s">
        <v>164</v>
      </c>
      <c r="R11" s="9" t="s">
        <v>193</v>
      </c>
      <c r="S11" s="9" t="s">
        <v>223</v>
      </c>
      <c r="T11" s="9" t="s">
        <v>224</v>
      </c>
      <c r="U11" s="9" t="s">
        <v>195</v>
      </c>
      <c r="V11" s="9" t="s">
        <v>225</v>
      </c>
      <c r="W11" s="9" t="s">
        <v>226</v>
      </c>
      <c r="X11" s="9" t="s">
        <v>227</v>
      </c>
      <c r="Y11" s="9" t="s">
        <v>228</v>
      </c>
      <c r="Z11" s="9" t="s">
        <v>229</v>
      </c>
      <c r="AA11" s="9" t="s">
        <v>230</v>
      </c>
      <c r="AB11" s="9" t="s">
        <v>304</v>
      </c>
      <c r="AC11" s="9" t="s">
        <v>305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0.20614770459081838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-235251.60162019072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-230558.39873346311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-208921.76720249539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-146218.79062122811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-235771.68969976783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-235799.29552115782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-235799.99382458904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-135843.93815788024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-156579.41416647448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-235799.92101793041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-235799.99979018237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-43538.182763878314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2" spans="1:44">
      <c r="B12" s="9" t="s">
        <v>68</v>
      </c>
      <c r="C12" s="9" t="s">
        <v>111</v>
      </c>
      <c r="D12" s="9" t="s">
        <v>168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3432</v>
      </c>
      <c r="P12" s="9">
        <v>0.18</v>
      </c>
      <c r="Q12" s="9" t="s">
        <v>164</v>
      </c>
      <c r="R12" s="9" t="s">
        <v>165</v>
      </c>
      <c r="S12" s="9" t="s">
        <v>215</v>
      </c>
      <c r="T12" s="9" t="s">
        <v>216</v>
      </c>
      <c r="U12" s="9" t="s">
        <v>166</v>
      </c>
      <c r="V12" s="9" t="s">
        <v>217</v>
      </c>
      <c r="W12" s="9" t="s">
        <v>218</v>
      </c>
      <c r="X12" s="9" t="s">
        <v>219</v>
      </c>
      <c r="Y12" s="9" t="s">
        <v>220</v>
      </c>
      <c r="Z12" s="9" t="s">
        <v>221</v>
      </c>
      <c r="AA12" s="9" t="s">
        <v>222</v>
      </c>
      <c r="AB12" s="9" t="s">
        <v>302</v>
      </c>
      <c r="AC12" s="9" t="s">
        <v>303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0.14414261460101868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1777400.0756216065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713989.60541392816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8450.9271728729946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-322351.36204807268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2982844.6747336057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4180306.826206719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5414029.2091993447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-287990.79463506938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-353107.05209851312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5414033.4822728988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5414028.6381845726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-429961.94482343917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2886895.4541642037</v>
      </c>
    </row>
    <row r="13" spans="1:44">
      <c r="B13" s="9" t="s">
        <v>69</v>
      </c>
      <c r="C13" s="9" t="s">
        <v>111</v>
      </c>
      <c r="D13" s="9" t="s">
        <v>168</v>
      </c>
      <c r="E13" s="9">
        <v>1000</v>
      </c>
      <c r="F13" s="9">
        <v>3650.0000014560001</v>
      </c>
      <c r="G13" s="7">
        <v>43129</v>
      </c>
      <c r="H13" s="7">
        <v>43189.625</v>
      </c>
      <c r="I13" s="7">
        <v>43189.625</v>
      </c>
      <c r="J13" s="9">
        <v>-470000.00880000001</v>
      </c>
      <c r="K13" s="9" t="s">
        <v>6</v>
      </c>
      <c r="L13" s="9" t="s">
        <v>64</v>
      </c>
      <c r="M13" s="9" t="s">
        <v>62</v>
      </c>
      <c r="N13" s="9">
        <v>10000</v>
      </c>
      <c r="O13" s="9">
        <v>3432</v>
      </c>
      <c r="P13" s="9">
        <v>0.18</v>
      </c>
      <c r="Q13" s="9" t="s">
        <v>164</v>
      </c>
      <c r="R13" s="9" t="s">
        <v>165</v>
      </c>
      <c r="S13" s="9" t="s">
        <v>215</v>
      </c>
      <c r="T13" s="9" t="s">
        <v>216</v>
      </c>
      <c r="U13" s="9" t="s">
        <v>166</v>
      </c>
      <c r="V13" s="9" t="s">
        <v>217</v>
      </c>
      <c r="W13" s="9" t="s">
        <v>218</v>
      </c>
      <c r="X13" s="9" t="s">
        <v>219</v>
      </c>
      <c r="Y13" s="9" t="s">
        <v>220</v>
      </c>
      <c r="Z13" s="9" t="s">
        <v>221</v>
      </c>
      <c r="AA13" s="9" t="s">
        <v>222</v>
      </c>
      <c r="AB13" s="9" t="s">
        <v>302</v>
      </c>
      <c r="AC13" s="9" t="s">
        <v>303</v>
      </c>
      <c r="AD13" s="9">
        <v>0.125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0.1337319587628866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1709368.6945809703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517200.83624767693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-264756.39276478929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-459709.35467628168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2943719.6099390048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4144285.8022523802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5379154.3641608441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-452823.85547568736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-464605.81858874287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5379154.3641608534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5379154.3641608432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-470000.00876750989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2849804.6786197321</v>
      </c>
    </row>
    <row r="14" spans="1:44">
      <c r="B14" s="9" t="s">
        <v>8</v>
      </c>
      <c r="C14" s="9" t="s">
        <v>113</v>
      </c>
      <c r="D14" s="9" t="s">
        <v>168</v>
      </c>
      <c r="E14" s="9">
        <v>400</v>
      </c>
      <c r="F14" s="9">
        <v>14500.000004</v>
      </c>
      <c r="G14" s="7">
        <v>43118</v>
      </c>
      <c r="H14" s="7">
        <v>43200.625</v>
      </c>
      <c r="I14" s="7">
        <v>43200.625</v>
      </c>
      <c r="J14" s="9">
        <v>-400000</v>
      </c>
      <c r="K14" s="9" t="s">
        <v>6</v>
      </c>
      <c r="L14" s="9" t="s">
        <v>9</v>
      </c>
      <c r="M14" s="9" t="s">
        <v>10</v>
      </c>
      <c r="N14" s="9">
        <v>2000</v>
      </c>
      <c r="O14" s="9">
        <v>13935</v>
      </c>
      <c r="P14" s="9">
        <v>0.14000000000000001</v>
      </c>
      <c r="Q14" s="9" t="s">
        <v>164</v>
      </c>
      <c r="R14" s="9" t="s">
        <v>186</v>
      </c>
      <c r="S14" s="9" t="s">
        <v>231</v>
      </c>
      <c r="T14" s="9" t="s">
        <v>232</v>
      </c>
      <c r="U14" s="9" t="s">
        <v>187</v>
      </c>
      <c r="V14" s="9" t="s">
        <v>233</v>
      </c>
      <c r="W14" s="9" t="s">
        <v>234</v>
      </c>
      <c r="X14" s="9" t="s">
        <v>235</v>
      </c>
      <c r="Y14" s="9" t="s">
        <v>236</v>
      </c>
      <c r="Z14" s="9" t="s">
        <v>237</v>
      </c>
      <c r="AA14" s="9" t="s">
        <v>238</v>
      </c>
      <c r="AB14" s="9" t="s">
        <v>300</v>
      </c>
      <c r="AC14" s="9" t="s">
        <v>301</v>
      </c>
      <c r="AD14" s="9">
        <v>0.12</v>
      </c>
      <c r="AE1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0.12499243570347958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764159.35276153241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320615.05915124901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-20476.8608537502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-243840.43443939183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1265074.6088323491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1787647.9416104807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2343444.4296750883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-213818.1734969044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-272928.35584634048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2343652.0738239633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2343375.4091655468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-398942.21374740283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1115553.7524597819</v>
      </c>
    </row>
    <row r="15" spans="1:44">
      <c r="B15" s="9" t="s">
        <v>97</v>
      </c>
      <c r="C15" s="9" t="s">
        <v>115</v>
      </c>
      <c r="D15" s="9" t="s">
        <v>168</v>
      </c>
      <c r="E15" s="9">
        <v>-50</v>
      </c>
      <c r="F15" s="9">
        <v>1258</v>
      </c>
      <c r="G15" s="7">
        <v>43077</v>
      </c>
      <c r="H15" s="7">
        <v>43189.625</v>
      </c>
      <c r="I15" s="7">
        <v>43076</v>
      </c>
      <c r="J15" s="9">
        <v>297000</v>
      </c>
      <c r="K15" s="9" t="s">
        <v>6</v>
      </c>
      <c r="L15" s="9" t="s">
        <v>107</v>
      </c>
      <c r="M15" s="9" t="s">
        <v>122</v>
      </c>
      <c r="N15" s="9">
        <v>-3000</v>
      </c>
      <c r="O15" s="9">
        <v>1291.5</v>
      </c>
      <c r="P15" s="9">
        <v>0.36</v>
      </c>
      <c r="Q15" s="9" t="s">
        <v>164</v>
      </c>
      <c r="R15" s="9" t="s">
        <v>165</v>
      </c>
      <c r="S15" s="9" t="s">
        <v>239</v>
      </c>
      <c r="T15" s="9" t="s">
        <v>240</v>
      </c>
      <c r="U15" s="9" t="s">
        <v>166</v>
      </c>
      <c r="V15" s="9" t="s">
        <v>241</v>
      </c>
      <c r="W15" s="9" t="s">
        <v>242</v>
      </c>
      <c r="X15" s="9" t="s">
        <v>243</v>
      </c>
      <c r="Y15" s="9" t="s">
        <v>244</v>
      </c>
      <c r="Z15" s="9" t="s">
        <v>245</v>
      </c>
      <c r="AA15" s="9" t="s">
        <v>246</v>
      </c>
      <c r="AB15" s="9" t="s">
        <v>306</v>
      </c>
      <c r="AC15" s="9" t="s">
        <v>307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-47761.002292419864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-17054.741187795513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-4719.9045651939987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-1087.8638209977355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-108360.98927616944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-206017.15532261491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-327490.87449291983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-2095.4816527627154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-471.32939033582085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-330419.33072485728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-325171.83930200699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-1.3316118632848231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-260313.43891525391</v>
      </c>
    </row>
    <row r="16" spans="1:44">
      <c r="B16" s="9" t="s">
        <v>98</v>
      </c>
      <c r="C16" s="9" t="s">
        <v>115</v>
      </c>
      <c r="D16" s="9" t="s">
        <v>168</v>
      </c>
      <c r="E16" s="9">
        <v>-50</v>
      </c>
      <c r="F16" s="9">
        <v>1258</v>
      </c>
      <c r="G16" s="7">
        <v>43077</v>
      </c>
      <c r="H16" s="7">
        <v>43189.625</v>
      </c>
      <c r="I16" s="7">
        <v>43076</v>
      </c>
      <c r="J16" s="9">
        <v>297000</v>
      </c>
      <c r="K16" s="9" t="s">
        <v>43</v>
      </c>
      <c r="L16" s="9" t="s">
        <v>107</v>
      </c>
      <c r="M16" s="9" t="s">
        <v>122</v>
      </c>
      <c r="N16" s="9">
        <v>-3000</v>
      </c>
      <c r="O16" s="9">
        <v>1291.5</v>
      </c>
      <c r="P16" s="9">
        <v>0.36</v>
      </c>
      <c r="Q16" s="9" t="s">
        <v>164</v>
      </c>
      <c r="R16" s="9" t="s">
        <v>165</v>
      </c>
      <c r="S16" s="9" t="s">
        <v>239</v>
      </c>
      <c r="T16" s="9" t="s">
        <v>240</v>
      </c>
      <c r="U16" s="9" t="s">
        <v>166</v>
      </c>
      <c r="V16" s="9" t="s">
        <v>241</v>
      </c>
      <c r="W16" s="9" t="s">
        <v>242</v>
      </c>
      <c r="X16" s="9" t="s">
        <v>243</v>
      </c>
      <c r="Y16" s="9" t="s">
        <v>244</v>
      </c>
      <c r="Z16" s="9" t="s">
        <v>245</v>
      </c>
      <c r="AA16" s="9" t="s">
        <v>246</v>
      </c>
      <c r="AB16" s="9" t="s">
        <v>306</v>
      </c>
      <c r="AC16" s="9" t="s">
        <v>307</v>
      </c>
      <c r="AD16" s="9"/>
      <c r="AE1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-148208.01284223559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-256910.20870785552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-387856.28619355866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-523632.70241960621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-69399.542855741805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-23774.794793882458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-5840.0569939432962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-524640.32025137101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-523016.16798894404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-8768.5132258810791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-3521.0218030307942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-330626.26493845345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-1.4129735351154684</v>
      </c>
    </row>
    <row r="17" spans="2:44">
      <c r="B17" s="9" t="s">
        <v>99</v>
      </c>
      <c r="C17" s="9" t="s">
        <v>116</v>
      </c>
      <c r="D17" s="9" t="s">
        <v>168</v>
      </c>
      <c r="E17" s="9">
        <v>2000</v>
      </c>
      <c r="F17" s="9">
        <v>1199.9999998999999</v>
      </c>
      <c r="G17" s="7">
        <v>43067</v>
      </c>
      <c r="H17" s="7">
        <v>43189.625</v>
      </c>
      <c r="I17" s="7">
        <v>43189.625</v>
      </c>
      <c r="J17" s="9">
        <v>-5999999.9280000003</v>
      </c>
      <c r="K17" s="9" t="s">
        <v>6</v>
      </c>
      <c r="L17" s="9" t="s">
        <v>107</v>
      </c>
      <c r="M17" s="9" t="s">
        <v>122</v>
      </c>
      <c r="N17" s="9">
        <v>120000</v>
      </c>
      <c r="O17" s="9">
        <v>1291.5</v>
      </c>
      <c r="P17" s="9">
        <v>0.36</v>
      </c>
      <c r="Q17" s="9" t="s">
        <v>164</v>
      </c>
      <c r="R17" s="9" t="s">
        <v>165</v>
      </c>
      <c r="S17" s="9" t="s">
        <v>239</v>
      </c>
      <c r="T17" s="9" t="s">
        <v>240</v>
      </c>
      <c r="U17" s="9" t="s">
        <v>166</v>
      </c>
      <c r="V17" s="9" t="s">
        <v>241</v>
      </c>
      <c r="W17" s="9" t="s">
        <v>242</v>
      </c>
      <c r="X17" s="9" t="s">
        <v>243</v>
      </c>
      <c r="Y17" s="9" t="s">
        <v>244</v>
      </c>
      <c r="Z17" s="9" t="s">
        <v>245</v>
      </c>
      <c r="AA17" s="9" t="s">
        <v>246</v>
      </c>
      <c r="AB17" s="9" t="s">
        <v>306</v>
      </c>
      <c r="AC17" s="9" t="s">
        <v>307</v>
      </c>
      <c r="AD17" s="9">
        <v>0.32</v>
      </c>
      <c r="AE1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0.32313965341488277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-5713009.2291011168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-5944661.9368473524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-5992535.5022330908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-5999203.1491772365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-4904182.7986414908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-2821294.5899917083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800053.259001147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-5997253.5200248761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-5999841.5819034688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1020721.9900785917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593130.09369528946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-5999999.8597117765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1978091.1365554128</v>
      </c>
    </row>
    <row r="18" spans="2:44">
      <c r="B18" s="9" t="s">
        <v>100</v>
      </c>
      <c r="C18" s="9" t="s">
        <v>116</v>
      </c>
      <c r="D18" s="9" t="s">
        <v>168</v>
      </c>
      <c r="E18" s="9">
        <v>300</v>
      </c>
      <c r="F18" s="9">
        <v>13000.000006799999</v>
      </c>
      <c r="G18" s="7">
        <v>43054</v>
      </c>
      <c r="H18" s="7">
        <v>43189.625</v>
      </c>
      <c r="I18" s="7">
        <v>43189.625</v>
      </c>
      <c r="J18" s="9">
        <v>-1791000.0179999999</v>
      </c>
      <c r="K18" s="9" t="s">
        <v>6</v>
      </c>
      <c r="L18" s="9" t="s">
        <v>108</v>
      </c>
      <c r="M18" s="9" t="s">
        <v>120</v>
      </c>
      <c r="N18" s="9">
        <v>3000</v>
      </c>
      <c r="O18" s="9">
        <v>12130</v>
      </c>
      <c r="P18" s="9">
        <v>0.36</v>
      </c>
      <c r="Q18" s="9" t="s">
        <v>164</v>
      </c>
      <c r="R18" s="9" t="s">
        <v>247</v>
      </c>
      <c r="S18" s="9" t="s">
        <v>248</v>
      </c>
      <c r="T18" s="9" t="s">
        <v>249</v>
      </c>
      <c r="U18" s="9" t="s">
        <v>250</v>
      </c>
      <c r="V18" s="9" t="s">
        <v>251</v>
      </c>
      <c r="W18" s="9" t="s">
        <v>252</v>
      </c>
      <c r="X18" s="9" t="s">
        <v>253</v>
      </c>
      <c r="Y18" s="9" t="s">
        <v>254</v>
      </c>
      <c r="Z18" s="9" t="s">
        <v>255</v>
      </c>
      <c r="AA18" s="9" t="s">
        <v>256</v>
      </c>
      <c r="AB18" s="9" t="s">
        <v>308</v>
      </c>
      <c r="AC18" s="9" t="s">
        <v>309</v>
      </c>
      <c r="AD18" s="9">
        <v>0.26</v>
      </c>
      <c r="AE1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0.26709677419354838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855842.39766517398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-199596.68232805352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-1009182.0307469508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-1492496.0373072573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2022630.4058227062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3218422.6448682789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4418345.3991569784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-1433876.1874102177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-1549165.3652246995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4418391.7040179335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4418335.6180350259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-1789923.9565888278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1629785.900193996</v>
      </c>
    </row>
    <row r="19" spans="2:44">
      <c r="B19" s="9" t="s">
        <v>101</v>
      </c>
      <c r="C19" s="9" t="s">
        <v>115</v>
      </c>
      <c r="D19" s="9" t="s">
        <v>168</v>
      </c>
      <c r="E19" s="9">
        <v>-500</v>
      </c>
      <c r="F19" s="9">
        <v>3599.9999997999998</v>
      </c>
      <c r="G19" s="7">
        <v>43048</v>
      </c>
      <c r="H19" s="7">
        <v>43203.625</v>
      </c>
      <c r="I19" s="7">
        <v>43048</v>
      </c>
      <c r="J19" s="9">
        <v>931199.99399999995</v>
      </c>
      <c r="K19" s="9" t="s">
        <v>6</v>
      </c>
      <c r="L19" s="9" t="s">
        <v>109</v>
      </c>
      <c r="M19" s="9" t="s">
        <v>62</v>
      </c>
      <c r="N19" s="9">
        <v>-5000</v>
      </c>
      <c r="O19" s="9">
        <v>3617</v>
      </c>
      <c r="P19" s="9">
        <v>0.18</v>
      </c>
      <c r="Q19" s="9" t="s">
        <v>164</v>
      </c>
      <c r="R19" s="9" t="s">
        <v>165</v>
      </c>
      <c r="S19" s="9" t="s">
        <v>215</v>
      </c>
      <c r="T19" s="9" t="s">
        <v>216</v>
      </c>
      <c r="U19" s="9" t="s">
        <v>166</v>
      </c>
      <c r="V19" s="9" t="s">
        <v>217</v>
      </c>
      <c r="W19" s="9" t="s">
        <v>218</v>
      </c>
      <c r="X19" s="9" t="s">
        <v>219</v>
      </c>
      <c r="Y19" s="9" t="s">
        <v>220</v>
      </c>
      <c r="Z19" s="9" t="s">
        <v>221</v>
      </c>
      <c r="AA19" s="9" t="s">
        <v>222</v>
      </c>
      <c r="AB19" s="9" t="s">
        <v>302</v>
      </c>
      <c r="AC19" s="9" t="s">
        <v>303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-288463.74750161421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-88244.084884865122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-19810.372987234779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-2973.5647120506437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-681511.4317984815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-1220506.8108908832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-1850033.6100957016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-5982.237293985947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-1215.8005522018937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-1852486.7575539227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-1848630.2693240882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-0.52610427483777944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-1316781.0525884782</v>
      </c>
    </row>
    <row r="20" spans="2:44">
      <c r="B20" s="9" t="s">
        <v>102</v>
      </c>
      <c r="C20" s="9" t="s">
        <v>115</v>
      </c>
      <c r="D20" s="9" t="s">
        <v>168</v>
      </c>
      <c r="E20" s="9">
        <v>-500</v>
      </c>
      <c r="F20" s="9">
        <v>4000.0000002000002</v>
      </c>
      <c r="G20" s="7">
        <v>43048</v>
      </c>
      <c r="H20" s="7">
        <v>43203.625</v>
      </c>
      <c r="I20" s="7">
        <v>43048</v>
      </c>
      <c r="J20" s="9">
        <v>1122200.0019999999</v>
      </c>
      <c r="K20" s="9" t="s">
        <v>43</v>
      </c>
      <c r="L20" s="9" t="s">
        <v>109</v>
      </c>
      <c r="M20" s="9" t="s">
        <v>62</v>
      </c>
      <c r="N20" s="9">
        <v>-5000</v>
      </c>
      <c r="O20" s="9">
        <v>3617</v>
      </c>
      <c r="P20" s="9">
        <v>0.18</v>
      </c>
      <c r="Q20" s="9" t="s">
        <v>164</v>
      </c>
      <c r="R20" s="9" t="s">
        <v>165</v>
      </c>
      <c r="S20" s="9" t="s">
        <v>215</v>
      </c>
      <c r="T20" s="9" t="s">
        <v>216</v>
      </c>
      <c r="U20" s="9" t="s">
        <v>166</v>
      </c>
      <c r="V20" s="9" t="s">
        <v>217</v>
      </c>
      <c r="W20" s="9" t="s">
        <v>218</v>
      </c>
      <c r="X20" s="9" t="s">
        <v>219</v>
      </c>
      <c r="Y20" s="9" t="s">
        <v>220</v>
      </c>
      <c r="Z20" s="9" t="s">
        <v>221</v>
      </c>
      <c r="AA20" s="9" t="s">
        <v>222</v>
      </c>
      <c r="AB20" s="9" t="s">
        <v>302</v>
      </c>
      <c r="AC20" s="9" t="s">
        <v>303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-4275.8600801374287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-30673.443290751351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-128592.27857028256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-375187.10998661903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-328.04745716885213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-13.906356134058665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-0.24605867262129719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-411678.24448809185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-338695.8349137553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-2.1245916455458449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-1.4201480825254348E-2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-679816.09168928943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-1.931814307242065E-9</v>
      </c>
    </row>
    <row r="21" spans="2:44">
      <c r="B21" s="9" t="s">
        <v>103</v>
      </c>
      <c r="C21" s="9" t="s">
        <v>116</v>
      </c>
      <c r="D21" s="9" t="s">
        <v>168</v>
      </c>
      <c r="E21" s="9">
        <v>500</v>
      </c>
      <c r="F21" s="9">
        <v>450</v>
      </c>
      <c r="G21" s="7">
        <v>43048</v>
      </c>
      <c r="H21" s="7">
        <v>43203.625</v>
      </c>
      <c r="I21" s="7">
        <v>43203.625</v>
      </c>
      <c r="J21" s="9">
        <v>-760500</v>
      </c>
      <c r="K21" s="9" t="s">
        <v>6</v>
      </c>
      <c r="L21" s="9" t="s">
        <v>106</v>
      </c>
      <c r="M21" s="9" t="s">
        <v>135</v>
      </c>
      <c r="N21" s="9">
        <v>50000</v>
      </c>
      <c r="O21" s="9">
        <v>463</v>
      </c>
      <c r="P21" s="9">
        <v>0.36</v>
      </c>
      <c r="Q21" s="9" t="s">
        <v>164</v>
      </c>
      <c r="R21" s="9" t="s">
        <v>193</v>
      </c>
      <c r="S21" s="9" t="s">
        <v>223</v>
      </c>
      <c r="T21" s="9" t="s">
        <v>224</v>
      </c>
      <c r="U21" s="9" t="s">
        <v>195</v>
      </c>
      <c r="V21" s="9" t="s">
        <v>225</v>
      </c>
      <c r="W21" s="9" t="s">
        <v>226</v>
      </c>
      <c r="X21" s="9" t="s">
        <v>227</v>
      </c>
      <c r="Y21" s="9" t="s">
        <v>228</v>
      </c>
      <c r="Z21" s="9" t="s">
        <v>229</v>
      </c>
      <c r="AA21" s="9" t="s">
        <v>230</v>
      </c>
      <c r="AB21" s="9" t="s">
        <v>304</v>
      </c>
      <c r="AC21" s="9" t="s">
        <v>305</v>
      </c>
      <c r="AD21" s="9">
        <v>0.27</v>
      </c>
      <c r="AE2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0.28366265060240964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-378511.73527898145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-611010.46080806688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-710297.06199028331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-746720.42642896401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55405.923924477771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696581.16679244372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1530175.3525191499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-735912.4283883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-753889.88281089789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1553620.7755749482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1511223.0908396784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-760460.33070601895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1035318.9555269664</v>
      </c>
    </row>
    <row r="22" spans="2:44">
      <c r="B22" s="9" t="s">
        <v>104</v>
      </c>
      <c r="C22" s="9" t="s">
        <v>116</v>
      </c>
      <c r="D22" s="9" t="s">
        <v>168</v>
      </c>
      <c r="E22" s="9">
        <v>1500</v>
      </c>
      <c r="F22" s="9">
        <v>4000</v>
      </c>
      <c r="G22" s="7">
        <v>43048</v>
      </c>
      <c r="H22" s="7">
        <v>43203.625</v>
      </c>
      <c r="I22" s="7">
        <v>43203.625</v>
      </c>
      <c r="J22" s="9">
        <v>-2317950</v>
      </c>
      <c r="K22" s="9" t="s">
        <v>43</v>
      </c>
      <c r="L22" s="9" t="s">
        <v>109</v>
      </c>
      <c r="M22" s="9" t="s">
        <v>62</v>
      </c>
      <c r="N22" s="9">
        <v>15000</v>
      </c>
      <c r="O22" s="9">
        <v>3617</v>
      </c>
      <c r="P22" s="9">
        <v>0.18</v>
      </c>
      <c r="Q22" s="9" t="s">
        <v>164</v>
      </c>
      <c r="R22" s="9" t="s">
        <v>165</v>
      </c>
      <c r="S22" s="9" t="s">
        <v>215</v>
      </c>
      <c r="T22" s="9" t="s">
        <v>216</v>
      </c>
      <c r="U22" s="9" t="s">
        <v>166</v>
      </c>
      <c r="V22" s="9" t="s">
        <v>217</v>
      </c>
      <c r="W22" s="9" t="s">
        <v>218</v>
      </c>
      <c r="X22" s="9" t="s">
        <v>219</v>
      </c>
      <c r="Y22" s="9" t="s">
        <v>220</v>
      </c>
      <c r="Z22" s="9" t="s">
        <v>221</v>
      </c>
      <c r="AA22" s="9" t="s">
        <v>222</v>
      </c>
      <c r="AB22" s="9" t="s">
        <v>302</v>
      </c>
      <c r="AC22" s="9" t="s">
        <v>303</v>
      </c>
      <c r="AD22" s="9">
        <v>0.255</v>
      </c>
      <c r="AE2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0.24361445783132529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-2240416.8457670072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-2047729.1105294409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-1614433.4390765415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-805508.46251341794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-2301742.9843145865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-2315464.3647103608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-2317712.1229041866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-657366.59789366229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-953660.6255376481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-2317090.4840972261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-2317905.6285884804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-245967.37770766695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-2317949.9961872417</v>
      </c>
    </row>
    <row r="23" spans="2:44">
      <c r="B23" s="9" t="s">
        <v>105</v>
      </c>
      <c r="C23" s="9" t="s">
        <v>116</v>
      </c>
      <c r="D23" s="9" t="s">
        <v>168</v>
      </c>
      <c r="E23" s="9">
        <v>1500</v>
      </c>
      <c r="F23" s="9">
        <v>3600</v>
      </c>
      <c r="G23" s="7">
        <v>43048</v>
      </c>
      <c r="H23" s="7">
        <v>43203.625</v>
      </c>
      <c r="I23" s="7">
        <v>43203.625</v>
      </c>
      <c r="J23" s="9">
        <v>-2277450</v>
      </c>
      <c r="K23" s="9" t="s">
        <v>6</v>
      </c>
      <c r="L23" s="9" t="s">
        <v>109</v>
      </c>
      <c r="M23" s="9" t="s">
        <v>62</v>
      </c>
      <c r="N23" s="9">
        <v>15000</v>
      </c>
      <c r="O23" s="9">
        <v>3617</v>
      </c>
      <c r="P23" s="9">
        <v>0.18</v>
      </c>
      <c r="Q23" s="9" t="s">
        <v>164</v>
      </c>
      <c r="R23" s="9" t="s">
        <v>165</v>
      </c>
      <c r="S23" s="9" t="s">
        <v>215</v>
      </c>
      <c r="T23" s="9" t="s">
        <v>216</v>
      </c>
      <c r="U23" s="9" t="s">
        <v>166</v>
      </c>
      <c r="V23" s="9" t="s">
        <v>217</v>
      </c>
      <c r="W23" s="9" t="s">
        <v>218</v>
      </c>
      <c r="X23" s="9" t="s">
        <v>219</v>
      </c>
      <c r="Y23" s="9" t="s">
        <v>220</v>
      </c>
      <c r="Z23" s="9" t="s">
        <v>221</v>
      </c>
      <c r="AA23" s="9" t="s">
        <v>222</v>
      </c>
      <c r="AB23" s="9" t="s">
        <v>302</v>
      </c>
      <c r="AC23" s="9" t="s">
        <v>303</v>
      </c>
      <c r="AD23" s="9">
        <v>0.255</v>
      </c>
      <c r="AE2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0.24361445783132529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-1064520.0620037762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-1744787.7237966829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-2075997.9536596597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-2215500.468258264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53397.768293502275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1531212.9405926093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3316854.2523621814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-2178549.1736335838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-2243007.2292758897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3348329.7442901582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3293694.9145692755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-2277203.2410433665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1672911.7141063996</v>
      </c>
    </row>
    <row r="24" spans="2:44">
      <c r="B24" s="9" t="s">
        <v>5</v>
      </c>
      <c r="C24" s="9" t="s">
        <v>127</v>
      </c>
      <c r="D24" s="9" t="s">
        <v>168</v>
      </c>
      <c r="E24" s="9">
        <v>100</v>
      </c>
      <c r="F24" s="9">
        <v>50000.000004000001</v>
      </c>
      <c r="G24" s="7">
        <v>43123</v>
      </c>
      <c r="H24" s="7">
        <v>43183.625</v>
      </c>
      <c r="I24" s="7">
        <v>43183.625</v>
      </c>
      <c r="J24" s="9">
        <v>-50000.004000000001</v>
      </c>
      <c r="K24" s="9" t="s">
        <v>6</v>
      </c>
      <c r="L24" s="9" t="s">
        <v>7</v>
      </c>
      <c r="M24" s="9" t="s">
        <v>1</v>
      </c>
      <c r="N24" s="9">
        <v>500</v>
      </c>
      <c r="O24" s="9">
        <v>50580</v>
      </c>
      <c r="P24" s="9">
        <v>0.14000000000000001</v>
      </c>
      <c r="Q24" s="9" t="s">
        <v>164</v>
      </c>
      <c r="R24" s="9" t="s">
        <v>192</v>
      </c>
      <c r="S24" s="9" t="s">
        <v>257</v>
      </c>
      <c r="T24" s="9" t="s">
        <v>189</v>
      </c>
      <c r="U24" s="9" t="s">
        <v>194</v>
      </c>
      <c r="V24" s="9" t="s">
        <v>258</v>
      </c>
      <c r="W24" s="9" t="s">
        <v>191</v>
      </c>
      <c r="X24" s="9" t="s">
        <v>259</v>
      </c>
      <c r="Y24" s="9" t="s">
        <v>260</v>
      </c>
      <c r="Z24" s="9" t="s">
        <v>261</v>
      </c>
      <c r="AA24" s="9" t="s">
        <v>262</v>
      </c>
      <c r="AB24" s="9" t="s">
        <v>310</v>
      </c>
      <c r="AC24" s="9" t="s">
        <v>311</v>
      </c>
      <c r="AD24" s="9">
        <v>0.12</v>
      </c>
      <c r="AE2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0.12119587628865978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-22454.013535892522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-49647.819335600048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-49999.716665144369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-50000.003972552062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227008.44466447528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747643.26228067803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1278296.3159823625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-50000.003098933172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-50000.003999738678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1278297.5412858836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1278296.1446087388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-50000.004000000001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981287.13164946053</v>
      </c>
    </row>
    <row r="25" spans="2:44">
      <c r="B25" s="9" t="s">
        <v>162</v>
      </c>
      <c r="C25" s="9" t="s">
        <v>116</v>
      </c>
      <c r="D25" s="9" t="s">
        <v>168</v>
      </c>
      <c r="E25" s="9">
        <v>1000</v>
      </c>
      <c r="F25" s="9">
        <v>3929.9999985759996</v>
      </c>
      <c r="G25" s="7">
        <v>43154</v>
      </c>
      <c r="H25" s="7">
        <v>43182.625</v>
      </c>
      <c r="I25" s="7">
        <v>43154</v>
      </c>
      <c r="J25" s="9">
        <v>-271800</v>
      </c>
      <c r="K25" s="9" t="s">
        <v>43</v>
      </c>
      <c r="L25" s="9" t="s">
        <v>109</v>
      </c>
      <c r="M25" s="9" t="s">
        <v>62</v>
      </c>
      <c r="N25" s="9">
        <v>10000</v>
      </c>
      <c r="O25" s="9">
        <v>3617</v>
      </c>
      <c r="P25" s="9">
        <v>0.18</v>
      </c>
      <c r="Q25" s="9" t="s">
        <v>164</v>
      </c>
      <c r="R25" s="9" t="s">
        <v>165</v>
      </c>
      <c r="S25" s="9" t="s">
        <v>215</v>
      </c>
      <c r="T25" s="9" t="s">
        <v>216</v>
      </c>
      <c r="U25" s="9" t="s">
        <v>166</v>
      </c>
      <c r="V25" s="9" t="s">
        <v>217</v>
      </c>
      <c r="W25" s="9" t="s">
        <v>218</v>
      </c>
      <c r="X25" s="9" t="s">
        <v>219</v>
      </c>
      <c r="Y25" s="9" t="s">
        <v>220</v>
      </c>
      <c r="Z25" s="9" t="s">
        <v>221</v>
      </c>
      <c r="AA25" s="9" t="s">
        <v>222</v>
      </c>
      <c r="AB25" s="9" t="s">
        <v>302</v>
      </c>
      <c r="AC25" s="9" t="s">
        <v>303</v>
      </c>
      <c r="AD25" s="9">
        <v>0.13500000000000001</v>
      </c>
      <c r="AE25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0.13912663755458515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6.0979892157764055E-8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2.7471936143984341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24749.187329250559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751443.64453565527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7.6152226108097843E-20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5.0728791738960579E-36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5.6652904205588563E-58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757444.73483585648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746774.76868590433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1.9678826585594666E-47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3.4425972374859736E-72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1600743.2445332352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4.0245124303771417E-161</v>
      </c>
    </row>
    <row r="26" spans="2:44">
      <c r="B26" s="9" t="s">
        <v>163</v>
      </c>
      <c r="C26" s="9" t="s">
        <v>116</v>
      </c>
      <c r="D26" s="9" t="s">
        <v>168</v>
      </c>
      <c r="E26" s="9">
        <v>1000</v>
      </c>
      <c r="F26" s="9">
        <v>3799.999998368</v>
      </c>
      <c r="G26" s="7">
        <v>43154</v>
      </c>
      <c r="H26" s="7">
        <v>43182.625</v>
      </c>
      <c r="I26" s="7">
        <v>43154</v>
      </c>
      <c r="J26" s="9">
        <v>-388800</v>
      </c>
      <c r="K26" s="9" t="s">
        <v>6</v>
      </c>
      <c r="L26" s="9" t="s">
        <v>109</v>
      </c>
      <c r="M26" s="9" t="s">
        <v>62</v>
      </c>
      <c r="N26" s="9">
        <v>10000</v>
      </c>
      <c r="O26" s="9">
        <v>3617</v>
      </c>
      <c r="P26" s="9">
        <v>0.18</v>
      </c>
      <c r="Q26" s="9" t="s">
        <v>164</v>
      </c>
      <c r="R26" s="9" t="s">
        <v>165</v>
      </c>
      <c r="S26" s="9" t="s">
        <v>215</v>
      </c>
      <c r="T26" s="9" t="s">
        <v>216</v>
      </c>
      <c r="U26" s="9" t="s">
        <v>166</v>
      </c>
      <c r="V26" s="9" t="s">
        <v>217</v>
      </c>
      <c r="W26" s="9" t="s">
        <v>218</v>
      </c>
      <c r="X26" s="9" t="s">
        <v>219</v>
      </c>
      <c r="Y26" s="9" t="s">
        <v>220</v>
      </c>
      <c r="Z26" s="9" t="s">
        <v>221</v>
      </c>
      <c r="AA26" s="9" t="s">
        <v>222</v>
      </c>
      <c r="AB26" s="9" t="s">
        <v>302</v>
      </c>
      <c r="AC26" s="9" t="s">
        <v>303</v>
      </c>
      <c r="AD26" s="9">
        <v>0.13500000000000001</v>
      </c>
      <c r="AE26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0.13912663755458515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1829738.1493174313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553522.00210555084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9787.6561989612128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0.44346697376528993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3131669.5056695617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4397437.4300657157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5699370.1523017678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3.170933937460406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3.3004911249006758E-2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5699370.1523017678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5699370.1523017678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2.6181465694614492E-30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3336493.5531655508</v>
      </c>
    </row>
    <row r="27" spans="2:44">
      <c r="B27" s="9" t="s">
        <v>182</v>
      </c>
      <c r="C27" s="9" t="s">
        <v>172</v>
      </c>
      <c r="D27" s="9" t="s">
        <v>175</v>
      </c>
      <c r="E27" s="9">
        <v>-64</v>
      </c>
      <c r="F27" s="9">
        <v>16.545999999999999</v>
      </c>
      <c r="G27" s="7">
        <v>43157</v>
      </c>
      <c r="H27" s="7">
        <v>43217</v>
      </c>
      <c r="I27" s="7">
        <v>43217</v>
      </c>
      <c r="J27" s="9">
        <v>751.95</v>
      </c>
      <c r="K27" s="9" t="s">
        <v>196</v>
      </c>
      <c r="L27" s="9" t="s">
        <v>177</v>
      </c>
      <c r="M27" s="9" t="s">
        <v>211</v>
      </c>
      <c r="N27" s="9">
        <v>-320000</v>
      </c>
      <c r="O27" s="9">
        <v>16.18</v>
      </c>
      <c r="P27" s="9">
        <v>0.12</v>
      </c>
      <c r="Q27" s="9" t="s">
        <v>164</v>
      </c>
      <c r="R27" s="9" t="s">
        <v>263</v>
      </c>
      <c r="S27" s="9" t="s">
        <v>264</v>
      </c>
      <c r="T27" s="9" t="s">
        <v>265</v>
      </c>
      <c r="U27" s="9" t="s">
        <v>266</v>
      </c>
      <c r="V27" s="9" t="s">
        <v>267</v>
      </c>
      <c r="W27" s="9" t="s">
        <v>268</v>
      </c>
      <c r="X27" s="9" t="s">
        <v>269</v>
      </c>
      <c r="Y27" s="9" t="s">
        <v>270</v>
      </c>
      <c r="Z27" s="9" t="s">
        <v>271</v>
      </c>
      <c r="AA27" s="9" t="s">
        <v>272</v>
      </c>
      <c r="AB27" s="9" t="s">
        <v>312</v>
      </c>
      <c r="AC27" s="9" t="s">
        <v>313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117871.94999999988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-11568.049999999708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-146185.64999999997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-275625.65000000072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247311.95000000007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381929.55000000034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511369.54999999993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-275625.65000000072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-275625.65000000072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511369.54999999993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511369.54999999993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-233704.37000000002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317192.26999999996</v>
      </c>
    </row>
    <row r="28" spans="2:44">
      <c r="B28" s="9" t="s">
        <v>179</v>
      </c>
      <c r="C28" s="9" t="s">
        <v>172</v>
      </c>
      <c r="D28" s="9" t="s">
        <v>175</v>
      </c>
      <c r="E28" s="9">
        <v>-24</v>
      </c>
      <c r="F28" s="9">
        <v>2236</v>
      </c>
      <c r="G28" s="7">
        <v>43122</v>
      </c>
      <c r="H28" s="7">
        <v>43209</v>
      </c>
      <c r="I28" s="7">
        <v>43209</v>
      </c>
      <c r="J28" s="9">
        <v>402.48</v>
      </c>
      <c r="K28" s="9" t="s">
        <v>198</v>
      </c>
      <c r="L28" s="9" t="s">
        <v>180</v>
      </c>
      <c r="M28" s="9" t="s">
        <v>206</v>
      </c>
      <c r="N28" s="9">
        <v>-600</v>
      </c>
      <c r="O28" s="9">
        <v>2079</v>
      </c>
      <c r="P28" s="9">
        <v>0.12</v>
      </c>
      <c r="Q28" s="9" t="s">
        <v>164</v>
      </c>
      <c r="R28" s="9" t="s">
        <v>273</v>
      </c>
      <c r="S28" s="9" t="s">
        <v>188</v>
      </c>
      <c r="T28" s="9" t="s">
        <v>274</v>
      </c>
      <c r="U28" s="9" t="s">
        <v>275</v>
      </c>
      <c r="V28" s="9" t="s">
        <v>190</v>
      </c>
      <c r="W28" s="9" t="s">
        <v>276</v>
      </c>
      <c r="X28" s="9" t="s">
        <v>277</v>
      </c>
      <c r="Y28" s="9" t="s">
        <v>278</v>
      </c>
      <c r="Z28" s="9" t="s">
        <v>279</v>
      </c>
      <c r="AA28" s="9" t="s">
        <v>280</v>
      </c>
      <c r="AB28" s="9" t="s">
        <v>314</v>
      </c>
      <c r="AC28" s="9" t="s">
        <v>315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-93797.52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-73839.119999999923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-53880.719999999848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-33922.320000000043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-113755.92000000009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-133714.32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-153672.72000000009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-33922.320000000043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-33922.320000000043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-153672.72000000009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-153672.72000000009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9781.7100000000009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-74916.75</v>
      </c>
    </row>
    <row r="29" spans="2:44">
      <c r="B29" s="9" t="s">
        <v>202</v>
      </c>
      <c r="C29" s="9" t="s">
        <v>172</v>
      </c>
      <c r="D29" s="9" t="s">
        <v>175</v>
      </c>
      <c r="E29" s="9">
        <v>-30</v>
      </c>
      <c r="F29" s="9">
        <v>16.71</v>
      </c>
      <c r="G29" s="7">
        <v>43158</v>
      </c>
      <c r="H29" s="7">
        <v>43217</v>
      </c>
      <c r="I29" s="7">
        <v>43217</v>
      </c>
      <c r="J29" s="9">
        <v>751.95</v>
      </c>
      <c r="K29" s="9" t="s">
        <v>196</v>
      </c>
      <c r="L29" s="9" t="s">
        <v>177</v>
      </c>
      <c r="M29" s="9" t="s">
        <v>211</v>
      </c>
      <c r="N29" s="9">
        <v>-150000</v>
      </c>
      <c r="O29" s="9">
        <v>16.18</v>
      </c>
      <c r="P29" s="9">
        <v>0.12</v>
      </c>
      <c r="Q29" s="9" t="s">
        <v>164</v>
      </c>
      <c r="R29" s="9" t="s">
        <v>263</v>
      </c>
      <c r="S29" s="9" t="s">
        <v>264</v>
      </c>
      <c r="T29" s="9" t="s">
        <v>265</v>
      </c>
      <c r="U29" s="9" t="s">
        <v>266</v>
      </c>
      <c r="V29" s="9" t="s">
        <v>267</v>
      </c>
      <c r="W29" s="9" t="s">
        <v>268</v>
      </c>
      <c r="X29" s="9" t="s">
        <v>269</v>
      </c>
      <c r="Y29" s="9" t="s">
        <v>270</v>
      </c>
      <c r="Z29" s="9" t="s">
        <v>271</v>
      </c>
      <c r="AA29" s="9" t="s">
        <v>272</v>
      </c>
      <c r="AB29" s="9" t="s">
        <v>312</v>
      </c>
      <c r="AC29" s="9" t="s">
        <v>313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80251.950000000172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19576.950000000357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-43525.04999999977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-104200.05000000012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140926.95000000027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204028.95000000039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264703.95000000019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-104200.05000000012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-104200.05000000012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264703.95000000019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264703.95000000019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-100539.44999999995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157693.35000000006</v>
      </c>
    </row>
    <row r="30" spans="2:44">
      <c r="B30" s="9" t="s">
        <v>291</v>
      </c>
      <c r="C30" s="9" t="s">
        <v>172</v>
      </c>
      <c r="D30" s="9" t="s">
        <v>175</v>
      </c>
      <c r="E30" s="9">
        <v>-12</v>
      </c>
      <c r="F30" s="9">
        <v>6812.5</v>
      </c>
      <c r="G30" s="7">
        <v>43168.625</v>
      </c>
      <c r="H30" s="7">
        <v>43257.625</v>
      </c>
      <c r="I30" s="7">
        <v>43257</v>
      </c>
      <c r="J30" s="9">
        <v>1021.875</v>
      </c>
      <c r="K30" s="9" t="s">
        <v>196</v>
      </c>
      <c r="L30" s="9" t="s">
        <v>289</v>
      </c>
      <c r="M30" s="9" t="s">
        <v>296</v>
      </c>
      <c r="N30" s="9">
        <v>-300</v>
      </c>
      <c r="O30" s="9">
        <v>6756</v>
      </c>
      <c r="P30" s="9">
        <v>0.12</v>
      </c>
      <c r="Q30" s="9" t="s">
        <v>164</v>
      </c>
      <c r="R30" s="9" t="s">
        <v>186</v>
      </c>
      <c r="S30" s="9" t="s">
        <v>316</v>
      </c>
      <c r="T30" s="9" t="s">
        <v>232</v>
      </c>
      <c r="U30" s="9" t="s">
        <v>187</v>
      </c>
      <c r="V30" s="9" t="s">
        <v>317</v>
      </c>
      <c r="W30" s="9" t="s">
        <v>234</v>
      </c>
      <c r="X30" s="9" t="s">
        <v>235</v>
      </c>
      <c r="Y30" s="9" t="s">
        <v>236</v>
      </c>
      <c r="Z30" s="9" t="s">
        <v>237</v>
      </c>
      <c r="AA30" s="9" t="s">
        <v>238</v>
      </c>
      <c r="AB30" s="9" t="s">
        <v>318</v>
      </c>
      <c r="AC30" s="9" t="s">
        <v>319</v>
      </c>
      <c r="AD30" s="9"/>
      <c r="AE3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17971.875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-20537.324999999873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-61073.324999999837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-99582.524999999994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56481.075000000143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97017.075000000114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135526.27499999999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-99582.524999999994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-99582.524999999994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135526.27499999999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135526.27499999999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-76043.085000000021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89951.835000000021</v>
      </c>
    </row>
    <row r="31" spans="2:44">
      <c r="B31" s="9" t="s">
        <v>321</v>
      </c>
      <c r="C31" s="9" t="s">
        <v>172</v>
      </c>
      <c r="D31" s="9" t="s">
        <v>175</v>
      </c>
      <c r="E31" s="9">
        <v>-30</v>
      </c>
      <c r="F31" s="9">
        <v>16.545000000000002</v>
      </c>
      <c r="G31" s="7">
        <v>43175</v>
      </c>
      <c r="H31" s="7">
        <v>43238</v>
      </c>
      <c r="I31" s="7">
        <v>43238</v>
      </c>
      <c r="J31" s="9">
        <v>1240.875</v>
      </c>
      <c r="K31" s="9" t="s">
        <v>196</v>
      </c>
      <c r="L31" s="9" t="s">
        <v>322</v>
      </c>
      <c r="M31" s="9" t="s">
        <v>211</v>
      </c>
      <c r="N31" s="9">
        <v>-150000</v>
      </c>
      <c r="O31" s="9">
        <v>16.265000000000001</v>
      </c>
      <c r="P31" s="9">
        <v>0.12</v>
      </c>
      <c r="Q31" s="9" t="s">
        <v>164</v>
      </c>
      <c r="R31" s="9" t="s">
        <v>263</v>
      </c>
      <c r="S31" s="9" t="s">
        <v>264</v>
      </c>
      <c r="T31" s="9" t="s">
        <v>265</v>
      </c>
      <c r="U31" s="9" t="s">
        <v>266</v>
      </c>
      <c r="V31" s="9" t="s">
        <v>267</v>
      </c>
      <c r="W31" s="9" t="s">
        <v>268</v>
      </c>
      <c r="X31" s="9" t="s">
        <v>269</v>
      </c>
      <c r="Y31" s="9" t="s">
        <v>270</v>
      </c>
      <c r="Z31" s="9" t="s">
        <v>271</v>
      </c>
      <c r="AA31" s="9" t="s">
        <v>272</v>
      </c>
      <c r="AB31" s="9" t="s">
        <v>312</v>
      </c>
      <c r="AC31" s="9" t="s">
        <v>313</v>
      </c>
      <c r="AD31" s="9"/>
      <c r="AE31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43240.875000000167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-17752.874999999563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-81186.374999999927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-142180.1250000002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104234.62500000017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167668.12500000026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228661.875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-142180.1250000002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-142180.1250000002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228661.875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228661.875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-113853.82499999981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145735.57500000004</v>
      </c>
    </row>
    <row r="35" spans="46:46">
      <c r="AT35" s="2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6"/>
  <sheetViews>
    <sheetView topLeftCell="A4" workbookViewId="0">
      <selection activeCell="C37" sqref="C37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201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167</v>
      </c>
      <c r="L8" s="16" t="s">
        <v>4</v>
      </c>
      <c r="M8" s="16" t="s">
        <v>81</v>
      </c>
      <c r="N8" s="18" t="s">
        <v>91</v>
      </c>
    </row>
    <row r="9" spans="2:14">
      <c r="B9" s="18" t="s">
        <v>283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284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174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197</v>
      </c>
      <c r="K32" s="18" t="s">
        <v>176</v>
      </c>
      <c r="L32" s="18" t="s">
        <v>178</v>
      </c>
      <c r="M32" s="18" t="s">
        <v>172</v>
      </c>
      <c r="N32" s="18"/>
    </row>
    <row r="33" spans="2:14">
      <c r="B33" s="18" t="s">
        <v>179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199</v>
      </c>
      <c r="K33" s="18" t="s">
        <v>176</v>
      </c>
      <c r="L33" s="18" t="s">
        <v>181</v>
      </c>
      <c r="M33" s="18" t="s">
        <v>172</v>
      </c>
      <c r="N33" s="18"/>
    </row>
    <row r="34" spans="2:14">
      <c r="B34" s="18" t="s">
        <v>200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203</v>
      </c>
      <c r="K34" s="18" t="s">
        <v>204</v>
      </c>
      <c r="L34" s="18" t="s">
        <v>171</v>
      </c>
      <c r="M34" s="18" t="s">
        <v>172</v>
      </c>
      <c r="N34" s="18"/>
    </row>
    <row r="35" spans="2:14">
      <c r="B35" s="18" t="s">
        <v>292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293</v>
      </c>
      <c r="K35" s="18" t="s">
        <v>294</v>
      </c>
      <c r="L35" s="18" t="s">
        <v>295</v>
      </c>
      <c r="M35" s="18" t="s">
        <v>172</v>
      </c>
      <c r="N35" s="18"/>
    </row>
    <row r="36" spans="2:14">
      <c r="B36" s="18" t="s">
        <v>324</v>
      </c>
      <c r="C36" s="18">
        <v>-30</v>
      </c>
      <c r="D36" s="19">
        <v>43175</v>
      </c>
      <c r="E36" s="19">
        <v>43238</v>
      </c>
      <c r="F36" s="19">
        <v>43238</v>
      </c>
      <c r="G36" s="19">
        <v>43238</v>
      </c>
      <c r="H36" s="27">
        <v>16.545000000000002</v>
      </c>
      <c r="I36" s="20">
        <v>1240.875</v>
      </c>
      <c r="J36" s="18" t="s">
        <v>203</v>
      </c>
      <c r="K36" s="18" t="s">
        <v>176</v>
      </c>
      <c r="L36" s="18" t="s">
        <v>323</v>
      </c>
      <c r="M36" s="18" t="s">
        <v>172</v>
      </c>
      <c r="N36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0"/>
  <sheetViews>
    <sheetView workbookViewId="0">
      <selection activeCell="H26" sqref="H26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0" t="s">
        <v>17</v>
      </c>
      <c r="C5" s="30"/>
      <c r="D5" s="30"/>
      <c r="E5" s="30"/>
      <c r="F5" s="30"/>
      <c r="G5" s="30"/>
      <c r="H5" s="30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185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43180</v>
      </c>
      <c r="J7" s="14">
        <f ca="1">[1]!s_dq_close(E7,I7,1)</f>
        <v>50580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43180</v>
      </c>
      <c r="J8" s="14">
        <f ca="1">[1]!s_dq_close(E8,I8,1)</f>
        <v>13935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43180</v>
      </c>
      <c r="J9" s="14">
        <f ca="1">[1]!s_dq_close(E9,I9,1)</f>
        <v>3638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43180</v>
      </c>
      <c r="J10" s="14">
        <f ca="1">[1]!s_dq_close(E10,I10,1)</f>
        <v>9275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43180</v>
      </c>
      <c r="J11" s="14">
        <f ca="1">[1]!s_dq_close(E11,I11,1)</f>
        <v>3432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43180</v>
      </c>
      <c r="J12" s="14">
        <f ca="1">[1]!s_dq_close(E12,I12,1)</f>
        <v>3617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43180</v>
      </c>
      <c r="J13" s="14">
        <f ca="1">[1]!s_dq_close(E13,I13,1)</f>
        <v>463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43180</v>
      </c>
      <c r="J14" s="14">
        <f ca="1">[1]!s_dq_close(E14,I14,1)</f>
        <v>12130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43180</v>
      </c>
      <c r="J15" s="14">
        <f ca="1">[1]!s_dq_close(E15,I15,1)</f>
        <v>1291.5</v>
      </c>
    </row>
    <row r="16" spans="2:10">
      <c r="B16" s="1" t="s">
        <v>170</v>
      </c>
      <c r="C16" s="1" t="s">
        <v>214</v>
      </c>
      <c r="D16" s="1" t="s">
        <v>169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43180</v>
      </c>
      <c r="J16" s="14">
        <f ca="1">[1]!s_dq_close(E16,I16,1)</f>
        <v>16.114999999999998</v>
      </c>
    </row>
    <row r="17" spans="2:10">
      <c r="B17" s="1" t="s">
        <v>171</v>
      </c>
      <c r="C17" s="1" t="s">
        <v>214</v>
      </c>
      <c r="D17" s="1" t="s">
        <v>169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43180</v>
      </c>
      <c r="J17" s="14">
        <f ca="1">[1]!s_dq_close(E17,I17,1)</f>
        <v>16.18</v>
      </c>
    </row>
    <row r="18" spans="2:10">
      <c r="B18" s="1" t="s">
        <v>183</v>
      </c>
      <c r="C18" s="1" t="s">
        <v>213</v>
      </c>
      <c r="D18" s="1" t="s">
        <v>184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43180</v>
      </c>
      <c r="J18" s="14">
        <f ca="1">[1]!s_dq_close(E18,I18,1)</f>
        <v>2079</v>
      </c>
    </row>
    <row r="19" spans="2:10">
      <c r="B19" s="1" t="s">
        <v>297</v>
      </c>
      <c r="C19" s="1" t="s">
        <v>298</v>
      </c>
      <c r="D19" s="1" t="s">
        <v>299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43180</v>
      </c>
      <c r="J19" s="14">
        <f ca="1">[1]!s_dq_close(E19,I19,1)</f>
        <v>6756</v>
      </c>
    </row>
    <row r="20" spans="2:10">
      <c r="B20" s="1" t="s">
        <v>323</v>
      </c>
      <c r="C20" s="1" t="s">
        <v>212</v>
      </c>
      <c r="D20" s="1" t="s">
        <v>169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43180</v>
      </c>
      <c r="J20" s="28">
        <f ca="1">[1]!s_dq_close(E20,I20,1)</f>
        <v>16.265000000000001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1" t="s">
        <v>12</v>
      </c>
      <c r="C5" s="31"/>
      <c r="D5" s="31"/>
      <c r="E5" s="31"/>
      <c r="F5" s="31"/>
    </row>
    <row r="6" spans="2:42">
      <c r="B6" s="9" t="s">
        <v>173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205</v>
      </c>
      <c r="AK6" s="9" t="s">
        <v>207</v>
      </c>
      <c r="AL6" s="9" t="s">
        <v>208</v>
      </c>
      <c r="AM6" s="9" t="s">
        <v>209</v>
      </c>
      <c r="AN6" s="9" t="s">
        <v>210</v>
      </c>
      <c r="AO6" s="9" t="s">
        <v>212</v>
      </c>
      <c r="AP6" s="9" t="s">
        <v>290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282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172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285</v>
      </c>
      <c r="D17" s="23" t="s">
        <v>286</v>
      </c>
      <c r="E17" s="24">
        <v>1</v>
      </c>
    </row>
    <row r="18" spans="2:5">
      <c r="B18" t="s">
        <v>30</v>
      </c>
      <c r="C18" s="25" t="s">
        <v>287</v>
      </c>
      <c r="D18" s="25">
        <v>1</v>
      </c>
      <c r="E18" s="26">
        <v>0.35</v>
      </c>
    </row>
    <row r="19" spans="2:5">
      <c r="B19" t="s">
        <v>31</v>
      </c>
      <c r="C19" s="23" t="s">
        <v>288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2018-03-21T10:07:54Z</dcterms:modified>
</cp:coreProperties>
</file>