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3"/>
  </bookViews>
  <sheets>
    <sheet name="result_summary" sheetId="8" r:id="rId1"/>
    <sheet name="result_senario" sheetId="5" r:id="rId2"/>
    <sheet name="Sheet1" sheetId="9" r:id="rId3"/>
    <sheet name="rec_trades" sheetId="1" r:id="rId4"/>
    <sheet name="rec_ticker" sheetId="6" r:id="rId5"/>
    <sheet name="param_vrxk" sheetId="2" r:id="rId6"/>
    <sheet name="script_senario" sheetId="7" r:id="rId7"/>
  </sheets>
  <functionGroups builtInGroupCount="18"/>
  <calcPr calcId="152511" calcMode="manual"/>
</workbook>
</file>

<file path=xl/calcChain.xml><?xml version="1.0" encoding="utf-8"?>
<calcChain xmlns="http://schemas.openxmlformats.org/spreadsheetml/2006/main">
  <c r="AD15" i="5" l="1"/>
  <c r="AD16" i="5"/>
  <c r="AD17" i="5"/>
  <c r="AD18" i="5"/>
  <c r="AD21" i="5"/>
  <c r="AD22" i="5"/>
  <c r="B4" i="5" l="1"/>
  <c r="E12" i="6"/>
  <c r="I12" i="6"/>
  <c r="AD9" i="5" l="1"/>
  <c r="AD25" i="5"/>
  <c r="AD11" i="5"/>
  <c r="AD27" i="5"/>
  <c r="AD14" i="5"/>
  <c r="AD10" i="5"/>
  <c r="AD26" i="5"/>
  <c r="AD19" i="5"/>
  <c r="AD12" i="5"/>
  <c r="AD20" i="5"/>
  <c r="AD28" i="5"/>
  <c r="AD13" i="5"/>
  <c r="AD7" i="5"/>
  <c r="AD23" i="5"/>
  <c r="AD8" i="5"/>
  <c r="AD24" i="5"/>
  <c r="E15" i="6"/>
  <c r="E14" i="6"/>
  <c r="AJ15" i="5"/>
  <c r="AJ7" i="5"/>
  <c r="AG22" i="5"/>
  <c r="AO18" i="5"/>
  <c r="AI25" i="5"/>
  <c r="AI18" i="5"/>
  <c r="AP9" i="5"/>
  <c r="AQ28" i="5"/>
  <c r="AE13" i="5"/>
  <c r="AP10" i="5"/>
  <c r="AN25" i="5"/>
  <c r="AQ15" i="5"/>
  <c r="AQ8" i="5"/>
  <c r="AF26" i="5"/>
  <c r="AI19" i="5"/>
  <c r="AL7" i="5"/>
  <c r="AI17" i="5"/>
  <c r="AG9" i="5"/>
  <c r="AQ24" i="5"/>
  <c r="AN17" i="5"/>
  <c r="AF10" i="5"/>
  <c r="AQ27" i="5"/>
  <c r="AG17" i="5"/>
  <c r="AE12" i="5"/>
  <c r="AJ18" i="5"/>
  <c r="AM11" i="5"/>
  <c r="AP8" i="5"/>
  <c r="AG27" i="5"/>
  <c r="AG20" i="5"/>
  <c r="AJ8" i="5"/>
  <c r="AF11" i="5"/>
  <c r="AL17" i="5"/>
  <c r="AO12" i="5"/>
  <c r="AH14" i="5"/>
  <c r="AJ25" i="5"/>
  <c r="AL20" i="5"/>
  <c r="AI13" i="5"/>
  <c r="AN24" i="5"/>
  <c r="AO8" i="5"/>
  <c r="AG28" i="5"/>
  <c r="AG13" i="5"/>
  <c r="AJ22" i="5"/>
  <c r="AM27" i="5"/>
  <c r="AJ10" i="5"/>
  <c r="AE25" i="5"/>
  <c r="AO15" i="5"/>
  <c r="AK26" i="5"/>
  <c r="AI28" i="5"/>
  <c r="AQ11" i="5"/>
  <c r="AK27" i="5"/>
  <c r="AQ13" i="5"/>
  <c r="AJ20" i="5"/>
  <c r="AK28" i="5"/>
  <c r="AH21" i="5"/>
  <c r="AN13" i="5"/>
  <c r="AO28" i="5"/>
  <c r="AN11" i="5"/>
  <c r="AF17" i="5"/>
  <c r="AQ23" i="5"/>
  <c r="AM28" i="5"/>
  <c r="AH24" i="5"/>
  <c r="AK20" i="5"/>
  <c r="AH13" i="5"/>
  <c r="AM8" i="5"/>
  <c r="AK23" i="5"/>
  <c r="AP25" i="5"/>
  <c r="AP18" i="5"/>
  <c r="AP23" i="5"/>
  <c r="AJ9" i="5"/>
  <c r="AO26" i="5"/>
  <c r="AQ9" i="5"/>
  <c r="AL19" i="5"/>
  <c r="AH28" i="5"/>
  <c r="AH8" i="5"/>
  <c r="AI15" i="5"/>
  <c r="AL10" i="5"/>
  <c r="AO17" i="5"/>
  <c r="AG23" i="5"/>
  <c r="AM23" i="5"/>
  <c r="AQ26" i="5"/>
  <c r="AI22" i="5"/>
  <c r="AL27" i="5"/>
  <c r="AE26" i="5"/>
  <c r="AN20" i="5"/>
  <c r="AI8" i="5"/>
  <c r="AO16" i="5"/>
  <c r="AO27" i="5"/>
  <c r="AO20" i="5"/>
  <c r="AI11" i="5"/>
  <c r="AG26" i="5"/>
  <c r="AF25" i="5"/>
  <c r="AH19" i="5"/>
  <c r="AP17" i="5"/>
  <c r="AH27" i="5"/>
  <c r="AH9" i="5"/>
  <c r="AL12" i="5"/>
  <c r="AN12" i="5"/>
  <c r="AJ27" i="5"/>
  <c r="AH11" i="5"/>
  <c r="AM9" i="5"/>
  <c r="AJ21" i="5"/>
  <c r="AE27" i="5"/>
  <c r="AF23" i="5"/>
  <c r="AP21" i="5"/>
  <c r="AQ25" i="5"/>
  <c r="AM18" i="5"/>
  <c r="AH22" i="5"/>
  <c r="AP22" i="5"/>
  <c r="AM10" i="5"/>
  <c r="AQ21" i="5"/>
  <c r="AQ7" i="5"/>
  <c r="AN27" i="5"/>
  <c r="AN18" i="5"/>
  <c r="AL13" i="5"/>
  <c r="AF19" i="5"/>
  <c r="AN14" i="5"/>
  <c r="AK7" i="5"/>
  <c r="AE23" i="5"/>
  <c r="AN8" i="5"/>
  <c r="AM21" i="5"/>
  <c r="AE24" i="5"/>
  <c r="AF18" i="5"/>
  <c r="AK11" i="5"/>
  <c r="AL26" i="5"/>
  <c r="AO14" i="5"/>
  <c r="AI12" i="5"/>
  <c r="AH17" i="5"/>
  <c r="AM13" i="5"/>
  <c r="AM14" i="5"/>
  <c r="AE16" i="5"/>
  <c r="AG24" i="5"/>
  <c r="AH26" i="5"/>
  <c r="AE19" i="5"/>
  <c r="AM16" i="5"/>
  <c r="AG7" i="5"/>
  <c r="AF15" i="5"/>
  <c r="AF13" i="5"/>
  <c r="AP20" i="5"/>
  <c r="AG16" i="5"/>
  <c r="AH10" i="5"/>
  <c r="AI26" i="5"/>
  <c r="AM22" i="5"/>
  <c r="AI24" i="5"/>
  <c r="AN7" i="5"/>
  <c r="AF12" i="5"/>
  <c r="AJ14" i="5"/>
  <c r="AJ19" i="5"/>
  <c r="AL23" i="5"/>
  <c r="AN19" i="5"/>
  <c r="AH12" i="5"/>
  <c r="AI7" i="5"/>
  <c r="AO24" i="5"/>
  <c r="AL25" i="5"/>
  <c r="AL18" i="5"/>
  <c r="AO25" i="5"/>
  <c r="AF9" i="5"/>
  <c r="AF27" i="5"/>
  <c r="AO21" i="5"/>
  <c r="AL15" i="5"/>
  <c r="AG8" i="5"/>
  <c r="AQ19" i="5"/>
  <c r="AJ13" i="5"/>
  <c r="AK16" i="5"/>
  <c r="AE22" i="5"/>
  <c r="AE7" i="5"/>
  <c r="AF22" i="5"/>
  <c r="AI10" i="5"/>
  <c r="AJ11" i="5"/>
  <c r="AQ20" i="5"/>
  <c r="AF16" i="5"/>
  <c r="AM7" i="5"/>
  <c r="AL22" i="5"/>
  <c r="AL24" i="5"/>
  <c r="AP14" i="5"/>
  <c r="AJ28" i="5"/>
  <c r="AG19" i="5"/>
  <c r="AG12" i="5"/>
  <c r="AK22" i="5"/>
  <c r="AE20" i="5"/>
  <c r="AE14" i="5"/>
  <c r="AL14" i="5"/>
  <c r="AI20" i="5"/>
  <c r="AM19" i="5"/>
  <c r="AK18" i="5"/>
  <c r="AK21" i="5"/>
  <c r="AQ17" i="5"/>
  <c r="AJ16" i="5"/>
  <c r="AE21" i="5"/>
  <c r="AF21" i="5"/>
  <c r="AM26" i="5"/>
  <c r="AK19" i="5"/>
  <c r="AO10" i="5"/>
  <c r="AM17" i="5"/>
  <c r="AL8" i="5"/>
  <c r="AJ23" i="5"/>
  <c r="AI14" i="5"/>
  <c r="AI27" i="5"/>
  <c r="AL28" i="5"/>
  <c r="AN16" i="5"/>
  <c r="AF7" i="5"/>
  <c r="AE18" i="5"/>
  <c r="AL9" i="5"/>
  <c r="AP12" i="5"/>
  <c r="AH7" i="5"/>
  <c r="AE9" i="5"/>
  <c r="AL16" i="5"/>
  <c r="AJ24" i="5"/>
  <c r="AE15" i="5"/>
  <c r="AP24" i="5"/>
  <c r="AK25" i="5"/>
  <c r="AE10" i="5"/>
  <c r="AJ26" i="5"/>
  <c r="AL21" i="5"/>
  <c r="AE8" i="5"/>
  <c r="AF24" i="5"/>
  <c r="AM20" i="5"/>
  <c r="AQ22" i="5"/>
  <c r="AO19" i="5"/>
  <c r="AI23" i="5"/>
  <c r="AI16" i="5"/>
  <c r="AP28" i="5"/>
  <c r="AK24" i="5"/>
  <c r="AN21" i="5"/>
  <c r="AQ12" i="5"/>
  <c r="AH15" i="5"/>
  <c r="AN22" i="5"/>
  <c r="AK15" i="5"/>
  <c r="AG11" i="5"/>
  <c r="AQ18" i="5"/>
  <c r="AJ12" i="5"/>
  <c r="AO13" i="5"/>
  <c r="AP27" i="5"/>
  <c r="AF8" i="5"/>
  <c r="AK17" i="5"/>
  <c r="AQ16" i="5"/>
  <c r="AN9" i="5"/>
  <c r="AH25" i="5"/>
  <c r="AQ10" i="5"/>
  <c r="AG25" i="5"/>
  <c r="AP15" i="5"/>
  <c r="AG18" i="5"/>
  <c r="AL11" i="5"/>
  <c r="AM25" i="5"/>
  <c r="AH20" i="5"/>
  <c r="AH23" i="5"/>
  <c r="AO11" i="5"/>
  <c r="AP26" i="5"/>
  <c r="AO9" i="5"/>
  <c r="AJ17" i="5"/>
  <c r="AG10" i="5"/>
  <c r="AE17" i="5"/>
  <c r="AK13" i="5"/>
  <c r="AG14" i="5"/>
  <c r="AF28" i="5"/>
  <c r="AF14" i="5"/>
  <c r="AQ14" i="5"/>
  <c r="AE28" i="5"/>
  <c r="AH18" i="5"/>
  <c r="AE11" i="5"/>
  <c r="AK14" i="5"/>
  <c r="AI9" i="5"/>
  <c r="AO23" i="5"/>
  <c r="AK12" i="5"/>
  <c r="AN23" i="5"/>
  <c r="AM15" i="5"/>
  <c r="AK9" i="5"/>
  <c r="AG21" i="5"/>
  <c r="AK10" i="5"/>
  <c r="AM24" i="5"/>
  <c r="AG15" i="5"/>
  <c r="AK8" i="5"/>
  <c r="AO7" i="5"/>
  <c r="AP19" i="5"/>
  <c r="AP11" i="5"/>
  <c r="AN28" i="5"/>
  <c r="AO22" i="5"/>
  <c r="AN15" i="5"/>
  <c r="AN26" i="5"/>
  <c r="AH16" i="5"/>
  <c r="AM12" i="5"/>
  <c r="AP16" i="5"/>
  <c r="AN10" i="5"/>
  <c r="AI21" i="5"/>
  <c r="AP13" i="5"/>
  <c r="AP7" i="5"/>
  <c r="AF20" i="5"/>
  <c r="E13" i="6" l="1"/>
  <c r="E11" i="6" l="1"/>
  <c r="E10" i="6" l="1"/>
  <c r="E7" i="6" l="1"/>
  <c r="E8" i="6"/>
  <c r="E9" i="6"/>
</calcChain>
</file>

<file path=xl/sharedStrings.xml><?xml version="1.0" encoding="utf-8"?>
<sst xmlns="http://schemas.openxmlformats.org/spreadsheetml/2006/main" count="681" uniqueCount="260">
  <si>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</si>
  <si>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</si>
  <si>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</si>
  <si>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</si>
  <si>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ID</t>
  </si>
  <si>
    <t>opt type</t>
  </si>
  <si>
    <t>underlying</t>
  </si>
  <si>
    <t>20180123-CICC-HTMY-CU1805-VAN-P-60</t>
  </si>
  <si>
    <t>p</t>
  </si>
  <si>
    <t>cu1805</t>
  </si>
  <si>
    <t>20180118-CICC-ZTKJ-AL1805-VAN-P-82</t>
  </si>
  <si>
    <t>al1805</t>
  </si>
  <si>
    <t>client</t>
    <phoneticPr fontId="1" type="noConversion"/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</si>
  <si>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</si>
  <si>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</si>
  <si>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</si>
  <si>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</si>
  <si>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</si>
  <si>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</si>
  <si>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</si>
  <si>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</si>
  <si>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</si>
  <si>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</si>
  <si>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</si>
  <si>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</si>
  <si>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</si>
  <si>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</si>
  <si>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</si>
  <si>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</si>
  <si>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</si>
  <si>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</si>
  <si>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</si>
  <si>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</si>
  <si>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</si>
  <si>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</si>
  <si>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</si>
  <si>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</si>
  <si>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</si>
  <si>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</si>
  <si>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</si>
  <si>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</si>
  <si>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</si>
  <si>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</si>
  <si>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</si>
  <si>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</si>
  <si>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</si>
  <si>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</si>
  <si>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</si>
  <si>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</si>
  <si>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</si>
  <si>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</si>
  <si>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</si>
  <si>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</si>
  <si>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</si>
  <si>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</si>
  <si>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</si>
  <si>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</si>
  <si>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</si>
  <si>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</si>
  <si>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</si>
  <si>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</si>
  <si>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</si>
  <si>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</si>
  <si>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</si>
  <si>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</si>
  <si>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</si>
  <si>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</si>
  <si>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</si>
  <si>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</si>
  <si>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</si>
  <si>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</si>
  <si>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20180201-CICC-TWGJ-RB1810-VAN-P-73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</si>
  <si>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</si>
  <si>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</si>
  <si>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</si>
  <si>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</si>
  <si>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</si>
  <si>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</si>
  <si>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</si>
  <si>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</si>
  <si>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</si>
  <si>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</si>
  <si>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</si>
  <si>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</si>
  <si>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</si>
  <si>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</si>
  <si>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</si>
  <si>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</si>
  <si>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</si>
  <si>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</si>
  <si>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</si>
  <si>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</si>
  <si>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</si>
  <si>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</si>
  <si>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</si>
  <si>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</si>
  <si>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</si>
  <si>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</si>
  <si>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</si>
  <si>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</si>
  <si>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</si>
  <si>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</si>
  <si>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</si>
  <si>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</si>
  <si>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</si>
  <si>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</si>
  <si>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</si>
  <si>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</si>
  <si>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</si>
  <si>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</si>
  <si>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</si>
  <si>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</si>
  <si>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</si>
  <si>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</si>
  <si>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</si>
  <si>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</si>
  <si>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</si>
  <si>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</si>
  <si>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</si>
  <si>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</si>
  <si>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</si>
  <si>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</si>
  <si>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</si>
  <si>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</si>
  <si>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</si>
  <si>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</si>
  <si>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</si>
  <si>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</si>
  <si>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</si>
  <si>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</si>
  <si>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</si>
  <si>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</si>
  <si>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</si>
  <si>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</si>
  <si>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</si>
  <si>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</si>
  <si>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</si>
  <si>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</si>
  <si>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</si>
  <si>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</si>
  <si>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</si>
  <si>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</si>
  <si>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</si>
  <si>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</si>
  <si>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</si>
  <si>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</si>
  <si>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</si>
  <si>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</si>
  <si>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</si>
  <si>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</si>
  <si>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</si>
  <si>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</si>
  <si>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</si>
  <si>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</si>
  <si>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</si>
  <si>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</si>
  <si>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数量(吨)</t>
    <phoneticPr fontId="1" type="noConversion"/>
  </si>
  <si>
    <t xml:space="preserve">执行价 </t>
    <phoneticPr fontId="1" type="noConversion"/>
  </si>
  <si>
    <t>到期日</t>
    <phoneticPr fontId="1" type="noConversion"/>
  </si>
  <si>
    <t>id</t>
    <phoneticPr fontId="1" type="noConversion"/>
  </si>
  <si>
    <t xml:space="preserve">期权费-平仓(每吨) </t>
    <phoneticPr fontId="1" type="noConversion"/>
  </si>
  <si>
    <t>期权费-开仓（每吨）</t>
    <phoneticPr fontId="1" type="noConversion"/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</si>
  <si>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</si>
  <si>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</si>
  <si>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</si>
  <si>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</si>
  <si>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</si>
  <si>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</si>
  <si>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1+(3*VR+X)</t>
    <phoneticPr fontId="1" type="noConversion"/>
  </si>
  <si>
    <t>1-(3*VR+X)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</si>
  <si>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</si>
  <si>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</si>
  <si>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</si>
  <si>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</si>
  <si>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</si>
  <si>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</si>
  <si>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1.033|1|1</t>
  </si>
  <si>
    <t>1.067|1|1</t>
  </si>
  <si>
    <t>1.1|1|1</t>
  </si>
  <si>
    <t>.967|1|1</t>
  </si>
  <si>
    <t>.933|1|1</t>
  </si>
  <si>
    <t>.9|1|1</t>
  </si>
  <si>
    <t>1.1|1.1|1</t>
  </si>
  <si>
    <t>1.1|.9|1</t>
  </si>
  <si>
    <t>.9|1.1|1</t>
  </si>
  <si>
    <t>.9|.9|1</t>
  </si>
  <si>
    <t>1.3|1|.3</t>
  </si>
  <si>
    <t>.7|1|.3</t>
  </si>
  <si>
    <t>1.038|1|1</t>
  </si>
  <si>
    <t>1.077|1|1</t>
  </si>
  <si>
    <t>1.115|1|1</t>
  </si>
  <si>
    <t>.962|1|1</t>
  </si>
  <si>
    <t>.923|1|1</t>
  </si>
  <si>
    <t>.885|1|1</t>
  </si>
  <si>
    <t>1.115|1.1|1</t>
  </si>
  <si>
    <t>1.115|.9|1</t>
  </si>
  <si>
    <t>.885|1.1|1</t>
  </si>
  <si>
    <t>.885|.9|1</t>
  </si>
  <si>
    <t>1.345|1|.3</t>
  </si>
  <si>
    <t>.655|1|.3</t>
  </si>
  <si>
    <t>1.018|1|1</t>
  </si>
  <si>
    <t>1.037|1|1</t>
  </si>
  <si>
    <t>1.055|1|1</t>
  </si>
  <si>
    <t>.982|1|1</t>
  </si>
  <si>
    <t>.963|1|1</t>
  </si>
  <si>
    <t>.945|1|1</t>
  </si>
  <si>
    <t>1.055|1.1|1</t>
  </si>
  <si>
    <t>1.055|.9|1</t>
  </si>
  <si>
    <t>.945|1.1|1</t>
  </si>
  <si>
    <t>.945|.9|1</t>
  </si>
  <si>
    <t>1.165|1|.3</t>
  </si>
  <si>
    <t>.835|1|.3</t>
  </si>
  <si>
    <t>1.021|1|1</t>
  </si>
  <si>
    <t>1.043|1|1</t>
  </si>
  <si>
    <t>1.064|1|1</t>
  </si>
  <si>
    <t>.979|1|1</t>
  </si>
  <si>
    <t>.957|1|1</t>
  </si>
  <si>
    <t>.936|1|1</t>
  </si>
  <si>
    <t>1.064|1.1|1</t>
  </si>
  <si>
    <t>1.064|.9|1</t>
  </si>
  <si>
    <t>.936|1.1|1</t>
  </si>
  <si>
    <t>.936|.9|1</t>
  </si>
  <si>
    <t>1.192|1|.3</t>
  </si>
  <si>
    <t>.808|1|.3</t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</si>
  <si>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</si>
  <si>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</si>
  <si>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</si>
  <si>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</si>
  <si>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</si>
  <si>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</si>
  <si>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</si>
  <si>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</si>
  <si>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</si>
  <si>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</si>
  <si>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1.321|1|.3</t>
  </si>
  <si>
    <t>.679|1|.3</t>
  </si>
  <si>
    <t>1.029|1|1</t>
  </si>
  <si>
    <t>1.059|1|1</t>
  </si>
  <si>
    <t>1.088|1|1</t>
  </si>
  <si>
    <t>.971|1|1</t>
  </si>
  <si>
    <t>.941|1|1</t>
  </si>
  <si>
    <t>.912|1|1</t>
  </si>
  <si>
    <t>1.088|1.1|1</t>
  </si>
  <si>
    <t>1.088|.9|1</t>
  </si>
  <si>
    <t>.912|1.1|1</t>
  </si>
  <si>
    <t>.912|.9|1</t>
  </si>
  <si>
    <t>1.264|1|.3</t>
  </si>
  <si>
    <t>.736|1|.3</t>
  </si>
  <si>
    <t>1.02|1|1</t>
  </si>
  <si>
    <t>1.041|1|1</t>
  </si>
  <si>
    <t>1.061|1|1</t>
  </si>
  <si>
    <t>.98|1|1</t>
  </si>
  <si>
    <t>.959|1|1</t>
  </si>
  <si>
    <t>.939|1|1</t>
  </si>
  <si>
    <t>1.061|1.1|1</t>
  </si>
  <si>
    <t>1.061|.9|1</t>
  </si>
  <si>
    <t>.939|1.1|1</t>
  </si>
  <si>
    <t>.939|.9|1</t>
  </si>
  <si>
    <t>1.183|1|.3</t>
  </si>
  <si>
    <t>.817|1|.3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</si>
</sst>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[$-409]d\-mmm\-yy;@"/>
    <numFmt numFmtId="177" formatCode="###,###,##0"/>
    <numFmt numFmtId="178" formatCode="0.000"/>
    <numFmt numFmtId="179" formatCode="yyyy\-mm\-dd;@"/>
    <numFmt numFmtId="180" formatCode="0.0"/>
  </numFmts>
  <fonts count="10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43" fontId="9" fillId="0" borderId="0" applyFont="0" applyFill="0" applyBorder="0" applyAlignment="0" applyProtection="0">
      <alignment vertical="center"/>
    </xf>
  </cellStyleXfs>
  <cellXfs count="30">
    <xf numFmtId="0" fontId="0" fillId="0" borderId="0" xfId="0"/>
    <xf numFmtId="0" fontId="3" fillId="2" borderId="0" xfId="1" applyFont="1" applyFill="1"/>
    <xf numFmtId="176" fontId="3" fillId="2" borderId="0" xfId="1" applyNumberFormat="1" applyFont="1" applyFill="1"/>
    <xf numFmtId="0" fontId="4" fillId="3" borderId="0" xfId="0" applyFont="1" applyFill="1"/>
    <xf numFmtId="14" fontId="3" fillId="3" borderId="0" xfId="0" applyNumberFormat="1" applyFont="1" applyFill="1"/>
    <xf numFmtId="0" fontId="3" fillId="3" borderId="0" xfId="0" applyFont="1" applyFill="1"/>
    <xf numFmtId="0" fontId="3" fillId="0" borderId="0" xfId="0" applyFont="1"/>
    <xf numFmtId="0" fontId="3" fillId="0" borderId="0" xfId="0" applyNumberFormat="1" applyFont="1"/>
    <xf numFmtId="0" fontId="4" fillId="2" borderId="0" xfId="1" applyFont="1" applyFill="1" applyAlignment="1">
      <alignment horizontal="center"/>
    </xf>
    <xf numFmtId="177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1" fontId="4" fillId="3" borderId="0" xfId="0" applyNumberFormat="1" applyFont="1" applyFill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8" fontId="8" fillId="0" borderId="0" xfId="0" applyNumberFormat="1" applyFont="1"/>
    <xf numFmtId="43" fontId="7" fillId="0" borderId="0" xfId="2" applyFont="1" applyAlignment="1"/>
    <xf numFmtId="9" fontId="3" fillId="0" borderId="0" xfId="0" applyNumberFormat="1" applyFont="1"/>
    <xf numFmtId="178" fontId="3" fillId="0" borderId="0" xfId="0" applyNumberFormat="1" applyFont="1"/>
    <xf numFmtId="10" fontId="3" fillId="0" borderId="0" xfId="0" applyNumberFormat="1" applyFont="1"/>
    <xf numFmtId="179" fontId="8" fillId="0" borderId="0" xfId="0" applyNumberFormat="1" applyFont="1"/>
    <xf numFmtId="180" fontId="8" fillId="0" borderId="0" xfId="0" applyNumberFormat="1" applyFont="1"/>
    <xf numFmtId="0" fontId="8" fillId="4" borderId="0" xfId="0" applyFont="1" applyFill="1"/>
    <xf numFmtId="0" fontId="7" fillId="5" borderId="0" xfId="0" applyFont="1" applyFill="1"/>
    <xf numFmtId="0" fontId="6" fillId="0" borderId="0" xfId="0" applyFont="1"/>
    <xf numFmtId="1" fontId="3" fillId="3" borderId="0" xfId="0" applyNumberFormat="1" applyFont="1" applyFill="1"/>
    <xf numFmtId="0" fontId="4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4"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8" formatCode="0.00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77" formatCode="###,###,##0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80" formatCode="0.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9" formatCode="yyyy\-mm\-dd;@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8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 t="e">
        <v>#N/A</v>
        <stp/>
        <stp>rb1805.shf</stp>
        <stp>LastPrice</stp>
        <tr r="I12" s="6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4" name="tbl_senario" displayName="tbl_senario" ref="B6:AQ28" totalsRowShown="0" headerRowDxfId="123" dataDxfId="122">
  <tableColumns count="42">
    <tableColumn id="1" name="ID" dataDxfId="121"/>
    <tableColumn id="2" name="cpty" dataDxfId="120"/>
    <tableColumn id="3" name="volume" dataDxfId="119"/>
    <tableColumn id="4" name="k" dataDxfId="118"/>
    <tableColumn id="41" name="trade_date" dataDxfId="117"/>
    <tableColumn id="5" name="exp_date" dataDxfId="116"/>
    <tableColumn id="42" name="prem_date" dataDxfId="115"/>
    <tableColumn id="6" name="prem" dataDxfId="114"/>
    <tableColumn id="7" name="type" dataDxfId="113"/>
    <tableColumn id="8" name="underlying" dataDxfId="112"/>
    <tableColumn id="9" name="prod" dataDxfId="111"/>
    <tableColumn id="38" name="qty" dataDxfId="110"/>
    <tableColumn id="10" name="price_st" dataDxfId="109"/>
    <tableColumn id="11" name="vol" dataDxfId="108"/>
    <tableColumn id="12" name="param_senario1" dataDxfId="107"/>
    <tableColumn id="13" name="param_senario2" dataDxfId="106"/>
    <tableColumn id="14" name="param_senario3" dataDxfId="105"/>
    <tableColumn id="15" name="param_senario4" dataDxfId="104"/>
    <tableColumn id="16" name="param_senario5" dataDxfId="103"/>
    <tableColumn id="17" name="param_senario6" dataDxfId="102"/>
    <tableColumn id="18" name="param_senario7" dataDxfId="101"/>
    <tableColumn id="19" name="param_senario8" dataDxfId="100"/>
    <tableColumn id="20" name="param_senario9" dataDxfId="99"/>
    <tableColumn id="21" name="param_senario10" dataDxfId="98"/>
    <tableColumn id="22" name="param_senario11" dataDxfId="97"/>
    <tableColumn id="23" name="param_senario12" dataDxfId="96"/>
    <tableColumn id="24" name="param_senario13" dataDxfId="95"/>
    <tableColumn id="39" name="vol_ref" dataDxfId="94"/>
    <tableColumn id="40" name="vol_adj" dataDxfId="93">
      <calculatedColumnFormula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2" totalsRowDxfId="91">
      <calculatedColumnFormula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calculatedColumnFormula>
    </tableColumn>
    <tableColumn id="26" name="senario2" dataDxfId="90" totalsRowDxfId="89">
      <calculatedColumnFormula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calculatedColumnFormula>
    </tableColumn>
    <tableColumn id="27" name="senario3" dataDxfId="88" totalsRowDxfId="87">
      <calculatedColumnFormula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calculatedColumnFormula>
    </tableColumn>
    <tableColumn id="28" name="senario4" dataDxfId="86" totalsRowDxfId="85">
      <calculatedColumnFormula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calculatedColumnFormula>
    </tableColumn>
    <tableColumn id="29" name="senario5" dataDxfId="84" totalsRowDxfId="83">
      <calculatedColumnFormula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calculatedColumnFormula>
    </tableColumn>
    <tableColumn id="30" name="senario6" dataDxfId="82" totalsRowDxfId="81">
      <calculatedColumnFormula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calculatedColumnFormula>
    </tableColumn>
    <tableColumn id="31" name="senario7" dataDxfId="80" totalsRowDxfId="79">
      <calculatedColumnFormula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calculatedColumnFormula>
    </tableColumn>
    <tableColumn id="32" name="senario8" dataDxfId="78" totalsRowDxfId="77">
      <calculatedColumnFormula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calculatedColumnFormula>
    </tableColumn>
    <tableColumn id="33" name="senario9" dataDxfId="76" totalsRowDxfId="75">
      <calculatedColumnFormula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calculatedColumnFormula>
    </tableColumn>
    <tableColumn id="34" name="senario10" dataDxfId="74" totalsRowDxfId="73">
      <calculatedColumnFormula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calculatedColumnFormula>
    </tableColumn>
    <tableColumn id="35" name="senario11" dataDxfId="72" totalsRowDxfId="71">
      <calculatedColumnFormula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calculatedColumnFormula>
    </tableColumn>
    <tableColumn id="36" name="senario12" dataDxfId="70" totalsRowDxfId="69">
      <calculatedColumnFormula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calculatedColumnFormula>
    </tableColumn>
    <tableColumn id="37" name="senario13" dataDxfId="68" totalsRowDxfId="67">
      <calculatedColumnFormula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C5:H9" totalsRowShown="0" headerRowDxfId="66" dataDxfId="65">
  <autoFilter ref="C5:H9"/>
  <tableColumns count="6">
    <tableColumn id="1" name="id" dataDxfId="64"/>
    <tableColumn id="2" name="数量(吨)" dataDxfId="63"/>
    <tableColumn id="3" name="执行价 " dataDxfId="62"/>
    <tableColumn id="4" name="到期日" dataDxfId="61"/>
    <tableColumn id="5" name="期权费-平仓(每吨) " dataDxfId="60"/>
    <tableColumn id="6" name="期权费-开仓（每吨）" dataDxfId="5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trades" displayName="tbl_trades" ref="B8:N30" totalsRowShown="0">
  <autoFilter ref="B8:N30"/>
  <tableColumns count="13">
    <tableColumn id="1" name="ID" dataDxfId="58"/>
    <tableColumn id="2" name="volume" dataDxfId="57"/>
    <tableColumn id="3" name="trade_date" dataDxfId="56"/>
    <tableColumn id="4" name="exp_date" dataDxfId="55"/>
    <tableColumn id="5" name="settle_date" dataDxfId="54"/>
    <tableColumn id="6" name="prem_date" dataDxfId="53"/>
    <tableColumn id="7" name="k" dataDxfId="52"/>
    <tableColumn id="10" name="prem" dataDxfId="51"/>
    <tableColumn id="11" name="type" dataDxfId="50"/>
    <tableColumn id="12" name="opt type" dataDxfId="49"/>
    <tableColumn id="13" name="underlying" dataDxfId="48"/>
    <tableColumn id="14" name="cpty" dataDxfId="47"/>
    <tableColumn id="8" name="vol_ref" dataDxfId="4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bl_ticker" displayName="tbl_ticker" ref="B6:I15" totalsRowShown="0" headerRowDxfId="45" dataDxfId="44">
  <autoFilter ref="B6:I15"/>
  <tableColumns count="8">
    <tableColumn id="1" name="ticker" dataDxfId="43"/>
    <tableColumn id="2" name="prod" dataDxfId="42"/>
    <tableColumn id="6" name="exchange" dataDxfId="41"/>
    <tableColumn id="7" name="w_ticker" dataDxfId="40">
      <calculatedColumnFormula>tbl_ticker[[#This Row],[ticker]]&amp;"."&amp;tbl_ticker[[#This Row],[exchange]]</calculatedColumnFormula>
    </tableColumn>
    <tableColumn id="9" name="multiplier" dataDxfId="39"/>
    <tableColumn id="3" name="vol" dataDxfId="38"/>
    <tableColumn id="4" name="carry" dataDxfId="37"/>
    <tableColumn id="5" name="price_st" dataDxfId="36">
      <calculatedColumnFormula>RTD("wdf.rtq",,tbl_ticker[[#This Row],[w_ticker]],"LastPrice")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bl_var" displayName="tbl_var" ref="B6:AI13" totalsRowShown="0" headerRowDxfId="35" dataDxfId="34">
  <autoFilter ref="B6:AI13"/>
  <tableColumns count="34">
    <tableColumn id="1" name="client" dataDxfId="33"/>
    <tableColumn id="7" name="x" dataDxfId="32"/>
    <tableColumn id="6" name="k" dataDxfId="31"/>
    <tableColumn id="2" name="zn" dataDxfId="30"/>
    <tableColumn id="3" name="al" dataDxfId="29"/>
    <tableColumn id="4" name="sn" dataDxfId="28"/>
    <tableColumn id="8" name="ni" dataDxfId="27"/>
    <tableColumn id="5" name="cu" dataDxfId="26"/>
    <tableColumn id="9" name="jm" dataDxfId="25"/>
    <tableColumn id="10" name="j" dataDxfId="24"/>
    <tableColumn id="11" name="hc" dataDxfId="23"/>
    <tableColumn id="12" name="i" dataDxfId="22"/>
    <tableColumn id="13" name="rb" dataDxfId="21"/>
    <tableColumn id="14" name="au" dataDxfId="20"/>
    <tableColumn id="15" name="ag" dataDxfId="19"/>
    <tableColumn id="16" name="cs" dataDxfId="18"/>
    <tableColumn id="17" name="jd" dataDxfId="17"/>
    <tableColumn id="18" name="p" dataDxfId="16"/>
    <tableColumn id="19" name="oi" dataDxfId="15"/>
    <tableColumn id="20" name="rm" dataDxfId="14"/>
    <tableColumn id="21" name="cf" dataDxfId="13"/>
    <tableColumn id="22" name="a" dataDxfId="12"/>
    <tableColumn id="23" name="y" dataDxfId="11"/>
    <tableColumn id="24" name="m" dataDxfId="10"/>
    <tableColumn id="25" name="c" dataDxfId="9"/>
    <tableColumn id="26" name="sr" dataDxfId="8"/>
    <tableColumn id="27" name="zc" dataDxfId="7"/>
    <tableColumn id="28" name="bu" dataDxfId="6"/>
    <tableColumn id="29" name="ma" dataDxfId="5"/>
    <tableColumn id="30" name="pp" dataDxfId="4"/>
    <tableColumn id="31" name="l" dataDxfId="3"/>
    <tableColumn id="32" name="fg" dataDxfId="2"/>
    <tableColumn id="33" name="ru" dataDxfId="1"/>
    <tableColumn id="34" name="ta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:C36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10"/>
      <c r="B4" s="11"/>
      <c r="C4" s="11"/>
    </row>
    <row r="5" spans="1:3">
      <c r="A5" s="10"/>
      <c r="B5" s="11"/>
      <c r="C5" s="11"/>
    </row>
    <row r="6" spans="1:3">
      <c r="A6" s="10"/>
      <c r="B6" s="11"/>
      <c r="C6" s="11"/>
    </row>
    <row r="7" spans="1:3">
      <c r="A7" s="10"/>
      <c r="B7" s="11"/>
      <c r="C7" s="1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3:AR28"/>
  <sheetViews>
    <sheetView zoomScaleNormal="100" workbookViewId="0">
      <selection activeCell="AF27" sqref="AF27"/>
    </sheetView>
  </sheetViews>
  <sheetFormatPr defaultRowHeight="11.25"/>
  <cols>
    <col min="1" max="1" width="9" style="14"/>
    <col min="2" max="2" width="14.25" style="14" customWidth="1"/>
    <col min="3" max="3" width="7" style="14" customWidth="1"/>
    <col min="4" max="4" width="8.75" style="14" customWidth="1"/>
    <col min="5" max="5" width="4.375" style="14" customWidth="1"/>
    <col min="6" max="6" width="12.25" style="14" customWidth="1"/>
    <col min="7" max="7" width="10.5" style="14" customWidth="1"/>
    <col min="8" max="8" width="11.375" style="14" bestFit="1" customWidth="1"/>
    <col min="9" max="10" width="7" style="14" customWidth="1"/>
    <col min="11" max="11" width="12.25" style="14" customWidth="1"/>
    <col min="12" max="12" width="7" style="14" customWidth="1"/>
    <col min="13" max="13" width="6.125" style="14" customWidth="1"/>
    <col min="14" max="14" width="10.5" style="14" bestFit="1" customWidth="1"/>
    <col min="15" max="15" width="6.125" style="14" customWidth="1"/>
    <col min="16" max="24" width="16.125" style="14" hidden="1" customWidth="1"/>
    <col min="25" max="28" width="17.125" style="14" hidden="1" customWidth="1"/>
    <col min="29" max="30" width="9.625" style="14" customWidth="1"/>
    <col min="31" max="39" width="10.5" style="14" customWidth="1"/>
    <col min="40" max="43" width="11.375" style="14" customWidth="1"/>
    <col min="44" max="44" width="13" style="14" bestFit="1" customWidth="1"/>
    <col min="45" max="16384" width="9" style="14"/>
  </cols>
  <sheetData>
    <row r="3" spans="2:44">
      <c r="B3" s="14" t="s">
        <v>39</v>
      </c>
    </row>
    <row r="4" spans="2:44">
      <c r="B4" s="15">
        <f ca="1">TODAY()</f>
        <v>43158</v>
      </c>
      <c r="AD4" s="16"/>
    </row>
    <row r="5" spans="2:44">
      <c r="AR5" s="19"/>
    </row>
    <row r="6" spans="2:44">
      <c r="B6" s="14" t="s">
        <v>4</v>
      </c>
      <c r="C6" s="14" t="s">
        <v>84</v>
      </c>
      <c r="D6" s="14" t="s">
        <v>76</v>
      </c>
      <c r="E6" s="14" t="s">
        <v>16</v>
      </c>
      <c r="F6" s="14" t="s">
        <v>96</v>
      </c>
      <c r="G6" s="14" t="s">
        <v>78</v>
      </c>
      <c r="H6" s="14" t="s">
        <v>92</v>
      </c>
      <c r="I6" s="14" t="s">
        <v>82</v>
      </c>
      <c r="J6" s="14" t="s">
        <v>83</v>
      </c>
      <c r="K6" s="14" t="s">
        <v>6</v>
      </c>
      <c r="L6" s="14" t="s">
        <v>85</v>
      </c>
      <c r="M6" s="14" t="s">
        <v>75</v>
      </c>
      <c r="N6" s="14" t="s">
        <v>86</v>
      </c>
      <c r="O6" s="14" t="s">
        <v>0</v>
      </c>
      <c r="P6" s="14" t="s">
        <v>52</v>
      </c>
      <c r="Q6" s="14" t="s">
        <v>53</v>
      </c>
      <c r="R6" s="14" t="s">
        <v>54</v>
      </c>
      <c r="S6" s="14" t="s">
        <v>55</v>
      </c>
      <c r="T6" s="14" t="s">
        <v>56</v>
      </c>
      <c r="U6" s="14" t="s">
        <v>57</v>
      </c>
      <c r="V6" s="14" t="s">
        <v>58</v>
      </c>
      <c r="W6" s="14" t="s">
        <v>59</v>
      </c>
      <c r="X6" s="14" t="s">
        <v>60</v>
      </c>
      <c r="Y6" s="14" t="s">
        <v>61</v>
      </c>
      <c r="Z6" s="14" t="s">
        <v>62</v>
      </c>
      <c r="AA6" s="14" t="s">
        <v>63</v>
      </c>
      <c r="AB6" s="14" t="s">
        <v>64</v>
      </c>
      <c r="AC6" s="14" t="s">
        <v>94</v>
      </c>
      <c r="AD6" s="14" t="s">
        <v>95</v>
      </c>
      <c r="AE6" s="14" t="s">
        <v>40</v>
      </c>
      <c r="AF6" s="14" t="s">
        <v>22</v>
      </c>
      <c r="AG6" s="14" t="s">
        <v>24</v>
      </c>
      <c r="AH6" s="14" t="s">
        <v>25</v>
      </c>
      <c r="AI6" s="14" t="s">
        <v>26</v>
      </c>
      <c r="AJ6" s="14" t="s">
        <v>27</v>
      </c>
      <c r="AK6" s="14" t="s">
        <v>28</v>
      </c>
      <c r="AL6" s="14" t="s">
        <v>29</v>
      </c>
      <c r="AM6" s="14" t="s">
        <v>30</v>
      </c>
      <c r="AN6" s="14" t="s">
        <v>31</v>
      </c>
      <c r="AO6" s="14" t="s">
        <v>32</v>
      </c>
      <c r="AP6" s="14" t="s">
        <v>33</v>
      </c>
      <c r="AQ6" s="14" t="s">
        <v>34</v>
      </c>
    </row>
    <row r="7" spans="2:44" ht="15" customHeight="1">
      <c r="B7" s="17" t="s">
        <v>69</v>
      </c>
      <c r="C7" s="17" t="s">
        <v>114</v>
      </c>
      <c r="D7" s="17">
        <v>500</v>
      </c>
      <c r="E7" s="17">
        <v>3699.9999992799999</v>
      </c>
      <c r="F7" s="15">
        <v>43140</v>
      </c>
      <c r="G7" s="15">
        <v>43219.625</v>
      </c>
      <c r="H7" s="15">
        <v>43140</v>
      </c>
      <c r="I7" s="17">
        <v>-275000.00800000003</v>
      </c>
      <c r="J7" s="17" t="s">
        <v>8</v>
      </c>
      <c r="K7" s="17" t="s">
        <v>67</v>
      </c>
      <c r="L7" s="17" t="s">
        <v>65</v>
      </c>
      <c r="M7" s="17">
        <v>5000</v>
      </c>
      <c r="N7" s="17">
        <v>3845</v>
      </c>
      <c r="O7" s="17">
        <v>0.18</v>
      </c>
      <c r="P7" s="17" t="s">
        <v>175</v>
      </c>
      <c r="Q7" s="17" t="s">
        <v>176</v>
      </c>
      <c r="R7" s="17" t="s">
        <v>177</v>
      </c>
      <c r="S7" s="17" t="s">
        <v>178</v>
      </c>
      <c r="T7" s="17" t="s">
        <v>179</v>
      </c>
      <c r="U7" s="17" t="s">
        <v>180</v>
      </c>
      <c r="V7" s="17" t="s">
        <v>181</v>
      </c>
      <c r="W7" s="17" t="s">
        <v>182</v>
      </c>
      <c r="X7" s="17" t="s">
        <v>183</v>
      </c>
      <c r="Y7" s="17" t="s">
        <v>184</v>
      </c>
      <c r="Z7" s="17" t="s">
        <v>185</v>
      </c>
      <c r="AA7" s="17" t="s">
        <v>186</v>
      </c>
      <c r="AB7" s="17" t="s">
        <v>187</v>
      </c>
      <c r="AC7" s="17">
        <v>0.125</v>
      </c>
      <c r="AD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0.16756671899529041</v>
      </c>
      <c r="AE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233384.43741132205</v>
      </c>
      <c r="AF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103455.67790477462</v>
      </c>
      <c r="AG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39142.633912130565</v>
      </c>
      <c r="AH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13416.880252612373</v>
      </c>
      <c r="AI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463728.92065613088</v>
      </c>
      <c r="AJ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828625.00059461908</v>
      </c>
      <c r="AK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1301295.654595433</v>
      </c>
      <c r="AL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23195.800789330398</v>
      </c>
      <c r="AM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6712.0729079818366</v>
      </c>
      <c r="AN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1333164.1356372063</v>
      </c>
      <c r="AO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1272317.3525468046</v>
      </c>
      <c r="AP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0.57897091525789757</v>
      </c>
      <c r="AQ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1507650.6151853863</v>
      </c>
    </row>
    <row r="8" spans="2:44">
      <c r="B8" s="17" t="s">
        <v>70</v>
      </c>
      <c r="C8" s="17" t="s">
        <v>114</v>
      </c>
      <c r="D8" s="17">
        <v>1000</v>
      </c>
      <c r="E8" s="17">
        <v>3720.0000015999999</v>
      </c>
      <c r="F8" s="15">
        <v>43140</v>
      </c>
      <c r="G8" s="15">
        <v>43205.625</v>
      </c>
      <c r="H8" s="15">
        <v>43140</v>
      </c>
      <c r="I8" s="17">
        <v>-499999.99575</v>
      </c>
      <c r="J8" s="17" t="s">
        <v>8</v>
      </c>
      <c r="K8" s="17" t="s">
        <v>67</v>
      </c>
      <c r="L8" s="17" t="s">
        <v>65</v>
      </c>
      <c r="M8" s="17">
        <v>10000</v>
      </c>
      <c r="N8" s="17">
        <v>3845</v>
      </c>
      <c r="O8" s="17">
        <v>0.18</v>
      </c>
      <c r="P8" s="17" t="s">
        <v>175</v>
      </c>
      <c r="Q8" s="17" t="s">
        <v>176</v>
      </c>
      <c r="R8" s="17" t="s">
        <v>177</v>
      </c>
      <c r="S8" s="17" t="s">
        <v>178</v>
      </c>
      <c r="T8" s="17" t="s">
        <v>179</v>
      </c>
      <c r="U8" s="17" t="s">
        <v>180</v>
      </c>
      <c r="V8" s="17" t="s">
        <v>181</v>
      </c>
      <c r="W8" s="17" t="s">
        <v>182</v>
      </c>
      <c r="X8" s="17" t="s">
        <v>183</v>
      </c>
      <c r="Y8" s="17" t="s">
        <v>184</v>
      </c>
      <c r="Z8" s="17" t="s">
        <v>185</v>
      </c>
      <c r="AA8" s="17" t="s">
        <v>186</v>
      </c>
      <c r="AB8" s="17" t="s">
        <v>187</v>
      </c>
      <c r="AC8" s="17">
        <v>0.125</v>
      </c>
      <c r="AD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0.16491428571428571</v>
      </c>
      <c r="AE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407546.41946735658</v>
      </c>
      <c r="AF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156723.23640356513</v>
      </c>
      <c r="AG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48641.801063818864</v>
      </c>
      <c r="AH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13083.24561882641</v>
      </c>
      <c r="AI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890835.81405593932</v>
      </c>
      <c r="AJ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1683164.4540160936</v>
      </c>
      <c r="AK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2704435.7331711086</v>
      </c>
      <c r="AL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24547.853589779534</v>
      </c>
      <c r="AM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5870.3713423104828</v>
      </c>
      <c r="AN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2747972.2418759451</v>
      </c>
      <c r="AO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2666895.5707505601</v>
      </c>
      <c r="AP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5.1108323980520065E-2</v>
      </c>
      <c r="AQ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3077458.6174386009</v>
      </c>
    </row>
    <row r="9" spans="2:44">
      <c r="B9" s="17" t="s">
        <v>98</v>
      </c>
      <c r="C9" s="17" t="s">
        <v>115</v>
      </c>
      <c r="D9" s="17">
        <v>100</v>
      </c>
      <c r="E9" s="17">
        <v>524</v>
      </c>
      <c r="F9" s="15">
        <v>43139</v>
      </c>
      <c r="G9" s="15">
        <v>43201.625</v>
      </c>
      <c r="H9" s="15">
        <v>43139</v>
      </c>
      <c r="I9" s="17">
        <v>-235800</v>
      </c>
      <c r="J9" s="17" t="s">
        <v>8</v>
      </c>
      <c r="K9" s="17" t="s">
        <v>109</v>
      </c>
      <c r="L9" s="17" t="s">
        <v>138</v>
      </c>
      <c r="M9" s="17">
        <v>10000</v>
      </c>
      <c r="N9" s="17">
        <v>548.5</v>
      </c>
      <c r="O9" s="17">
        <v>0.36</v>
      </c>
      <c r="P9" s="17" t="s">
        <v>175</v>
      </c>
      <c r="Q9" s="17" t="s">
        <v>188</v>
      </c>
      <c r="R9" s="17" t="s">
        <v>189</v>
      </c>
      <c r="S9" s="17" t="s">
        <v>190</v>
      </c>
      <c r="T9" s="17" t="s">
        <v>191</v>
      </c>
      <c r="U9" s="17" t="s">
        <v>192</v>
      </c>
      <c r="V9" s="17" t="s">
        <v>193</v>
      </c>
      <c r="W9" s="17" t="s">
        <v>194</v>
      </c>
      <c r="X9" s="17" t="s">
        <v>195</v>
      </c>
      <c r="Y9" s="17" t="s">
        <v>196</v>
      </c>
      <c r="Z9" s="17" t="s">
        <v>197</v>
      </c>
      <c r="AA9" s="17" t="s">
        <v>198</v>
      </c>
      <c r="AB9" s="17" t="s">
        <v>199</v>
      </c>
      <c r="AC9" s="17">
        <v>0.125</v>
      </c>
      <c r="AD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0.28870259481037919</v>
      </c>
      <c r="AE9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112630.31439944297</v>
      </c>
      <c r="AF9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61778.187282219165</v>
      </c>
      <c r="AG9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30987.64289483591</v>
      </c>
      <c r="AH9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14765.097603437962</v>
      </c>
      <c r="AI9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191053.9821333361</v>
      </c>
      <c r="AJ9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305042.29510259297</v>
      </c>
      <c r="AK9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448855.29495005769</v>
      </c>
      <c r="AL9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22329.863608521657</v>
      </c>
      <c r="AM9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8817.2077396463137</v>
      </c>
      <c r="AN9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464177.9942641852</v>
      </c>
      <c r="AO9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434409.88047187717</v>
      </c>
      <c r="AP9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14.446201383765489</v>
      </c>
      <c r="AQ9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493019.96012916276</v>
      </c>
    </row>
    <row r="10" spans="2:44">
      <c r="B10" s="17" t="s">
        <v>99</v>
      </c>
      <c r="C10" s="17" t="s">
        <v>115</v>
      </c>
      <c r="D10" s="17">
        <v>100</v>
      </c>
      <c r="E10" s="17">
        <v>524</v>
      </c>
      <c r="F10" s="15">
        <v>43139</v>
      </c>
      <c r="G10" s="15">
        <v>43201.625</v>
      </c>
      <c r="H10" s="15">
        <v>43139</v>
      </c>
      <c r="I10" s="17">
        <v>-235800</v>
      </c>
      <c r="J10" s="17" t="s">
        <v>46</v>
      </c>
      <c r="K10" s="17" t="s">
        <v>109</v>
      </c>
      <c r="L10" s="17" t="s">
        <v>138</v>
      </c>
      <c r="M10" s="17">
        <v>10000</v>
      </c>
      <c r="N10" s="17">
        <v>548.5</v>
      </c>
      <c r="O10" s="17">
        <v>0.36</v>
      </c>
      <c r="P10" s="17" t="s">
        <v>175</v>
      </c>
      <c r="Q10" s="17" t="s">
        <v>188</v>
      </c>
      <c r="R10" s="17" t="s">
        <v>189</v>
      </c>
      <c r="S10" s="17" t="s">
        <v>190</v>
      </c>
      <c r="T10" s="17" t="s">
        <v>191</v>
      </c>
      <c r="U10" s="17" t="s">
        <v>192</v>
      </c>
      <c r="V10" s="17" t="s">
        <v>193</v>
      </c>
      <c r="W10" s="17" t="s">
        <v>194</v>
      </c>
      <c r="X10" s="17" t="s">
        <v>195</v>
      </c>
      <c r="Y10" s="17" t="s">
        <v>196</v>
      </c>
      <c r="Z10" s="17" t="s">
        <v>197</v>
      </c>
      <c r="AA10" s="17" t="s">
        <v>198</v>
      </c>
      <c r="AB10" s="17" t="s">
        <v>199</v>
      </c>
      <c r="AC10" s="17">
        <v>0.125</v>
      </c>
      <c r="AD1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0.28870259481037919</v>
      </c>
      <c r="AE10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357045.36313001165</v>
      </c>
      <c r="AF10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514125.59767365485</v>
      </c>
      <c r="AG10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696739.31920137117</v>
      </c>
      <c r="AH10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888449.13557083998</v>
      </c>
      <c r="AI10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227536.66920303722</v>
      </c>
      <c r="AJ10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128120.71625719505</v>
      </c>
      <c r="AK10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64001.354443792698</v>
      </c>
      <c r="AL10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896013.90157592378</v>
      </c>
      <c r="AM10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882501.24570704845</v>
      </c>
      <c r="AN10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79324.053757919886</v>
      </c>
      <c r="AO10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49555.939965612248</v>
      </c>
      <c r="AP10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639681.05113370449</v>
      </c>
      <c r="AQ10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2.3844351831687058</v>
      </c>
    </row>
    <row r="11" spans="2:44">
      <c r="B11" s="17" t="s">
        <v>71</v>
      </c>
      <c r="C11" s="17" t="s">
        <v>114</v>
      </c>
      <c r="D11" s="17">
        <v>1000</v>
      </c>
      <c r="E11" s="17">
        <v>3650.00000142</v>
      </c>
      <c r="F11" s="15">
        <v>43132</v>
      </c>
      <c r="G11" s="15">
        <v>43205.625</v>
      </c>
      <c r="H11" s="15">
        <v>43132</v>
      </c>
      <c r="I11" s="17">
        <v>-429999.99489999999</v>
      </c>
      <c r="J11" s="17" t="s">
        <v>8</v>
      </c>
      <c r="K11" s="17" t="s">
        <v>67</v>
      </c>
      <c r="L11" s="17" t="s">
        <v>65</v>
      </c>
      <c r="M11" s="17">
        <v>10000</v>
      </c>
      <c r="N11" s="17">
        <v>3845</v>
      </c>
      <c r="O11" s="17">
        <v>0.18</v>
      </c>
      <c r="P11" s="17" t="s">
        <v>175</v>
      </c>
      <c r="Q11" s="17" t="s">
        <v>176</v>
      </c>
      <c r="R11" s="17" t="s">
        <v>177</v>
      </c>
      <c r="S11" s="17" t="s">
        <v>178</v>
      </c>
      <c r="T11" s="17" t="s">
        <v>179</v>
      </c>
      <c r="U11" s="17" t="s">
        <v>180</v>
      </c>
      <c r="V11" s="17" t="s">
        <v>181</v>
      </c>
      <c r="W11" s="17" t="s">
        <v>182</v>
      </c>
      <c r="X11" s="17" t="s">
        <v>183</v>
      </c>
      <c r="Y11" s="17" t="s">
        <v>184</v>
      </c>
      <c r="Z11" s="17" t="s">
        <v>185</v>
      </c>
      <c r="AA11" s="17" t="s">
        <v>186</v>
      </c>
      <c r="AB11" s="17" t="s">
        <v>187</v>
      </c>
      <c r="AC11" s="17">
        <v>0.125</v>
      </c>
      <c r="AD11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0.16057724957555178</v>
      </c>
      <c r="AE11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218687.33730914994</v>
      </c>
      <c r="AF11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71125.162371508981</v>
      </c>
      <c r="AG11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18234.667399434893</v>
      </c>
      <c r="AH11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4014.4133119708631</v>
      </c>
      <c r="AI11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553283.61689214036</v>
      </c>
      <c r="AJ11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1184202.3783727351</v>
      </c>
      <c r="AK11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2089355.0994713029</v>
      </c>
      <c r="AL11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8899.5360398487428</v>
      </c>
      <c r="AM11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1441.7783543446053</v>
      </c>
      <c r="AN11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2145210.6332942448</v>
      </c>
      <c r="AO11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2038054.6458834962</v>
      </c>
      <c r="AP11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3.8231656503228211E-3</v>
      </c>
      <c r="AQ11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2868005.9207730214</v>
      </c>
    </row>
    <row r="12" spans="2:44">
      <c r="B12" s="17" t="s">
        <v>72</v>
      </c>
      <c r="C12" s="17" t="s">
        <v>114</v>
      </c>
      <c r="D12" s="17">
        <v>1000</v>
      </c>
      <c r="E12" s="17">
        <v>3650.0000014560001</v>
      </c>
      <c r="F12" s="15">
        <v>43129</v>
      </c>
      <c r="G12" s="15">
        <v>43189.625</v>
      </c>
      <c r="H12" s="15">
        <v>43129</v>
      </c>
      <c r="I12" s="17">
        <v>-470000.00880000001</v>
      </c>
      <c r="J12" s="17" t="s">
        <v>8</v>
      </c>
      <c r="K12" s="17" t="s">
        <v>67</v>
      </c>
      <c r="L12" s="17" t="s">
        <v>65</v>
      </c>
      <c r="M12" s="17">
        <v>10000</v>
      </c>
      <c r="N12" s="17">
        <v>3845</v>
      </c>
      <c r="O12" s="17">
        <v>0.18</v>
      </c>
      <c r="P12" s="17" t="s">
        <v>175</v>
      </c>
      <c r="Q12" s="17" t="s">
        <v>176</v>
      </c>
      <c r="R12" s="17" t="s">
        <v>177</v>
      </c>
      <c r="S12" s="17" t="s">
        <v>178</v>
      </c>
      <c r="T12" s="17" t="s">
        <v>179</v>
      </c>
      <c r="U12" s="17" t="s">
        <v>180</v>
      </c>
      <c r="V12" s="17" t="s">
        <v>181</v>
      </c>
      <c r="W12" s="17" t="s">
        <v>182</v>
      </c>
      <c r="X12" s="17" t="s">
        <v>183</v>
      </c>
      <c r="Y12" s="17" t="s">
        <v>184</v>
      </c>
      <c r="Z12" s="17" t="s">
        <v>185</v>
      </c>
      <c r="AA12" s="17" t="s">
        <v>186</v>
      </c>
      <c r="AB12" s="17" t="s">
        <v>187</v>
      </c>
      <c r="AC12" s="17">
        <v>0.125</v>
      </c>
      <c r="AD12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0.15369072164948452</v>
      </c>
      <c r="AE12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104952.25589759136</v>
      </c>
      <c r="AF12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20635.620814844406</v>
      </c>
      <c r="AG12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2691.3160222557335</v>
      </c>
      <c r="AH12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265.35257184504241</v>
      </c>
      <c r="AI12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378363.18140197621</v>
      </c>
      <c r="AJ12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1011549.0162352066</v>
      </c>
      <c r="AK12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1985793.9692460448</v>
      </c>
      <c r="AL12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854.83064834275615</v>
      </c>
      <c r="AM12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57.749750463737286</v>
      </c>
      <c r="AN12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2019863.3001590634</v>
      </c>
      <c r="AO12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1956167.7584064798</v>
      </c>
      <c r="AP12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1.4638137585832991E-7</v>
      </c>
      <c r="AQ12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2870521.4322463064</v>
      </c>
    </row>
    <row r="13" spans="2:44">
      <c r="B13" s="17" t="s">
        <v>10</v>
      </c>
      <c r="C13" s="17" t="s">
        <v>116</v>
      </c>
      <c r="D13" s="17">
        <v>400</v>
      </c>
      <c r="E13" s="17">
        <v>14500.000004</v>
      </c>
      <c r="F13" s="15">
        <v>43118</v>
      </c>
      <c r="G13" s="15">
        <v>43200.625</v>
      </c>
      <c r="H13" s="15">
        <v>43118</v>
      </c>
      <c r="I13" s="17">
        <v>-400000</v>
      </c>
      <c r="J13" s="17" t="s">
        <v>8</v>
      </c>
      <c r="K13" s="17" t="s">
        <v>11</v>
      </c>
      <c r="L13" s="17" t="s">
        <v>13</v>
      </c>
      <c r="M13" s="17">
        <v>2000</v>
      </c>
      <c r="N13" s="17">
        <v>14455</v>
      </c>
      <c r="O13" s="17">
        <v>0.14000000000000001</v>
      </c>
      <c r="P13" s="17" t="s">
        <v>175</v>
      </c>
      <c r="Q13" s="17" t="s">
        <v>200</v>
      </c>
      <c r="R13" s="17" t="s">
        <v>201</v>
      </c>
      <c r="S13" s="17" t="s">
        <v>202</v>
      </c>
      <c r="T13" s="17" t="s">
        <v>203</v>
      </c>
      <c r="U13" s="17" t="s">
        <v>204</v>
      </c>
      <c r="V13" s="17" t="s">
        <v>205</v>
      </c>
      <c r="W13" s="17" t="s">
        <v>206</v>
      </c>
      <c r="X13" s="17" t="s">
        <v>207</v>
      </c>
      <c r="Y13" s="17" t="s">
        <v>208</v>
      </c>
      <c r="Z13" s="17" t="s">
        <v>209</v>
      </c>
      <c r="AA13" s="17" t="s">
        <v>210</v>
      </c>
      <c r="AB13" s="17" t="s">
        <v>211</v>
      </c>
      <c r="AC13" s="17">
        <v>0.12</v>
      </c>
      <c r="AD1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0.13031770045385779</v>
      </c>
      <c r="AE13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559327.65866590303</v>
      </c>
      <c r="AF13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331176.38684995123</v>
      </c>
      <c r="AG13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172991.01616632566</v>
      </c>
      <c r="AH13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84989.384609098925</v>
      </c>
      <c r="AI13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869978.4049516425</v>
      </c>
      <c r="AJ13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1279971.2887632628</v>
      </c>
      <c r="AK13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1728375.8110701691</v>
      </c>
      <c r="AL13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114425.00721832531</v>
      </c>
      <c r="AM13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59117.983571975681</v>
      </c>
      <c r="AN13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1750447.6566244906</v>
      </c>
      <c r="AO13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1709949.337593267</v>
      </c>
      <c r="AP13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42.209014915963088</v>
      </c>
      <c r="AQ13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1454645.0197325035</v>
      </c>
    </row>
    <row r="14" spans="2:44">
      <c r="B14" s="17" t="s">
        <v>73</v>
      </c>
      <c r="C14" s="17" t="s">
        <v>114</v>
      </c>
      <c r="D14" s="17">
        <v>500</v>
      </c>
      <c r="E14" s="17">
        <v>3550.00000086</v>
      </c>
      <c r="F14" s="15">
        <v>43104</v>
      </c>
      <c r="G14" s="15">
        <v>43167.625</v>
      </c>
      <c r="H14" s="15">
        <v>43104</v>
      </c>
      <c r="I14" s="17">
        <v>-315000.00594</v>
      </c>
      <c r="J14" s="17" t="s">
        <v>8</v>
      </c>
      <c r="K14" s="17" t="s">
        <v>67</v>
      </c>
      <c r="L14" s="17" t="s">
        <v>65</v>
      </c>
      <c r="M14" s="17">
        <v>5000</v>
      </c>
      <c r="N14" s="17">
        <v>3845</v>
      </c>
      <c r="O14" s="17">
        <v>0.18</v>
      </c>
      <c r="P14" s="17" t="s">
        <v>175</v>
      </c>
      <c r="Q14" s="17" t="s">
        <v>176</v>
      </c>
      <c r="R14" s="17" t="s">
        <v>177</v>
      </c>
      <c r="S14" s="17" t="s">
        <v>178</v>
      </c>
      <c r="T14" s="17" t="s">
        <v>179</v>
      </c>
      <c r="U14" s="17" t="s">
        <v>180</v>
      </c>
      <c r="V14" s="17" t="s">
        <v>181</v>
      </c>
      <c r="W14" s="17" t="s">
        <v>182</v>
      </c>
      <c r="X14" s="17" t="s">
        <v>183</v>
      </c>
      <c r="Y14" s="17" t="s">
        <v>184</v>
      </c>
      <c r="Z14" s="17" t="s">
        <v>185</v>
      </c>
      <c r="AA14" s="17" t="s">
        <v>186</v>
      </c>
      <c r="AB14" s="17" t="s">
        <v>187</v>
      </c>
      <c r="AC14" s="17">
        <v>0.125</v>
      </c>
      <c r="AD1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0.13332023575638507</v>
      </c>
      <c r="AE14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10.927185547838528</v>
      </c>
      <c r="AF14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7.8450367693558547E-3</v>
      </c>
      <c r="AG14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6.955078450842077E-7</v>
      </c>
      <c r="AH14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1.507139407772378E-11</v>
      </c>
      <c r="AI14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2292.9085792080332</v>
      </c>
      <c r="AJ14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78303.324005809773</v>
      </c>
      <c r="AK14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469450.15105867939</v>
      </c>
      <c r="AL14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5.8188521026956103E-9</v>
      </c>
      <c r="AM14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5.1409504760960859E-15</v>
      </c>
      <c r="AN14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477492.98175765644</v>
      </c>
      <c r="AO14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462458.07496779418</v>
      </c>
      <c r="AP14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1.2168012307227205E-52</v>
      </c>
      <c r="AQ14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1287071.0245283819</v>
      </c>
    </row>
    <row r="15" spans="2:44">
      <c r="B15" s="17" t="s">
        <v>44</v>
      </c>
      <c r="C15" s="17" t="s">
        <v>117</v>
      </c>
      <c r="D15" s="17">
        <v>125</v>
      </c>
      <c r="E15" s="17">
        <v>10039.999997630001</v>
      </c>
      <c r="F15" s="15">
        <v>43098</v>
      </c>
      <c r="G15" s="15">
        <v>43159.625</v>
      </c>
      <c r="H15" s="15">
        <v>43098</v>
      </c>
      <c r="I15" s="17">
        <v>0</v>
      </c>
      <c r="J15" s="17" t="s">
        <v>46</v>
      </c>
      <c r="K15" s="17" t="s">
        <v>47</v>
      </c>
      <c r="L15" s="17" t="s">
        <v>48</v>
      </c>
      <c r="M15" s="17">
        <v>625</v>
      </c>
      <c r="N15" s="17">
        <v>9590</v>
      </c>
      <c r="O15" s="17">
        <v>0.19</v>
      </c>
      <c r="P15" s="17" t="s">
        <v>175</v>
      </c>
      <c r="Q15" s="17" t="s">
        <v>212</v>
      </c>
      <c r="R15" s="17" t="s">
        <v>213</v>
      </c>
      <c r="S15" s="17" t="s">
        <v>214</v>
      </c>
      <c r="T15" s="17" t="s">
        <v>215</v>
      </c>
      <c r="U15" s="17" t="s">
        <v>216</v>
      </c>
      <c r="V15" s="17" t="s">
        <v>217</v>
      </c>
      <c r="W15" s="17" t="s">
        <v>218</v>
      </c>
      <c r="X15" s="17" t="s">
        <v>219</v>
      </c>
      <c r="Y15" s="17" t="s">
        <v>220</v>
      </c>
      <c r="Z15" s="17" t="s">
        <v>221</v>
      </c>
      <c r="AA15" s="17" t="s">
        <v>222</v>
      </c>
      <c r="AB15" s="17" t="s">
        <v>223</v>
      </c>
      <c r="AC15" s="17"/>
      <c r="AD15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E15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2.8354062065502279</v>
      </c>
      <c r="AF15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707.67871740340877</v>
      </c>
      <c r="AG15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21294.899379134567</v>
      </c>
      <c r="AH15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106180.33421020555</v>
      </c>
      <c r="AI15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8.2893969282329255E-4</v>
      </c>
      <c r="AJ15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7.241380903065308E-9</v>
      </c>
      <c r="AK15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4.1868681486848195E-15</v>
      </c>
      <c r="AL15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107707.42211748012</v>
      </c>
      <c r="AM15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104884.00880628629</v>
      </c>
      <c r="AN15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4.831410392471877E-12</v>
      </c>
      <c r="AO15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3.2534602320187092E-19</v>
      </c>
      <c r="AP15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260841.77377293512</v>
      </c>
      <c r="AQ15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4.2758600575109633E-90</v>
      </c>
    </row>
    <row r="16" spans="2:44">
      <c r="B16" s="17" t="s">
        <v>45</v>
      </c>
      <c r="C16" s="17" t="s">
        <v>117</v>
      </c>
      <c r="D16" s="17">
        <v>-125</v>
      </c>
      <c r="E16" s="17">
        <v>9500.0000023699995</v>
      </c>
      <c r="F16" s="15">
        <v>43098</v>
      </c>
      <c r="G16" s="15">
        <v>43159.625</v>
      </c>
      <c r="H16" s="15">
        <v>43098</v>
      </c>
      <c r="I16" s="17">
        <v>9375</v>
      </c>
      <c r="J16" s="17" t="s">
        <v>8</v>
      </c>
      <c r="K16" s="17" t="s">
        <v>47</v>
      </c>
      <c r="L16" s="17" t="s">
        <v>48</v>
      </c>
      <c r="M16" s="17">
        <v>-625</v>
      </c>
      <c r="N16" s="17">
        <v>9590</v>
      </c>
      <c r="O16" s="17">
        <v>0.19</v>
      </c>
      <c r="P16" s="17" t="s">
        <v>175</v>
      </c>
      <c r="Q16" s="17" t="s">
        <v>212</v>
      </c>
      <c r="R16" s="17" t="s">
        <v>213</v>
      </c>
      <c r="S16" s="17" t="s">
        <v>214</v>
      </c>
      <c r="T16" s="17" t="s">
        <v>215</v>
      </c>
      <c r="U16" s="17" t="s">
        <v>216</v>
      </c>
      <c r="V16" s="17" t="s">
        <v>217</v>
      </c>
      <c r="W16" s="17" t="s">
        <v>218</v>
      </c>
      <c r="X16" s="17" t="s">
        <v>219</v>
      </c>
      <c r="Y16" s="17" t="s">
        <v>220</v>
      </c>
      <c r="Z16" s="17" t="s">
        <v>221</v>
      </c>
      <c r="AA16" s="17" t="s">
        <v>222</v>
      </c>
      <c r="AB16" s="17" t="s">
        <v>223</v>
      </c>
      <c r="AC16" s="17"/>
      <c r="AD16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0.19</v>
      </c>
      <c r="AE16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-10026.238898895544</v>
      </c>
      <c r="AF16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-218.7105457633204</v>
      </c>
      <c r="AG16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-0.41344333107810977</v>
      </c>
      <c r="AH16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-1.1308410484889335E-4</v>
      </c>
      <c r="AI16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-76718.143423802074</v>
      </c>
      <c r="AJ16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-201535.99934140823</v>
      </c>
      <c r="AK16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-327320.9130264413</v>
      </c>
      <c r="AL16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-2.3341108728915545E-3</v>
      </c>
      <c r="AM16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-2.0142335588504673E-6</v>
      </c>
      <c r="AN16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-327321.28221375</v>
      </c>
      <c r="AO16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-327320.85930058395</v>
      </c>
      <c r="AP16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-2.4439526533400407E-45</v>
      </c>
      <c r="AQ16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-328335.7637665355</v>
      </c>
    </row>
    <row r="17" spans="2:43">
      <c r="B17" s="17" t="s">
        <v>100</v>
      </c>
      <c r="C17" s="17" t="s">
        <v>118</v>
      </c>
      <c r="D17" s="17">
        <v>-50</v>
      </c>
      <c r="E17" s="17">
        <v>1258</v>
      </c>
      <c r="F17" s="15">
        <v>43077</v>
      </c>
      <c r="G17" s="15">
        <v>43189.625</v>
      </c>
      <c r="H17" s="15">
        <v>43076</v>
      </c>
      <c r="I17" s="17">
        <v>297000</v>
      </c>
      <c r="J17" s="17" t="s">
        <v>8</v>
      </c>
      <c r="K17" s="17" t="s">
        <v>110</v>
      </c>
      <c r="L17" s="17" t="s">
        <v>125</v>
      </c>
      <c r="M17" s="17">
        <v>-3000</v>
      </c>
      <c r="N17" s="17">
        <v>1398</v>
      </c>
      <c r="O17" s="17">
        <v>0.36</v>
      </c>
      <c r="P17" s="17" t="s">
        <v>175</v>
      </c>
      <c r="Q17" s="17" t="s">
        <v>224</v>
      </c>
      <c r="R17" s="17" t="s">
        <v>225</v>
      </c>
      <c r="S17" s="17" t="s">
        <v>226</v>
      </c>
      <c r="T17" s="17" t="s">
        <v>227</v>
      </c>
      <c r="U17" s="17" t="s">
        <v>228</v>
      </c>
      <c r="V17" s="17" t="s">
        <v>229</v>
      </c>
      <c r="W17" s="17" t="s">
        <v>230</v>
      </c>
      <c r="X17" s="17" t="s">
        <v>231</v>
      </c>
      <c r="Y17" s="17" t="s">
        <v>232</v>
      </c>
      <c r="Z17" s="17" t="s">
        <v>233</v>
      </c>
      <c r="AA17" s="17" t="s">
        <v>234</v>
      </c>
      <c r="AB17" s="17" t="s">
        <v>235</v>
      </c>
      <c r="AC17" s="17"/>
      <c r="AD17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E1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-35315.415271040532</v>
      </c>
      <c r="AF1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-18291.765309051923</v>
      </c>
      <c r="AG1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-9128.9508375605183</v>
      </c>
      <c r="AH1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-4232.5294285128393</v>
      </c>
      <c r="AI1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-64175.212150323023</v>
      </c>
      <c r="AJ1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-108020.46748074649</v>
      </c>
      <c r="AK1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-173354.49226265305</v>
      </c>
      <c r="AL1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-7350.5122028139449</v>
      </c>
      <c r="AM1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-2104.6685246513684</v>
      </c>
      <c r="AN1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-189158.54680714462</v>
      </c>
      <c r="AO1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-157554.31867005507</v>
      </c>
      <c r="AP1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-5.1629336773123935</v>
      </c>
      <c r="AQ1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-277527.54268352129</v>
      </c>
    </row>
    <row r="18" spans="2:43">
      <c r="B18" s="17" t="s">
        <v>101</v>
      </c>
      <c r="C18" s="17" t="s">
        <v>118</v>
      </c>
      <c r="D18" s="17">
        <v>-50</v>
      </c>
      <c r="E18" s="17">
        <v>1258</v>
      </c>
      <c r="F18" s="15">
        <v>43077</v>
      </c>
      <c r="G18" s="15">
        <v>43189.625</v>
      </c>
      <c r="H18" s="15">
        <v>43076</v>
      </c>
      <c r="I18" s="17">
        <v>297000</v>
      </c>
      <c r="J18" s="17" t="s">
        <v>46</v>
      </c>
      <c r="K18" s="17" t="s">
        <v>110</v>
      </c>
      <c r="L18" s="17" t="s">
        <v>125</v>
      </c>
      <c r="M18" s="17">
        <v>-3000</v>
      </c>
      <c r="N18" s="17">
        <v>1398</v>
      </c>
      <c r="O18" s="17">
        <v>0.36</v>
      </c>
      <c r="P18" s="17" t="s">
        <v>175</v>
      </c>
      <c r="Q18" s="17" t="s">
        <v>224</v>
      </c>
      <c r="R18" s="17" t="s">
        <v>225</v>
      </c>
      <c r="S18" s="17" t="s">
        <v>226</v>
      </c>
      <c r="T18" s="17" t="s">
        <v>227</v>
      </c>
      <c r="U18" s="17" t="s">
        <v>228</v>
      </c>
      <c r="V18" s="17" t="s">
        <v>229</v>
      </c>
      <c r="W18" s="17" t="s">
        <v>230</v>
      </c>
      <c r="X18" s="17" t="s">
        <v>231</v>
      </c>
      <c r="Y18" s="17" t="s">
        <v>232</v>
      </c>
      <c r="Z18" s="17" t="s">
        <v>233</v>
      </c>
      <c r="AA18" s="17" t="s">
        <v>234</v>
      </c>
      <c r="AB18" s="17" t="s">
        <v>235</v>
      </c>
      <c r="AC18" s="17"/>
      <c r="AD18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0.36</v>
      </c>
      <c r="AE1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-454588.23728872609</v>
      </c>
      <c r="AF1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-588287.1772303523</v>
      </c>
      <c r="AG1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-725660.21405404189</v>
      </c>
      <c r="AH1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-871486.38254860905</v>
      </c>
      <c r="AI1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-332725.44426439342</v>
      </c>
      <c r="AJ1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-230034.84829963575</v>
      </c>
      <c r="AK1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-144646.28317792778</v>
      </c>
      <c r="AL1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-874604.3653229106</v>
      </c>
      <c r="AM1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-869358.52164474747</v>
      </c>
      <c r="AN1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-160450.33772241915</v>
      </c>
      <c r="AO1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-128846.10958532961</v>
      </c>
      <c r="AP1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-528969.93753115262</v>
      </c>
      <c r="AQ1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-126.46129665743506</v>
      </c>
    </row>
    <row r="19" spans="2:43">
      <c r="B19" s="17" t="s">
        <v>102</v>
      </c>
      <c r="C19" s="17" t="s">
        <v>119</v>
      </c>
      <c r="D19" s="17">
        <v>2000</v>
      </c>
      <c r="E19" s="17">
        <v>1199.9999998999999</v>
      </c>
      <c r="F19" s="15">
        <v>43067</v>
      </c>
      <c r="G19" s="15">
        <v>43189.625</v>
      </c>
      <c r="H19" s="15">
        <v>43067</v>
      </c>
      <c r="I19" s="17">
        <v>-5999999.9280000003</v>
      </c>
      <c r="J19" s="17" t="s">
        <v>8</v>
      </c>
      <c r="K19" s="17" t="s">
        <v>110</v>
      </c>
      <c r="L19" s="17" t="s">
        <v>125</v>
      </c>
      <c r="M19" s="17">
        <v>120000</v>
      </c>
      <c r="N19" s="17">
        <v>1398</v>
      </c>
      <c r="O19" s="17">
        <v>0.36</v>
      </c>
      <c r="P19" s="17" t="s">
        <v>175</v>
      </c>
      <c r="Q19" s="17" t="s">
        <v>224</v>
      </c>
      <c r="R19" s="17" t="s">
        <v>225</v>
      </c>
      <c r="S19" s="17" t="s">
        <v>226</v>
      </c>
      <c r="T19" s="17" t="s">
        <v>227</v>
      </c>
      <c r="U19" s="17" t="s">
        <v>228</v>
      </c>
      <c r="V19" s="17" t="s">
        <v>229</v>
      </c>
      <c r="W19" s="17" t="s">
        <v>230</v>
      </c>
      <c r="X19" s="17" t="s">
        <v>231</v>
      </c>
      <c r="Y19" s="17" t="s">
        <v>232</v>
      </c>
      <c r="Z19" s="17" t="s">
        <v>233</v>
      </c>
      <c r="AA19" s="17" t="s">
        <v>234</v>
      </c>
      <c r="AB19" s="17" t="s">
        <v>235</v>
      </c>
      <c r="AC19" s="17">
        <v>0.32</v>
      </c>
      <c r="AD19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0.33031600407747197</v>
      </c>
      <c r="AE19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375229.3755467697</v>
      </c>
      <c r="AF19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154981.52945994714</v>
      </c>
      <c r="AG19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61219.335767933553</v>
      </c>
      <c r="AH19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22040.914883972931</v>
      </c>
      <c r="AI19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841211.98382022802</v>
      </c>
      <c r="AJ19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1706148.1108551885</v>
      </c>
      <c r="AK19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3250029.7369934679</v>
      </c>
      <c r="AL19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50624.752826010452</v>
      </c>
      <c r="AM19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7549.3142512617169</v>
      </c>
      <c r="AN19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3776868.1241566441</v>
      </c>
      <c r="AO19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2731798.3070940305</v>
      </c>
      <c r="AP19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4.9739065272066929</v>
      </c>
      <c r="AQ19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9021465.1645178329</v>
      </c>
    </row>
    <row r="20" spans="2:43">
      <c r="B20" s="17" t="s">
        <v>103</v>
      </c>
      <c r="C20" s="17" t="s">
        <v>119</v>
      </c>
      <c r="D20" s="17">
        <v>300</v>
      </c>
      <c r="E20" s="17">
        <v>13000.000006799999</v>
      </c>
      <c r="F20" s="15">
        <v>43054</v>
      </c>
      <c r="G20" s="15">
        <v>43189.625</v>
      </c>
      <c r="H20" s="15">
        <v>43054</v>
      </c>
      <c r="I20" s="17">
        <v>-1791000.0179999999</v>
      </c>
      <c r="J20" s="17" t="s">
        <v>8</v>
      </c>
      <c r="K20" s="17" t="s">
        <v>111</v>
      </c>
      <c r="L20" s="17" t="s">
        <v>123</v>
      </c>
      <c r="M20" s="17">
        <v>3000</v>
      </c>
      <c r="N20" s="17">
        <v>12850</v>
      </c>
      <c r="O20" s="17">
        <v>0.36</v>
      </c>
      <c r="P20" s="17" t="s">
        <v>175</v>
      </c>
      <c r="Q20" s="17" t="s">
        <v>236</v>
      </c>
      <c r="R20" s="17" t="s">
        <v>237</v>
      </c>
      <c r="S20" s="17" t="s">
        <v>238</v>
      </c>
      <c r="T20" s="17" t="s">
        <v>239</v>
      </c>
      <c r="U20" s="17" t="s">
        <v>240</v>
      </c>
      <c r="V20" s="17" t="s">
        <v>241</v>
      </c>
      <c r="W20" s="17" t="s">
        <v>242</v>
      </c>
      <c r="X20" s="17" t="s">
        <v>243</v>
      </c>
      <c r="Y20" s="17" t="s">
        <v>244</v>
      </c>
      <c r="Z20" s="17" t="s">
        <v>245</v>
      </c>
      <c r="AA20" s="17" t="s">
        <v>246</v>
      </c>
      <c r="AB20" s="17" t="s">
        <v>247</v>
      </c>
      <c r="AC20" s="17">
        <v>0.26</v>
      </c>
      <c r="AD20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0.28331797235023043</v>
      </c>
      <c r="AE20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1524487.6777254802</v>
      </c>
      <c r="AF20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999568.37244043953</v>
      </c>
      <c r="AG20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608699.56993114878</v>
      </c>
      <c r="AH20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355562.23264040373</v>
      </c>
      <c r="AI20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2201960.1393205589</v>
      </c>
      <c r="AJ20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3052695.7614639713</v>
      </c>
      <c r="AK20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3993654.3423616532</v>
      </c>
      <c r="AL20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450547.36594407028</v>
      </c>
      <c r="AM20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267573.74714948842</v>
      </c>
      <c r="AN20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4054522.878444158</v>
      </c>
      <c r="AO20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3941549.4039749987</v>
      </c>
      <c r="AP20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1271.2717819235124</v>
      </c>
      <c r="AQ20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3182653.3763312716</v>
      </c>
    </row>
    <row r="21" spans="2:43">
      <c r="B21" s="17" t="s">
        <v>104</v>
      </c>
      <c r="C21" s="17" t="s">
        <v>118</v>
      </c>
      <c r="D21" s="17">
        <v>-500</v>
      </c>
      <c r="E21" s="17">
        <v>3599.9999997999998</v>
      </c>
      <c r="F21" s="15">
        <v>43048</v>
      </c>
      <c r="G21" s="15">
        <v>43203.625</v>
      </c>
      <c r="H21" s="15">
        <v>43048</v>
      </c>
      <c r="I21" s="17">
        <v>931199.99399999995</v>
      </c>
      <c r="J21" s="17" t="s">
        <v>8</v>
      </c>
      <c r="K21" s="17" t="s">
        <v>112</v>
      </c>
      <c r="L21" s="17" t="s">
        <v>65</v>
      </c>
      <c r="M21" s="17">
        <v>-5000</v>
      </c>
      <c r="N21" s="17">
        <v>3949</v>
      </c>
      <c r="O21" s="17">
        <v>0.18</v>
      </c>
      <c r="P21" s="17" t="s">
        <v>175</v>
      </c>
      <c r="Q21" s="17" t="s">
        <v>176</v>
      </c>
      <c r="R21" s="17" t="s">
        <v>177</v>
      </c>
      <c r="S21" s="17" t="s">
        <v>178</v>
      </c>
      <c r="T21" s="17" t="s">
        <v>179</v>
      </c>
      <c r="U21" s="17" t="s">
        <v>180</v>
      </c>
      <c r="V21" s="17" t="s">
        <v>181</v>
      </c>
      <c r="W21" s="17" t="s">
        <v>182</v>
      </c>
      <c r="X21" s="17" t="s">
        <v>183</v>
      </c>
      <c r="Y21" s="17" t="s">
        <v>184</v>
      </c>
      <c r="Z21" s="17" t="s">
        <v>185</v>
      </c>
      <c r="AA21" s="17" t="s">
        <v>186</v>
      </c>
      <c r="AB21" s="17" t="s">
        <v>187</v>
      </c>
      <c r="AC21" s="17"/>
      <c r="AD21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1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-38909.390204373769</v>
      </c>
      <c r="AF21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-11359.340939838812</v>
      </c>
      <c r="AG21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-2691.8867958116616</v>
      </c>
      <c r="AH21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-568.26739792108356</v>
      </c>
      <c r="AI21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-112494.06048457192</v>
      </c>
      <c r="AJ21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-280842.48694278719</v>
      </c>
      <c r="AK21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-576505.29054233071</v>
      </c>
      <c r="AL21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-1544.9855300758425</v>
      </c>
      <c r="AM21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-155.29442295748558</v>
      </c>
      <c r="AN21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-620944.83986345783</v>
      </c>
      <c r="AO21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-532243.36870458943</v>
      </c>
      <c r="AP21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-8.4947494163352562E-4</v>
      </c>
      <c r="AQ21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-1250421.1275751751</v>
      </c>
    </row>
    <row r="22" spans="2:43">
      <c r="B22" s="17" t="s">
        <v>105</v>
      </c>
      <c r="C22" s="17" t="s">
        <v>118</v>
      </c>
      <c r="D22" s="17">
        <v>-500</v>
      </c>
      <c r="E22" s="17">
        <v>4000.0000002000002</v>
      </c>
      <c r="F22" s="15">
        <v>43048</v>
      </c>
      <c r="G22" s="15">
        <v>43203.625</v>
      </c>
      <c r="H22" s="15">
        <v>43048</v>
      </c>
      <c r="I22" s="17">
        <v>1122200.0019999999</v>
      </c>
      <c r="J22" s="17" t="s">
        <v>46</v>
      </c>
      <c r="K22" s="17" t="s">
        <v>112</v>
      </c>
      <c r="L22" s="17" t="s">
        <v>65</v>
      </c>
      <c r="M22" s="17">
        <v>-5000</v>
      </c>
      <c r="N22" s="17">
        <v>3949</v>
      </c>
      <c r="O22" s="17">
        <v>0.18</v>
      </c>
      <c r="P22" s="17" t="s">
        <v>175</v>
      </c>
      <c r="Q22" s="17" t="s">
        <v>176</v>
      </c>
      <c r="R22" s="17" t="s">
        <v>177</v>
      </c>
      <c r="S22" s="17" t="s">
        <v>178</v>
      </c>
      <c r="T22" s="17" t="s">
        <v>179</v>
      </c>
      <c r="U22" s="17" t="s">
        <v>180</v>
      </c>
      <c r="V22" s="17" t="s">
        <v>181</v>
      </c>
      <c r="W22" s="17" t="s">
        <v>182</v>
      </c>
      <c r="X22" s="17" t="s">
        <v>183</v>
      </c>
      <c r="Y22" s="17" t="s">
        <v>184</v>
      </c>
      <c r="Z22" s="17" t="s">
        <v>185</v>
      </c>
      <c r="AA22" s="17" t="s">
        <v>186</v>
      </c>
      <c r="AB22" s="17" t="s">
        <v>187</v>
      </c>
      <c r="AC22" s="17"/>
      <c r="AD22" s="18">
        <f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0.18</v>
      </c>
      <c r="AE22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-386198.13797434885</v>
      </c>
      <c r="AF22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-733378.53433639335</v>
      </c>
      <c r="AG22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-1217094.7350575847</v>
      </c>
      <c r="AH22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-1775933.4496414384</v>
      </c>
      <c r="AI22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-168671.4304274545</v>
      </c>
      <c r="AJ22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-56482.326224183576</v>
      </c>
      <c r="AK22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-14767.830753718787</v>
      </c>
      <c r="AL22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-1800540.1933603489</v>
      </c>
      <c r="AM22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-1755149.4181569021</v>
      </c>
      <c r="AN22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-24753.561047508007</v>
      </c>
      <c r="AO22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-7697.5543368786148</v>
      </c>
      <c r="AP22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-1696308.2955275227</v>
      </c>
      <c r="AQ22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-1.6506226930580414E-4</v>
      </c>
    </row>
    <row r="23" spans="2:43">
      <c r="B23" s="17" t="s">
        <v>106</v>
      </c>
      <c r="C23" s="17" t="s">
        <v>119</v>
      </c>
      <c r="D23" s="17">
        <v>500</v>
      </c>
      <c r="E23" s="17">
        <v>450</v>
      </c>
      <c r="F23" s="15">
        <v>43048</v>
      </c>
      <c r="G23" s="15">
        <v>43203.625</v>
      </c>
      <c r="H23" s="15">
        <v>43048</v>
      </c>
      <c r="I23" s="17">
        <v>-760500</v>
      </c>
      <c r="J23" s="17" t="s">
        <v>8</v>
      </c>
      <c r="K23" s="17" t="s">
        <v>109</v>
      </c>
      <c r="L23" s="17" t="s">
        <v>138</v>
      </c>
      <c r="M23" s="17">
        <v>50000</v>
      </c>
      <c r="N23" s="17">
        <v>548.5</v>
      </c>
      <c r="O23" s="17">
        <v>0.36</v>
      </c>
      <c r="P23" s="17" t="s">
        <v>175</v>
      </c>
      <c r="Q23" s="17" t="s">
        <v>188</v>
      </c>
      <c r="R23" s="17" t="s">
        <v>189</v>
      </c>
      <c r="S23" s="17" t="s">
        <v>190</v>
      </c>
      <c r="T23" s="17" t="s">
        <v>191</v>
      </c>
      <c r="U23" s="17" t="s">
        <v>192</v>
      </c>
      <c r="V23" s="17" t="s">
        <v>193</v>
      </c>
      <c r="W23" s="17" t="s">
        <v>194</v>
      </c>
      <c r="X23" s="17" t="s">
        <v>195</v>
      </c>
      <c r="Y23" s="17" t="s">
        <v>196</v>
      </c>
      <c r="Z23" s="17" t="s">
        <v>197</v>
      </c>
      <c r="AA23" s="17" t="s">
        <v>198</v>
      </c>
      <c r="AB23" s="17" t="s">
        <v>199</v>
      </c>
      <c r="AC23" s="17">
        <v>0.27</v>
      </c>
      <c r="AD23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0.29638554216867469</v>
      </c>
      <c r="AE23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29505.685697409011</v>
      </c>
      <c r="AF23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11356.564416872678</v>
      </c>
      <c r="AG23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3979.7611319748107</v>
      </c>
      <c r="AH23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1347.6704426526267</v>
      </c>
      <c r="AI23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71350.695063170046</v>
      </c>
      <c r="AJ23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162961.1145845087</v>
      </c>
      <c r="AK23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335293.15851496137</v>
      </c>
      <c r="AL23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3617.6693571093833</v>
      </c>
      <c r="AM23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374.60354675050979</v>
      </c>
      <c r="AN23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412017.55151352321</v>
      </c>
      <c r="AO23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262490.72645692044</v>
      </c>
      <c r="AP23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0.21136002799810291</v>
      </c>
      <c r="AQ23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1361144.3566062679</v>
      </c>
    </row>
    <row r="24" spans="2:43">
      <c r="B24" s="17" t="s">
        <v>107</v>
      </c>
      <c r="C24" s="17" t="s">
        <v>119</v>
      </c>
      <c r="D24" s="17">
        <v>1500</v>
      </c>
      <c r="E24" s="17">
        <v>4000</v>
      </c>
      <c r="F24" s="15">
        <v>43048</v>
      </c>
      <c r="G24" s="15">
        <v>43203.625</v>
      </c>
      <c r="H24" s="15">
        <v>43048</v>
      </c>
      <c r="I24" s="17">
        <v>-2317950</v>
      </c>
      <c r="J24" s="17" t="s">
        <v>46</v>
      </c>
      <c r="K24" s="17" t="s">
        <v>112</v>
      </c>
      <c r="L24" s="17" t="s">
        <v>65</v>
      </c>
      <c r="M24" s="17">
        <v>15000</v>
      </c>
      <c r="N24" s="17">
        <v>3949</v>
      </c>
      <c r="O24" s="17">
        <v>0.18</v>
      </c>
      <c r="P24" s="17" t="s">
        <v>175</v>
      </c>
      <c r="Q24" s="17" t="s">
        <v>176</v>
      </c>
      <c r="R24" s="17" t="s">
        <v>177</v>
      </c>
      <c r="S24" s="17" t="s">
        <v>178</v>
      </c>
      <c r="T24" s="17" t="s">
        <v>179</v>
      </c>
      <c r="U24" s="17" t="s">
        <v>180</v>
      </c>
      <c r="V24" s="17" t="s">
        <v>181</v>
      </c>
      <c r="W24" s="17" t="s">
        <v>182</v>
      </c>
      <c r="X24" s="17" t="s">
        <v>183</v>
      </c>
      <c r="Y24" s="17" t="s">
        <v>184</v>
      </c>
      <c r="Z24" s="17" t="s">
        <v>185</v>
      </c>
      <c r="AA24" s="17" t="s">
        <v>186</v>
      </c>
      <c r="AB24" s="17" t="s">
        <v>187</v>
      </c>
      <c r="AC24" s="17">
        <v>0.255</v>
      </c>
      <c r="AD24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0.23301204819277108</v>
      </c>
      <c r="AE24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1596024.7808101103</v>
      </c>
      <c r="AF24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2635462.7389863129</v>
      </c>
      <c r="AG24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4006140.8782636276</v>
      </c>
      <c r="AH24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5572530.0937506426</v>
      </c>
      <c r="AI24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862067.09327315399</v>
      </c>
      <c r="AJ24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395870.85502216703</v>
      </c>
      <c r="AK24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157718.97901843931</v>
      </c>
      <c r="AL24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5702421.7778362837</v>
      </c>
      <c r="AM24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5455095.2267657025</v>
      </c>
      <c r="AN24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230494.4392400817</v>
      </c>
      <c r="AO24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98530.479639459547</v>
      </c>
      <c r="AP24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5089489.2875179807</v>
      </c>
      <c r="AQ24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0.91661470262139</v>
      </c>
    </row>
    <row r="25" spans="2:43">
      <c r="B25" s="17" t="s">
        <v>108</v>
      </c>
      <c r="C25" s="17" t="s">
        <v>119</v>
      </c>
      <c r="D25" s="17">
        <v>1500</v>
      </c>
      <c r="E25" s="17">
        <v>3600</v>
      </c>
      <c r="F25" s="15">
        <v>43048</v>
      </c>
      <c r="G25" s="15">
        <v>43203.625</v>
      </c>
      <c r="H25" s="15">
        <v>43048</v>
      </c>
      <c r="I25" s="17">
        <v>-2277450</v>
      </c>
      <c r="J25" s="17" t="s">
        <v>8</v>
      </c>
      <c r="K25" s="17" t="s">
        <v>112</v>
      </c>
      <c r="L25" s="17" t="s">
        <v>65</v>
      </c>
      <c r="M25" s="17">
        <v>15000</v>
      </c>
      <c r="N25" s="17">
        <v>3949</v>
      </c>
      <c r="O25" s="17">
        <v>0.18</v>
      </c>
      <c r="P25" s="17" t="s">
        <v>175</v>
      </c>
      <c r="Q25" s="17" t="s">
        <v>176</v>
      </c>
      <c r="R25" s="17" t="s">
        <v>177</v>
      </c>
      <c r="S25" s="17" t="s">
        <v>178</v>
      </c>
      <c r="T25" s="17" t="s">
        <v>179</v>
      </c>
      <c r="U25" s="17" t="s">
        <v>180</v>
      </c>
      <c r="V25" s="17" t="s">
        <v>181</v>
      </c>
      <c r="W25" s="17" t="s">
        <v>182</v>
      </c>
      <c r="X25" s="17" t="s">
        <v>183</v>
      </c>
      <c r="Y25" s="17" t="s">
        <v>184</v>
      </c>
      <c r="Z25" s="17" t="s">
        <v>185</v>
      </c>
      <c r="AA25" s="17" t="s">
        <v>186</v>
      </c>
      <c r="AB25" s="17" t="s">
        <v>187</v>
      </c>
      <c r="AC25" s="17">
        <v>0.255</v>
      </c>
      <c r="AD25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0.23301204819277108</v>
      </c>
      <c r="AE25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304414.48026064452</v>
      </c>
      <c r="AF25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132996.67810497154</v>
      </c>
      <c r="AG25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51624.773903052512</v>
      </c>
      <c r="AH25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18903.995049726364</v>
      </c>
      <c r="AI25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635369.28380744229</v>
      </c>
      <c r="AJ25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1229384.5711330432</v>
      </c>
      <c r="AK25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2123203.2024997543</v>
      </c>
      <c r="AL25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37345.87810031831</v>
      </c>
      <c r="AM25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7918.7512340142284</v>
      </c>
      <c r="AN25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2297010.9749056394</v>
      </c>
      <c r="AO25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1949791.4090103921</v>
      </c>
      <c r="AP25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2.7758676959250352</v>
      </c>
      <c r="AQ25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3751471.0236110217</v>
      </c>
    </row>
    <row r="26" spans="2:43">
      <c r="B26" s="17" t="s">
        <v>7</v>
      </c>
      <c r="C26" s="17" t="s">
        <v>130</v>
      </c>
      <c r="D26" s="17">
        <v>100</v>
      </c>
      <c r="E26" s="17">
        <v>50000.000004000001</v>
      </c>
      <c r="F26" s="15">
        <v>43123</v>
      </c>
      <c r="G26" s="15">
        <v>43183.625</v>
      </c>
      <c r="H26" s="15">
        <v>43123</v>
      </c>
      <c r="I26" s="17">
        <v>-50000.004000000001</v>
      </c>
      <c r="J26" s="17" t="s">
        <v>8</v>
      </c>
      <c r="K26" s="17" t="s">
        <v>9</v>
      </c>
      <c r="L26" s="17" t="s">
        <v>1</v>
      </c>
      <c r="M26" s="17">
        <v>500</v>
      </c>
      <c r="N26" s="17">
        <v>53820</v>
      </c>
      <c r="O26" s="17">
        <v>0.14000000000000001</v>
      </c>
      <c r="P26" s="17" t="s">
        <v>175</v>
      </c>
      <c r="Q26" s="17" t="s">
        <v>248</v>
      </c>
      <c r="R26" s="17" t="s">
        <v>249</v>
      </c>
      <c r="S26" s="17" t="s">
        <v>250</v>
      </c>
      <c r="T26" s="17" t="s">
        <v>251</v>
      </c>
      <c r="U26" s="17" t="s">
        <v>252</v>
      </c>
      <c r="V26" s="17" t="s">
        <v>253</v>
      </c>
      <c r="W26" s="17" t="s">
        <v>254</v>
      </c>
      <c r="X26" s="17" t="s">
        <v>255</v>
      </c>
      <c r="Y26" s="17" t="s">
        <v>256</v>
      </c>
      <c r="Z26" s="17" t="s">
        <v>257</v>
      </c>
      <c r="AA26" s="17" t="s">
        <v>258</v>
      </c>
      <c r="AB26" s="17" t="s">
        <v>259</v>
      </c>
      <c r="AC26" s="17">
        <v>0.12</v>
      </c>
      <c r="AD26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0.12845360824742269</v>
      </c>
      <c r="AE26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4781.7496802247015</v>
      </c>
      <c r="AF26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814.06603945126722</v>
      </c>
      <c r="AG26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96.87376097327089</v>
      </c>
      <c r="AH26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9.9375461549208488</v>
      </c>
      <c r="AI26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21784.044996454209</v>
      </c>
      <c r="AJ26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81561.744434609922</v>
      </c>
      <c r="AK26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223372.16555865292</v>
      </c>
      <c r="AL26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48.200901190025448</v>
      </c>
      <c r="AM26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1.2474552345354728</v>
      </c>
      <c r="AN26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255954.15756119372</v>
      </c>
      <c r="AO26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191111.74990112777</v>
      </c>
      <c r="AP26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2.422758211770924E-8</v>
      </c>
      <c r="AQ26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903094.59072296147</v>
      </c>
    </row>
    <row r="27" spans="2:43">
      <c r="B27" s="17" t="s">
        <v>173</v>
      </c>
      <c r="C27" s="17" t="s">
        <v>119</v>
      </c>
      <c r="D27" s="17">
        <v>1000</v>
      </c>
      <c r="E27" s="17">
        <v>3929.9999985759996</v>
      </c>
      <c r="F27" s="15">
        <v>43154</v>
      </c>
      <c r="G27" s="15">
        <v>43182.625</v>
      </c>
      <c r="H27" s="15">
        <v>43154</v>
      </c>
      <c r="I27" s="17">
        <v>-271800</v>
      </c>
      <c r="J27" s="17" t="s">
        <v>46</v>
      </c>
      <c r="K27" s="17" t="s">
        <v>112</v>
      </c>
      <c r="L27" s="17" t="s">
        <v>65</v>
      </c>
      <c r="M27" s="17">
        <v>10000</v>
      </c>
      <c r="N27" s="17">
        <v>3949</v>
      </c>
      <c r="O27" s="17">
        <v>0.18</v>
      </c>
      <c r="P27" s="17" t="s">
        <v>175</v>
      </c>
      <c r="Q27" s="17" t="s">
        <v>176</v>
      </c>
      <c r="R27" s="17" t="s">
        <v>177</v>
      </c>
      <c r="S27" s="17" t="s">
        <v>178</v>
      </c>
      <c r="T27" s="17" t="s">
        <v>179</v>
      </c>
      <c r="U27" s="17" t="s">
        <v>180</v>
      </c>
      <c r="V27" s="17" t="s">
        <v>181</v>
      </c>
      <c r="W27" s="17" t="s">
        <v>182</v>
      </c>
      <c r="X27" s="17" t="s">
        <v>183</v>
      </c>
      <c r="Y27" s="17" t="s">
        <v>184</v>
      </c>
      <c r="Z27" s="17" t="s">
        <v>185</v>
      </c>
      <c r="AA27" s="17" t="s">
        <v>186</v>
      </c>
      <c r="AB27" s="17" t="s">
        <v>187</v>
      </c>
      <c r="AC27" s="17">
        <v>0.13500000000000001</v>
      </c>
      <c r="AD27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0.1737117903930131</v>
      </c>
      <c r="AE27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807020.39547533938</v>
      </c>
      <c r="AF27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1698065.47785999</v>
      </c>
      <c r="AG27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2880548.5537232715</v>
      </c>
      <c r="AH27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4142029.2860083617</v>
      </c>
      <c r="AI27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277152.5813974195</v>
      </c>
      <c r="AJ27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58805.668814015189</v>
      </c>
      <c r="AK27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7590.883648789214</v>
      </c>
      <c r="AL27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4150004.5281685307</v>
      </c>
      <c r="AM27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4137149.5040619723</v>
      </c>
      <c r="AN27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14676.090762795893</v>
      </c>
      <c r="AO27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3272.6745123553615</v>
      </c>
      <c r="AP27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3606230.778576198</v>
      </c>
      <c r="AQ27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1.7401836752903241E-10</v>
      </c>
    </row>
    <row r="28" spans="2:43">
      <c r="B28" s="17" t="s">
        <v>174</v>
      </c>
      <c r="C28" s="17" t="s">
        <v>119</v>
      </c>
      <c r="D28" s="17">
        <v>1000</v>
      </c>
      <c r="E28" s="17">
        <v>3799.999998368</v>
      </c>
      <c r="F28" s="15">
        <v>43154</v>
      </c>
      <c r="G28" s="15">
        <v>43182.625</v>
      </c>
      <c r="H28" s="15">
        <v>43154</v>
      </c>
      <c r="I28" s="17">
        <v>-388800</v>
      </c>
      <c r="J28" s="17" t="s">
        <v>8</v>
      </c>
      <c r="K28" s="17" t="s">
        <v>112</v>
      </c>
      <c r="L28" s="17" t="s">
        <v>65</v>
      </c>
      <c r="M28" s="17">
        <v>10000</v>
      </c>
      <c r="N28" s="17">
        <v>3949</v>
      </c>
      <c r="O28" s="17">
        <v>0.18</v>
      </c>
      <c r="P28" s="17" t="s">
        <v>175</v>
      </c>
      <c r="Q28" s="17" t="s">
        <v>176</v>
      </c>
      <c r="R28" s="17" t="s">
        <v>177</v>
      </c>
      <c r="S28" s="17" t="s">
        <v>178</v>
      </c>
      <c r="T28" s="17" t="s">
        <v>179</v>
      </c>
      <c r="U28" s="17" t="s">
        <v>180</v>
      </c>
      <c r="V28" s="17" t="s">
        <v>181</v>
      </c>
      <c r="W28" s="17" t="s">
        <v>182</v>
      </c>
      <c r="X28" s="17" t="s">
        <v>183</v>
      </c>
      <c r="Y28" s="17" t="s">
        <v>184</v>
      </c>
      <c r="Z28" s="17" t="s">
        <v>185</v>
      </c>
      <c r="AA28" s="17" t="s">
        <v>186</v>
      </c>
      <c r="AB28" s="17" t="s">
        <v>187</v>
      </c>
      <c r="AC28" s="17">
        <v>0.13500000000000001</v>
      </c>
      <c r="AD28" s="18">
        <f ca="1">IF(tbl_senario[[#This Row],[vol_ref]] &gt;0, (tbl_senario[[#This Row],[exp_date]]-$B$4)/(tbl_senario[[#This Row],[exp_date]]-tbl_senario[[#This Row],[trade_date]])*(tbl_senario[[#This Row],[vol]]-tbl_senario[[#This Row],[vol_ref]])+tbl_senario[[#This Row],[vol_ref]], tbl_senario[[#This Row],[vol]])</f>
        <v>0.1737117903930131</v>
      </c>
      <c r="AE28" s="16">
        <f ca="1">IF(tbl_senario[[#This Row],[prem_date]]&lt;=$B$4, 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0.01),tbl_senario[[#This Row],[qty]]*GBlackScholesNGreeks("p",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0.01)+tbl_senario[[#This Row],[prem]]) * StrSplit(tbl_senario[[#This Row],[param_senario1]],"|",2)</f>
        <v>191093.36267069657</v>
      </c>
      <c r="AF28" s="16">
        <f ca="1">IF(tbl_senario[[#This Row],[prem_date]]&lt;=$B$4, 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0.01),tbl_senario[[#This Row],[qty]]*GBlackScholesNGreeks("p",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0.01)+tbl_senario[[#This Row],[prem]]) * StrSplit(tbl_senario[[#This Row],[param_senario2]],"|",2)</f>
        <v>44026.039984185671</v>
      </c>
      <c r="AG28" s="16">
        <f ca="1">IF(tbl_senario[[#This Row],[prem_date]]&lt;=$B$4, 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0.01),tbl_senario[[#This Row],[qty]]*GBlackScholesNGreeks("p",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0.01)+tbl_senario[[#This Row],[prem]]) * StrSplit(tbl_senario[[#This Row],[param_senario3]],"|",2)</f>
        <v>6802.168453649072</v>
      </c>
      <c r="AH28" s="16">
        <f ca="1">IF(tbl_senario[[#This Row],[prem_date]]&lt;=$B$4, 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0.01),tbl_senario[[#This Row],[qty]]*GBlackScholesNGreeks("p",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0.01)+tbl_senario[[#This Row],[prem]]) * StrSplit(tbl_senario[[#This Row],[param_senario4]],"|",2)</f>
        <v>791.68389394478106</v>
      </c>
      <c r="AI28" s="16">
        <f ca="1">IF(tbl_senario[[#This Row],[prem_date]]&lt;=$B$4, 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0.01),tbl_senario[[#This Row],[qty]]*GBlackScholesNGreeks("p",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0.01)+tbl_senario[[#This Row],[prem]]) * StrSplit(tbl_senario[[#This Row],[param_senario5]],"|",2)</f>
        <v>595463.6826548751</v>
      </c>
      <c r="AJ28" s="16">
        <f ca="1">IF(tbl_senario[[#This Row],[prem_date]]&lt;=$B$4, 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0.01),tbl_senario[[#This Row],[qty]]*GBlackScholesNGreeks("p",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0.01)+tbl_senario[[#This Row],[prem]]) * StrSplit(tbl_senario[[#This Row],[param_senario6]],"|",2)</f>
        <v>1401482.7601225874</v>
      </c>
      <c r="AK28" s="16">
        <f ca="1">IF(tbl_senario[[#This Row],[prem_date]]&lt;=$B$4, 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0.01),tbl_senario[[#This Row],[qty]]*GBlackScholesNGreeks("p",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0.01)+tbl_senario[[#This Row],[prem]]) * StrSplit(tbl_senario[[#This Row],[param_senario7]],"|",2)</f>
        <v>2506152.5030723838</v>
      </c>
      <c r="AL28" s="16">
        <f ca="1">IF(tbl_senario[[#This Row],[prem_date]]&lt;=$B$4, 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0.01),tbl_senario[[#This Row],[qty]]*GBlackScholesNGreeks("p",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0.01)+tbl_senario[[#This Row],[prem]]) * StrSplit(tbl_senario[[#This Row],[param_senario8]],"|",2)</f>
        <v>2167.6043116553651</v>
      </c>
      <c r="AM28" s="16">
        <f ca="1">IF(tbl_senario[[#This Row],[prem_date]]&lt;=$B$4, 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0.01),tbl_senario[[#This Row],[qty]]*GBlackScholesNGreeks("p",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0.01)+tbl_senario[[#This Row],[prem]]) * StrSplit(tbl_senario[[#This Row],[param_senario9]],"|",2)</f>
        <v>214.32046877629281</v>
      </c>
      <c r="AN28" s="16">
        <f ca="1">IF(tbl_senario[[#This Row],[prem_date]]&lt;=$B$4, 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0.01),tbl_senario[[#This Row],[qty]]*GBlackScholesNGreeks("p",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0.01)+tbl_senario[[#This Row],[prem]]) * StrSplit(tbl_senario[[#This Row],[param_senario10]],"|",2)</f>
        <v>2530503.3023163271</v>
      </c>
      <c r="AO28" s="16">
        <f ca="1">IF(tbl_senario[[#This Row],[prem_date]]&lt;=$B$4, 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0.01),tbl_senario[[#This Row],[qty]]*GBlackScholesNGreeks("p",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0.01)+tbl_senario[[#This Row],[prem]]) * StrSplit(tbl_senario[[#This Row],[param_senario11]],"|",2)</f>
        <v>2486625.4309557173</v>
      </c>
      <c r="AP28" s="16">
        <f ca="1">IF(tbl_senario[[#This Row],[prem_date]]&lt;=$B$4, 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0.01),tbl_senario[[#This Row],[qty]]*GBlackScholesNGreeks("p",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0.01)+tbl_senario[[#This Row],[prem]]) * StrSplit(tbl_senario[[#This Row],[param_senario12]],"|",2)</f>
        <v>1.1196866862702268E-6</v>
      </c>
      <c r="AQ28" s="16">
        <f ca="1">IF(tbl_senario[[#This Row],[prem_date]]&lt;=$B$4, 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0.01),tbl_senario[[#This Row],[qty]]*GBlackScholesNGreeks("p",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0.01)+tbl_senario[[#This Row],[prem]]) * StrSplit(tbl_senario[[#This Row],[param_senario13]],"|",2)</f>
        <v>3102910.3654622021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152400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5:H9"/>
  <sheetViews>
    <sheetView workbookViewId="0">
      <selection activeCell="D19" sqref="D19"/>
    </sheetView>
  </sheetViews>
  <sheetFormatPr defaultRowHeight="13.5"/>
  <cols>
    <col min="3" max="3" width="37.5" customWidth="1"/>
    <col min="4" max="4" width="11" customWidth="1"/>
    <col min="5" max="5" width="9.875" customWidth="1"/>
    <col min="6" max="6" width="11.625" bestFit="1" customWidth="1"/>
    <col min="7" max="7" width="16.5" customWidth="1"/>
    <col min="8" max="8" width="16.125" customWidth="1"/>
  </cols>
  <sheetData>
    <row r="5" spans="3:8">
      <c r="C5" s="14" t="s">
        <v>159</v>
      </c>
      <c r="D5" s="14" t="s">
        <v>156</v>
      </c>
      <c r="E5" s="14" t="s">
        <v>157</v>
      </c>
      <c r="F5" s="14" t="s">
        <v>158</v>
      </c>
      <c r="G5" s="26" t="s">
        <v>160</v>
      </c>
      <c r="H5" s="25" t="s">
        <v>161</v>
      </c>
    </row>
    <row r="6" spans="3:8">
      <c r="C6" s="14" t="s">
        <v>70</v>
      </c>
      <c r="D6" s="14">
        <v>10000</v>
      </c>
      <c r="E6" s="14">
        <v>3720.0000015999999</v>
      </c>
      <c r="F6" s="23">
        <v>43205.625</v>
      </c>
      <c r="G6" s="24">
        <v>91.558626941717804</v>
      </c>
      <c r="H6" s="17">
        <v>50</v>
      </c>
    </row>
    <row r="7" spans="3:8">
      <c r="C7" s="14" t="s">
        <v>71</v>
      </c>
      <c r="D7" s="14">
        <v>10000</v>
      </c>
      <c r="E7" s="14">
        <v>3650.00000142</v>
      </c>
      <c r="F7" s="23">
        <v>43205.625</v>
      </c>
      <c r="G7" s="24">
        <v>62.653669021666843</v>
      </c>
      <c r="H7" s="17">
        <v>43</v>
      </c>
    </row>
    <row r="8" spans="3:8">
      <c r="C8" s="14" t="s">
        <v>72</v>
      </c>
      <c r="D8" s="14">
        <v>10000</v>
      </c>
      <c r="E8" s="14">
        <v>3650.0000014560001</v>
      </c>
      <c r="F8" s="23">
        <v>43189.625</v>
      </c>
      <c r="G8" s="24">
        <v>46.598445113950078</v>
      </c>
      <c r="H8" s="17">
        <v>47</v>
      </c>
    </row>
    <row r="9" spans="3:8">
      <c r="C9" s="14" t="s">
        <v>73</v>
      </c>
      <c r="D9" s="14">
        <v>5000</v>
      </c>
      <c r="E9" s="14">
        <v>3550.00000086</v>
      </c>
      <c r="F9" s="23">
        <v>43167.625</v>
      </c>
      <c r="G9" s="24">
        <v>4.4288120319890956</v>
      </c>
      <c r="H9" s="17">
        <v>63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30"/>
  <sheetViews>
    <sheetView tabSelected="1" workbookViewId="0">
      <selection activeCell="E38" sqref="E38"/>
    </sheetView>
  </sheetViews>
  <sheetFormatPr defaultRowHeight="12"/>
  <cols>
    <col min="1" max="1" width="9" style="6"/>
    <col min="2" max="2" width="34.25" style="6" customWidth="1"/>
    <col min="3" max="3" width="9.5" style="6" customWidth="1"/>
    <col min="4" max="4" width="14" style="6" customWidth="1"/>
    <col min="5" max="5" width="15.125" style="6" customWidth="1"/>
    <col min="6" max="6" width="14" style="6" customWidth="1"/>
    <col min="7" max="7" width="12.875" style="6" customWidth="1"/>
    <col min="8" max="8" width="9" style="6"/>
    <col min="9" max="9" width="14" style="6" customWidth="1"/>
    <col min="10" max="10" width="10.625" style="6" customWidth="1"/>
    <col min="11" max="11" width="9.5" style="6" customWidth="1"/>
    <col min="12" max="16384" width="9" style="6"/>
  </cols>
  <sheetData>
    <row r="8" spans="2:14">
      <c r="B8" s="8" t="s">
        <v>4</v>
      </c>
      <c r="C8" s="1" t="s">
        <v>76</v>
      </c>
      <c r="D8" s="1" t="s">
        <v>77</v>
      </c>
      <c r="E8" s="2" t="s">
        <v>78</v>
      </c>
      <c r="F8" s="1" t="s">
        <v>79</v>
      </c>
      <c r="G8" s="1" t="s">
        <v>80</v>
      </c>
      <c r="H8" s="1" t="s">
        <v>81</v>
      </c>
      <c r="I8" s="1" t="s">
        <v>82</v>
      </c>
      <c r="J8" s="1" t="s">
        <v>83</v>
      </c>
      <c r="K8" s="1" t="s">
        <v>5</v>
      </c>
      <c r="L8" s="1" t="s">
        <v>6</v>
      </c>
      <c r="M8" s="1" t="s">
        <v>84</v>
      </c>
      <c r="N8" s="6" t="s">
        <v>94</v>
      </c>
    </row>
    <row r="9" spans="2:14">
      <c r="B9" s="3" t="s">
        <v>69</v>
      </c>
      <c r="C9" s="3">
        <v>500</v>
      </c>
      <c r="D9" s="4">
        <v>43140</v>
      </c>
      <c r="E9" s="4">
        <v>43219.625</v>
      </c>
      <c r="F9" s="4">
        <v>43219</v>
      </c>
      <c r="G9" s="4">
        <v>43140</v>
      </c>
      <c r="H9" s="12">
        <v>3699.9999992799999</v>
      </c>
      <c r="I9" s="12">
        <v>-275000.00800000003</v>
      </c>
      <c r="J9" s="3" t="s">
        <v>8</v>
      </c>
      <c r="K9" s="5" t="s">
        <v>97</v>
      </c>
      <c r="L9" s="3" t="s">
        <v>67</v>
      </c>
      <c r="M9" s="3" t="s">
        <v>113</v>
      </c>
      <c r="N9" s="6">
        <v>0.125</v>
      </c>
    </row>
    <row r="10" spans="2:14">
      <c r="B10" s="3" t="s">
        <v>70</v>
      </c>
      <c r="C10" s="3">
        <v>1000</v>
      </c>
      <c r="D10" s="4">
        <v>43140</v>
      </c>
      <c r="E10" s="4">
        <v>43205.625</v>
      </c>
      <c r="F10" s="4">
        <v>43205</v>
      </c>
      <c r="G10" s="4">
        <v>43140</v>
      </c>
      <c r="H10" s="12">
        <v>3720.0000015999999</v>
      </c>
      <c r="I10" s="12">
        <v>-499999.99575</v>
      </c>
      <c r="J10" s="3" t="s">
        <v>8</v>
      </c>
      <c r="K10" s="6" t="s">
        <v>97</v>
      </c>
      <c r="L10" s="3" t="s">
        <v>67</v>
      </c>
      <c r="M10" s="3" t="s">
        <v>114</v>
      </c>
      <c r="N10" s="6">
        <v>0.125</v>
      </c>
    </row>
    <row r="11" spans="2:14">
      <c r="B11" s="5" t="s">
        <v>98</v>
      </c>
      <c r="C11" s="5">
        <v>100</v>
      </c>
      <c r="D11" s="4">
        <v>43139</v>
      </c>
      <c r="E11" s="4">
        <v>43201.625</v>
      </c>
      <c r="F11" s="4">
        <v>43201</v>
      </c>
      <c r="G11" s="4">
        <v>43139</v>
      </c>
      <c r="H11" s="3">
        <v>524</v>
      </c>
      <c r="I11" s="3">
        <v>-235800</v>
      </c>
      <c r="J11" s="3" t="s">
        <v>8</v>
      </c>
      <c r="K11" s="6" t="s">
        <v>97</v>
      </c>
      <c r="L11" s="3" t="s">
        <v>109</v>
      </c>
      <c r="M11" s="3" t="s">
        <v>115</v>
      </c>
      <c r="N11" s="6">
        <v>0.125</v>
      </c>
    </row>
    <row r="12" spans="2:14">
      <c r="B12" s="5" t="s">
        <v>99</v>
      </c>
      <c r="C12" s="5">
        <v>100</v>
      </c>
      <c r="D12" s="4">
        <v>43139</v>
      </c>
      <c r="E12" s="4">
        <v>43201.625</v>
      </c>
      <c r="F12" s="4">
        <v>43201</v>
      </c>
      <c r="G12" s="4">
        <v>43139</v>
      </c>
      <c r="H12" s="3">
        <v>524</v>
      </c>
      <c r="I12" s="3">
        <v>-235800</v>
      </c>
      <c r="J12" s="3" t="s">
        <v>46</v>
      </c>
      <c r="K12" s="6" t="s">
        <v>97</v>
      </c>
      <c r="L12" s="3" t="s">
        <v>109</v>
      </c>
      <c r="M12" s="3" t="s">
        <v>115</v>
      </c>
      <c r="N12" s="6">
        <v>0.125</v>
      </c>
    </row>
    <row r="13" spans="2:14">
      <c r="B13" s="5" t="s">
        <v>71</v>
      </c>
      <c r="C13" s="5">
        <v>1000</v>
      </c>
      <c r="D13" s="4">
        <v>43132</v>
      </c>
      <c r="E13" s="4">
        <v>43205.625</v>
      </c>
      <c r="F13" s="4">
        <v>43205</v>
      </c>
      <c r="G13" s="4">
        <v>43132</v>
      </c>
      <c r="H13" s="3">
        <v>3650.00000142</v>
      </c>
      <c r="I13" s="3">
        <v>-429999.99489999999</v>
      </c>
      <c r="J13" s="3" t="s">
        <v>8</v>
      </c>
      <c r="K13" s="6" t="s">
        <v>97</v>
      </c>
      <c r="L13" s="3" t="s">
        <v>67</v>
      </c>
      <c r="M13" s="3" t="s">
        <v>114</v>
      </c>
      <c r="N13" s="6">
        <v>0.125</v>
      </c>
    </row>
    <row r="14" spans="2:14">
      <c r="B14" s="5" t="s">
        <v>72</v>
      </c>
      <c r="C14" s="5">
        <v>1000</v>
      </c>
      <c r="D14" s="4">
        <v>43129</v>
      </c>
      <c r="E14" s="4">
        <v>43189.625</v>
      </c>
      <c r="F14" s="4">
        <v>43189</v>
      </c>
      <c r="G14" s="4">
        <v>43129</v>
      </c>
      <c r="H14" s="6">
        <v>3650.0000014560001</v>
      </c>
      <c r="I14" s="6">
        <v>-470000.00880000001</v>
      </c>
      <c r="J14" s="6" t="s">
        <v>8</v>
      </c>
      <c r="K14" s="5" t="s">
        <v>97</v>
      </c>
      <c r="L14" s="6" t="s">
        <v>67</v>
      </c>
      <c r="M14" s="3" t="s">
        <v>114</v>
      </c>
      <c r="N14" s="6">
        <v>0.125</v>
      </c>
    </row>
    <row r="15" spans="2:14">
      <c r="B15" s="5" t="s">
        <v>10</v>
      </c>
      <c r="C15" s="5">
        <v>400</v>
      </c>
      <c r="D15" s="4">
        <v>43118</v>
      </c>
      <c r="E15" s="4">
        <v>43200.625</v>
      </c>
      <c r="F15" s="4">
        <v>43202</v>
      </c>
      <c r="G15" s="4">
        <v>43118</v>
      </c>
      <c r="H15" s="6">
        <v>14500.000004</v>
      </c>
      <c r="I15" s="6">
        <v>-400000</v>
      </c>
      <c r="J15" s="6" t="s">
        <v>8</v>
      </c>
      <c r="K15" s="6" t="s">
        <v>97</v>
      </c>
      <c r="L15" s="6" t="s">
        <v>11</v>
      </c>
      <c r="M15" s="3" t="s">
        <v>116</v>
      </c>
      <c r="N15" s="6">
        <v>0.12</v>
      </c>
    </row>
    <row r="16" spans="2:14">
      <c r="B16" s="5" t="s">
        <v>73</v>
      </c>
      <c r="C16" s="5">
        <v>500</v>
      </c>
      <c r="D16" s="4">
        <v>43104</v>
      </c>
      <c r="E16" s="4">
        <v>43167.625</v>
      </c>
      <c r="F16" s="4">
        <v>43167</v>
      </c>
      <c r="G16" s="4">
        <v>43104</v>
      </c>
      <c r="H16" s="6">
        <v>3550.00000086</v>
      </c>
      <c r="I16" s="6">
        <v>-315000.00594</v>
      </c>
      <c r="J16" s="6" t="s">
        <v>8</v>
      </c>
      <c r="K16" s="6" t="s">
        <v>97</v>
      </c>
      <c r="L16" s="6" t="s">
        <v>67</v>
      </c>
      <c r="M16" s="3" t="s">
        <v>114</v>
      </c>
      <c r="N16" s="6">
        <v>0.125</v>
      </c>
    </row>
    <row r="17" spans="2:14">
      <c r="B17" s="5" t="s">
        <v>44</v>
      </c>
      <c r="C17" s="5">
        <v>125</v>
      </c>
      <c r="D17" s="4">
        <v>43098</v>
      </c>
      <c r="E17" s="4">
        <v>43159.625</v>
      </c>
      <c r="F17" s="4">
        <v>43279</v>
      </c>
      <c r="G17" s="4">
        <v>43098</v>
      </c>
      <c r="H17" s="6">
        <v>10039.999997630001</v>
      </c>
      <c r="I17" s="6">
        <v>0</v>
      </c>
      <c r="J17" s="6" t="s">
        <v>46</v>
      </c>
      <c r="K17" s="6" t="s">
        <v>97</v>
      </c>
      <c r="L17" s="6" t="s">
        <v>47</v>
      </c>
      <c r="M17" s="3" t="s">
        <v>117</v>
      </c>
    </row>
    <row r="18" spans="2:14">
      <c r="B18" s="5" t="s">
        <v>45</v>
      </c>
      <c r="C18" s="5">
        <v>-125</v>
      </c>
      <c r="D18" s="4">
        <v>43098</v>
      </c>
      <c r="E18" s="4">
        <v>43159.625</v>
      </c>
      <c r="F18" s="4">
        <v>43279</v>
      </c>
      <c r="G18" s="4">
        <v>43098</v>
      </c>
      <c r="H18" s="6">
        <v>9500.0000023699995</v>
      </c>
      <c r="I18" s="6">
        <v>9375</v>
      </c>
      <c r="J18" s="6" t="s">
        <v>8</v>
      </c>
      <c r="K18" s="6" t="s">
        <v>97</v>
      </c>
      <c r="L18" s="6" t="s">
        <v>47</v>
      </c>
      <c r="M18" s="3" t="s">
        <v>117</v>
      </c>
    </row>
    <row r="19" spans="2:14">
      <c r="B19" s="5" t="s">
        <v>100</v>
      </c>
      <c r="C19" s="5">
        <v>-50</v>
      </c>
      <c r="D19" s="4">
        <v>43077</v>
      </c>
      <c r="E19" s="4">
        <v>43189.625</v>
      </c>
      <c r="F19" s="4">
        <v>43194</v>
      </c>
      <c r="G19" s="4">
        <v>43076</v>
      </c>
      <c r="H19" s="6">
        <v>1258</v>
      </c>
      <c r="I19" s="6">
        <v>297000</v>
      </c>
      <c r="J19" s="6" t="s">
        <v>8</v>
      </c>
      <c r="K19" s="5" t="s">
        <v>97</v>
      </c>
      <c r="L19" s="6" t="s">
        <v>110</v>
      </c>
      <c r="M19" s="3" t="s">
        <v>118</v>
      </c>
    </row>
    <row r="20" spans="2:14">
      <c r="B20" s="5" t="s">
        <v>101</v>
      </c>
      <c r="C20" s="5">
        <v>-50</v>
      </c>
      <c r="D20" s="4">
        <v>43077</v>
      </c>
      <c r="E20" s="4">
        <v>43189.625</v>
      </c>
      <c r="F20" s="4">
        <v>43194</v>
      </c>
      <c r="G20" s="4">
        <v>43076</v>
      </c>
      <c r="H20" s="6">
        <v>1258</v>
      </c>
      <c r="I20" s="6">
        <v>297000</v>
      </c>
      <c r="J20" s="6" t="s">
        <v>46</v>
      </c>
      <c r="K20" s="6" t="s">
        <v>97</v>
      </c>
      <c r="L20" s="6" t="s">
        <v>110</v>
      </c>
      <c r="M20" s="3" t="s">
        <v>118</v>
      </c>
    </row>
    <row r="21" spans="2:14">
      <c r="B21" s="5" t="s">
        <v>102</v>
      </c>
      <c r="C21" s="5">
        <v>2000</v>
      </c>
      <c r="D21" s="4">
        <v>43067</v>
      </c>
      <c r="E21" s="4">
        <v>43189.625</v>
      </c>
      <c r="F21" s="4">
        <v>43189</v>
      </c>
      <c r="G21" s="4">
        <v>43067</v>
      </c>
      <c r="H21" s="6">
        <v>1199.9999998999999</v>
      </c>
      <c r="I21" s="6">
        <v>-5999999.9280000003</v>
      </c>
      <c r="J21" s="6" t="s">
        <v>8</v>
      </c>
      <c r="K21" s="6" t="s">
        <v>97</v>
      </c>
      <c r="L21" s="6" t="s">
        <v>110</v>
      </c>
      <c r="M21" s="3" t="s">
        <v>119</v>
      </c>
      <c r="N21" s="6">
        <v>0.32</v>
      </c>
    </row>
    <row r="22" spans="2:14">
      <c r="B22" s="5" t="s">
        <v>103</v>
      </c>
      <c r="C22" s="5">
        <v>300</v>
      </c>
      <c r="D22" s="4">
        <v>43054</v>
      </c>
      <c r="E22" s="4">
        <v>43189.625</v>
      </c>
      <c r="F22" s="4">
        <v>43190</v>
      </c>
      <c r="G22" s="4">
        <v>43054</v>
      </c>
      <c r="H22" s="6">
        <v>13000.000006799999</v>
      </c>
      <c r="I22" s="6">
        <v>-1791000.0179999999</v>
      </c>
      <c r="J22" s="6" t="s">
        <v>8</v>
      </c>
      <c r="K22" s="6" t="s">
        <v>97</v>
      </c>
      <c r="L22" s="6" t="s">
        <v>111</v>
      </c>
      <c r="M22" s="3" t="s">
        <v>119</v>
      </c>
      <c r="N22" s="6">
        <v>0.26</v>
      </c>
    </row>
    <row r="23" spans="2:14">
      <c r="B23" s="5" t="s">
        <v>104</v>
      </c>
      <c r="C23" s="5">
        <v>-500</v>
      </c>
      <c r="D23" s="4">
        <v>43048</v>
      </c>
      <c r="E23" s="4">
        <v>43203.625</v>
      </c>
      <c r="F23" s="4">
        <v>43203</v>
      </c>
      <c r="G23" s="4">
        <v>43048</v>
      </c>
      <c r="H23" s="6">
        <v>3599.9999997999998</v>
      </c>
      <c r="I23" s="6">
        <v>931199.99399999995</v>
      </c>
      <c r="J23" s="6" t="s">
        <v>8</v>
      </c>
      <c r="K23" s="6" t="s">
        <v>97</v>
      </c>
      <c r="L23" s="6" t="s">
        <v>112</v>
      </c>
      <c r="M23" s="3" t="s">
        <v>118</v>
      </c>
    </row>
    <row r="24" spans="2:14">
      <c r="B24" s="5" t="s">
        <v>105</v>
      </c>
      <c r="C24" s="5">
        <v>-500</v>
      </c>
      <c r="D24" s="4">
        <v>43048</v>
      </c>
      <c r="E24" s="4">
        <v>43203.625</v>
      </c>
      <c r="F24" s="4">
        <v>43203</v>
      </c>
      <c r="G24" s="4">
        <v>43048</v>
      </c>
      <c r="H24" s="6">
        <v>4000.0000002000002</v>
      </c>
      <c r="I24" s="6">
        <v>1122200.0019999999</v>
      </c>
      <c r="J24" s="6" t="s">
        <v>46</v>
      </c>
      <c r="K24" s="5" t="s">
        <v>97</v>
      </c>
      <c r="L24" s="6" t="s">
        <v>112</v>
      </c>
      <c r="M24" s="3" t="s">
        <v>118</v>
      </c>
    </row>
    <row r="25" spans="2:14">
      <c r="B25" s="5" t="s">
        <v>106</v>
      </c>
      <c r="C25" s="5">
        <v>500</v>
      </c>
      <c r="D25" s="4">
        <v>43048</v>
      </c>
      <c r="E25" s="4">
        <v>43203.625</v>
      </c>
      <c r="F25" s="4">
        <v>43203</v>
      </c>
      <c r="G25" s="4">
        <v>43048</v>
      </c>
      <c r="H25" s="6">
        <v>450</v>
      </c>
      <c r="I25" s="6">
        <v>-760500</v>
      </c>
      <c r="J25" s="6" t="s">
        <v>8</v>
      </c>
      <c r="K25" s="6" t="s">
        <v>97</v>
      </c>
      <c r="L25" s="6" t="s">
        <v>109</v>
      </c>
      <c r="M25" s="3" t="s">
        <v>119</v>
      </c>
      <c r="N25" s="6">
        <v>0.27</v>
      </c>
    </row>
    <row r="26" spans="2:14">
      <c r="B26" s="5" t="s">
        <v>107</v>
      </c>
      <c r="C26" s="5">
        <v>1500</v>
      </c>
      <c r="D26" s="4">
        <v>43048</v>
      </c>
      <c r="E26" s="4">
        <v>43203.625</v>
      </c>
      <c r="F26" s="4">
        <v>43203</v>
      </c>
      <c r="G26" s="4">
        <v>43048</v>
      </c>
      <c r="H26" s="6">
        <v>4000</v>
      </c>
      <c r="I26" s="6">
        <v>-2317950</v>
      </c>
      <c r="J26" s="6" t="s">
        <v>46</v>
      </c>
      <c r="K26" s="6" t="s">
        <v>97</v>
      </c>
      <c r="L26" s="6" t="s">
        <v>112</v>
      </c>
      <c r="M26" s="3" t="s">
        <v>119</v>
      </c>
      <c r="N26" s="6">
        <v>0.255</v>
      </c>
    </row>
    <row r="27" spans="2:14">
      <c r="B27" s="5" t="s">
        <v>108</v>
      </c>
      <c r="C27" s="5">
        <v>1500</v>
      </c>
      <c r="D27" s="4">
        <v>43048</v>
      </c>
      <c r="E27" s="4">
        <v>43203.625</v>
      </c>
      <c r="F27" s="4">
        <v>43203</v>
      </c>
      <c r="G27" s="4">
        <v>43048</v>
      </c>
      <c r="H27" s="6">
        <v>3600</v>
      </c>
      <c r="I27" s="6">
        <v>-2277450</v>
      </c>
      <c r="J27" s="6" t="s">
        <v>8</v>
      </c>
      <c r="K27" s="6" t="s">
        <v>97</v>
      </c>
      <c r="L27" s="6" t="s">
        <v>112</v>
      </c>
      <c r="M27" s="3" t="s">
        <v>120</v>
      </c>
      <c r="N27" s="6">
        <v>0.255</v>
      </c>
    </row>
    <row r="28" spans="2:14">
      <c r="B28" s="5" t="s">
        <v>7</v>
      </c>
      <c r="C28" s="5">
        <v>100</v>
      </c>
      <c r="D28" s="4">
        <v>43123</v>
      </c>
      <c r="E28" s="4">
        <v>43183.625</v>
      </c>
      <c r="F28" s="4">
        <v>43183</v>
      </c>
      <c r="G28" s="4">
        <v>43123</v>
      </c>
      <c r="H28" s="5">
        <v>50000.000004000001</v>
      </c>
      <c r="I28" s="3">
        <v>-50000.004000000001</v>
      </c>
      <c r="J28" s="3" t="s">
        <v>8</v>
      </c>
      <c r="K28" s="3" t="s">
        <v>97</v>
      </c>
      <c r="L28" s="3" t="s">
        <v>9</v>
      </c>
      <c r="M28" s="3" t="s">
        <v>130</v>
      </c>
      <c r="N28" s="6">
        <v>0.12</v>
      </c>
    </row>
    <row r="29" spans="2:14">
      <c r="B29" s="5" t="s">
        <v>173</v>
      </c>
      <c r="C29" s="5">
        <v>1000</v>
      </c>
      <c r="D29" s="4">
        <v>43154</v>
      </c>
      <c r="E29" s="4">
        <v>43182.625</v>
      </c>
      <c r="F29" s="4">
        <v>43184</v>
      </c>
      <c r="G29" s="4">
        <v>43154</v>
      </c>
      <c r="H29" s="28">
        <v>3929.9999985759996</v>
      </c>
      <c r="I29" s="12">
        <v>-271800</v>
      </c>
      <c r="J29" s="3" t="s">
        <v>46</v>
      </c>
      <c r="K29" s="3">
        <v>1</v>
      </c>
      <c r="L29" s="3" t="s">
        <v>112</v>
      </c>
      <c r="M29" s="3" t="s">
        <v>119</v>
      </c>
      <c r="N29" s="6">
        <v>0.13500000000000001</v>
      </c>
    </row>
    <row r="30" spans="2:14">
      <c r="B30" s="5" t="s">
        <v>174</v>
      </c>
      <c r="C30" s="5">
        <v>1000</v>
      </c>
      <c r="D30" s="4">
        <v>43154</v>
      </c>
      <c r="E30" s="4">
        <v>43182.625</v>
      </c>
      <c r="F30" s="4">
        <v>43184</v>
      </c>
      <c r="G30" s="4">
        <v>43154</v>
      </c>
      <c r="H30" s="28">
        <v>3799.999998368</v>
      </c>
      <c r="I30" s="12">
        <v>-388800</v>
      </c>
      <c r="J30" s="3" t="s">
        <v>8</v>
      </c>
      <c r="K30" s="3">
        <v>1</v>
      </c>
      <c r="L30" s="3" t="s">
        <v>112</v>
      </c>
      <c r="M30" s="3" t="s">
        <v>119</v>
      </c>
      <c r="N30" s="6">
        <v>0.13500000000000001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I15"/>
  <sheetViews>
    <sheetView workbookViewId="0">
      <selection activeCell="F27" sqref="F27"/>
    </sheetView>
  </sheetViews>
  <sheetFormatPr defaultRowHeight="12"/>
  <cols>
    <col min="1" max="1" width="9" style="6"/>
    <col min="2" max="2" width="9.5" style="6" customWidth="1"/>
    <col min="3" max="5" width="10.625" style="6" customWidth="1"/>
    <col min="6" max="7" width="9" style="6"/>
    <col min="8" max="8" width="14.125" style="6" customWidth="1"/>
    <col min="9" max="16384" width="9" style="6"/>
  </cols>
  <sheetData>
    <row r="5" spans="2:9">
      <c r="B5" s="29" t="s">
        <v>20</v>
      </c>
      <c r="C5" s="29"/>
      <c r="D5" s="29"/>
      <c r="E5" s="29"/>
      <c r="F5" s="29"/>
      <c r="G5" s="29"/>
      <c r="H5" s="29"/>
    </row>
    <row r="6" spans="2:9">
      <c r="B6" s="6" t="s">
        <v>19</v>
      </c>
      <c r="C6" s="6" t="s">
        <v>87</v>
      </c>
      <c r="D6" s="6" t="s">
        <v>41</v>
      </c>
      <c r="E6" s="6" t="s">
        <v>89</v>
      </c>
      <c r="F6" s="6" t="s">
        <v>74</v>
      </c>
      <c r="G6" s="6" t="s">
        <v>0</v>
      </c>
      <c r="H6" s="6" t="s">
        <v>18</v>
      </c>
      <c r="I6" s="6" t="s">
        <v>88</v>
      </c>
    </row>
    <row r="7" spans="2:9">
      <c r="B7" s="6" t="s">
        <v>43</v>
      </c>
      <c r="C7" s="6" t="s">
        <v>2</v>
      </c>
      <c r="D7" s="6" t="s">
        <v>42</v>
      </c>
      <c r="E7" s="6" t="str">
        <f>tbl_ticker[[#This Row],[ticker]]&amp;"."&amp;tbl_ticker[[#This Row],[exchange]]</f>
        <v>cu1805.shf</v>
      </c>
      <c r="F7" s="6">
        <v>5</v>
      </c>
      <c r="G7" s="6">
        <v>0.14000000000000001</v>
      </c>
      <c r="H7" s="6">
        <v>0</v>
      </c>
      <c r="I7" s="9">
        <v>53820</v>
      </c>
    </row>
    <row r="8" spans="2:9">
      <c r="B8" s="6" t="s">
        <v>35</v>
      </c>
      <c r="C8" s="6" t="s">
        <v>14</v>
      </c>
      <c r="D8" s="6" t="s">
        <v>42</v>
      </c>
      <c r="E8" s="6" t="str">
        <f>tbl_ticker[[#This Row],[ticker]]&amp;"."&amp;tbl_ticker[[#This Row],[exchange]]</f>
        <v>al1805.shf</v>
      </c>
      <c r="F8" s="6">
        <v>5</v>
      </c>
      <c r="G8" s="6">
        <v>0.14000000000000001</v>
      </c>
      <c r="H8" s="6">
        <v>0</v>
      </c>
      <c r="I8" s="9">
        <v>14455</v>
      </c>
    </row>
    <row r="9" spans="2:9">
      <c r="B9" s="6" t="s">
        <v>36</v>
      </c>
      <c r="C9" s="6" t="s">
        <v>3</v>
      </c>
      <c r="D9" s="6" t="s">
        <v>42</v>
      </c>
      <c r="E9" s="6" t="str">
        <f>tbl_ticker[[#This Row],[ticker]]&amp;"."&amp;tbl_ticker[[#This Row],[exchange]]</f>
        <v>ag1806.shf</v>
      </c>
      <c r="F9" s="6">
        <v>15</v>
      </c>
      <c r="G9" s="6">
        <v>0.11</v>
      </c>
      <c r="H9" s="6">
        <v>0</v>
      </c>
      <c r="I9" s="9">
        <v>3696</v>
      </c>
    </row>
    <row r="10" spans="2:9">
      <c r="B10" s="6" t="s">
        <v>51</v>
      </c>
      <c r="C10" s="6" t="s">
        <v>49</v>
      </c>
      <c r="D10" s="6" t="s">
        <v>50</v>
      </c>
      <c r="E10" s="7" t="str">
        <f>tbl_ticker[[#This Row],[ticker]]&amp;"."&amp;tbl_ticker[[#This Row],[exchange]]</f>
        <v>l1805.dce</v>
      </c>
      <c r="F10" s="7">
        <v>5</v>
      </c>
      <c r="G10" s="6">
        <v>0.19</v>
      </c>
      <c r="H10" s="6">
        <v>0</v>
      </c>
      <c r="I10" s="9">
        <v>9590</v>
      </c>
    </row>
    <row r="11" spans="2:9">
      <c r="B11" s="6" t="s">
        <v>68</v>
      </c>
      <c r="C11" s="6" t="s">
        <v>66</v>
      </c>
      <c r="D11" s="6" t="s">
        <v>42</v>
      </c>
      <c r="E11" s="7" t="str">
        <f>tbl_ticker[[#This Row],[ticker]]&amp;"."&amp;tbl_ticker[[#This Row],[exchange]]</f>
        <v>rb1810.shf</v>
      </c>
      <c r="F11" s="7">
        <v>10</v>
      </c>
      <c r="G11" s="6">
        <v>0.18</v>
      </c>
      <c r="H11" s="6">
        <v>0</v>
      </c>
      <c r="I11" s="9">
        <v>3845</v>
      </c>
    </row>
    <row r="12" spans="2:9">
      <c r="B12" s="6" t="s">
        <v>131</v>
      </c>
      <c r="C12" s="6" t="s">
        <v>132</v>
      </c>
      <c r="D12" s="6" t="s">
        <v>129</v>
      </c>
      <c r="E12" s="7" t="str">
        <f>tbl_ticker[[#This Row],[ticker]]&amp;"."&amp;tbl_ticker[[#This Row],[exchange]]</f>
        <v>rb1805.shf</v>
      </c>
      <c r="F12" s="7">
        <v>10</v>
      </c>
      <c r="G12" s="6">
        <v>0.18</v>
      </c>
      <c r="H12" s="6">
        <v>0</v>
      </c>
      <c r="I12" s="9" t="e">
        <f>RTD("wdf.rtq",,tbl_ticker[[#This Row],[w_ticker]],"LastPrice")</f>
        <v>#N/A</v>
      </c>
    </row>
    <row r="13" spans="2:9">
      <c r="B13" s="6" t="s">
        <v>128</v>
      </c>
      <c r="C13" s="6" t="s">
        <v>90</v>
      </c>
      <c r="D13" s="6" t="s">
        <v>91</v>
      </c>
      <c r="E13" s="7" t="str">
        <f>tbl_ticker[[#This Row],[ticker]]&amp;"."&amp;tbl_ticker[[#This Row],[exchange]]</f>
        <v>i1805.dce</v>
      </c>
      <c r="F13" s="7">
        <v>100</v>
      </c>
      <c r="G13" s="6">
        <v>0.36</v>
      </c>
      <c r="H13" s="6">
        <v>0</v>
      </c>
      <c r="I13" s="9">
        <v>548.5</v>
      </c>
    </row>
    <row r="14" spans="2:9">
      <c r="B14" s="6" t="s">
        <v>121</v>
      </c>
      <c r="C14" s="6" t="s">
        <v>124</v>
      </c>
      <c r="D14" s="6" t="s">
        <v>129</v>
      </c>
      <c r="E14" s="7" t="str">
        <f>tbl_ticker[[#This Row],[ticker]]&amp;"."&amp;tbl_ticker[[#This Row],[exchange]]</f>
        <v>ru1805.shf</v>
      </c>
      <c r="F14" s="6">
        <v>10</v>
      </c>
      <c r="G14" s="6">
        <v>0.36</v>
      </c>
      <c r="H14" s="6">
        <v>0</v>
      </c>
      <c r="I14" s="9">
        <v>12850</v>
      </c>
    </row>
    <row r="15" spans="2:9">
      <c r="B15" s="6" t="s">
        <v>122</v>
      </c>
      <c r="C15" s="6" t="s">
        <v>126</v>
      </c>
      <c r="D15" s="6" t="s">
        <v>127</v>
      </c>
      <c r="E15" s="7" t="str">
        <f>tbl_ticker[[#This Row],[ticker]]&amp;"."&amp;tbl_ticker[[#This Row],[exchange]]</f>
        <v>jm1805.dce</v>
      </c>
      <c r="F15" s="6">
        <v>60</v>
      </c>
      <c r="G15" s="6">
        <v>0.36</v>
      </c>
      <c r="H15" s="6">
        <v>0</v>
      </c>
      <c r="I15" s="9">
        <v>1398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I57"/>
  <sheetViews>
    <sheetView workbookViewId="0">
      <selection activeCell="J32" sqref="J32"/>
    </sheetView>
  </sheetViews>
  <sheetFormatPr defaultRowHeight="12"/>
  <cols>
    <col min="1" max="1" width="3.375" style="6" customWidth="1"/>
    <col min="2" max="2" width="10.625" style="6" customWidth="1"/>
    <col min="3" max="4" width="9" style="6" customWidth="1"/>
    <col min="5" max="16384" width="9" style="6"/>
  </cols>
  <sheetData>
    <row r="5" spans="2:35">
      <c r="B5" s="29" t="s">
        <v>15</v>
      </c>
      <c r="C5" s="29"/>
      <c r="D5" s="29"/>
      <c r="E5" s="29"/>
      <c r="F5" s="29"/>
    </row>
    <row r="6" spans="2:35">
      <c r="B6" s="6" t="s">
        <v>12</v>
      </c>
      <c r="C6" s="6" t="s">
        <v>17</v>
      </c>
      <c r="D6" s="6" t="s">
        <v>16</v>
      </c>
      <c r="E6" s="6" t="s">
        <v>133</v>
      </c>
      <c r="F6" s="6" t="s">
        <v>13</v>
      </c>
      <c r="G6" s="6" t="s">
        <v>134</v>
      </c>
      <c r="H6" s="6" t="s">
        <v>135</v>
      </c>
      <c r="I6" s="6" t="s">
        <v>1</v>
      </c>
      <c r="J6" s="6" t="s">
        <v>125</v>
      </c>
      <c r="K6" s="6" t="s">
        <v>136</v>
      </c>
      <c r="L6" s="6" t="s">
        <v>137</v>
      </c>
      <c r="M6" s="6" t="s">
        <v>138</v>
      </c>
      <c r="N6" s="6" t="s">
        <v>65</v>
      </c>
      <c r="O6" s="6" t="s">
        <v>139</v>
      </c>
      <c r="P6" s="6" t="s">
        <v>140</v>
      </c>
      <c r="Q6" s="6" t="s">
        <v>141</v>
      </c>
      <c r="R6" s="6" t="s">
        <v>142</v>
      </c>
      <c r="S6" s="6" t="s">
        <v>8</v>
      </c>
      <c r="T6" s="6" t="s">
        <v>143</v>
      </c>
      <c r="U6" s="6" t="s">
        <v>144</v>
      </c>
      <c r="V6" s="6" t="s">
        <v>145</v>
      </c>
      <c r="W6" s="6" t="s">
        <v>146</v>
      </c>
      <c r="X6" s="6" t="s">
        <v>147</v>
      </c>
      <c r="Y6" s="6" t="s">
        <v>148</v>
      </c>
      <c r="Z6" s="6" t="s">
        <v>46</v>
      </c>
      <c r="AA6" s="6" t="s">
        <v>149</v>
      </c>
      <c r="AB6" s="6" t="s">
        <v>150</v>
      </c>
      <c r="AC6" s="6" t="s">
        <v>151</v>
      </c>
      <c r="AD6" s="6" t="s">
        <v>152</v>
      </c>
      <c r="AE6" s="6" t="s">
        <v>153</v>
      </c>
      <c r="AF6" s="6" t="s">
        <v>48</v>
      </c>
      <c r="AG6" s="6" t="s">
        <v>154</v>
      </c>
      <c r="AH6" s="6" t="s">
        <v>123</v>
      </c>
      <c r="AI6" s="6" t="s">
        <v>155</v>
      </c>
    </row>
    <row r="7" spans="2:35">
      <c r="B7" s="6" t="s">
        <v>118</v>
      </c>
      <c r="C7" s="6">
        <v>0</v>
      </c>
      <c r="D7" s="6">
        <v>0.1</v>
      </c>
      <c r="E7" s="21">
        <v>6.4000000000000001E-2</v>
      </c>
      <c r="F7" s="21">
        <v>5.5E-2</v>
      </c>
      <c r="G7" s="21">
        <v>6.8000000000000005E-2</v>
      </c>
      <c r="H7" s="21">
        <v>7.5999999999999998E-2</v>
      </c>
      <c r="I7" s="21">
        <v>6.0999999999999999E-2</v>
      </c>
      <c r="J7" s="21">
        <v>0.107</v>
      </c>
      <c r="K7" s="21">
        <v>0.1</v>
      </c>
      <c r="L7" s="21">
        <v>8.4000000000000005E-2</v>
      </c>
      <c r="M7" s="21">
        <v>0.115</v>
      </c>
      <c r="N7" s="21">
        <v>0.1</v>
      </c>
      <c r="O7" s="21">
        <v>4.1000000000000002E-2</v>
      </c>
      <c r="P7" s="21">
        <v>6.7000000000000004E-2</v>
      </c>
      <c r="Q7" s="21">
        <v>5.0999999999999997E-2</v>
      </c>
      <c r="R7" s="21">
        <v>5.5E-2</v>
      </c>
      <c r="S7" s="21">
        <v>0.05</v>
      </c>
      <c r="T7" s="21">
        <v>4.8000000000000001E-2</v>
      </c>
      <c r="U7" s="21">
        <v>6.7000000000000004E-2</v>
      </c>
      <c r="V7" s="21">
        <v>7.0000000000000007E-2</v>
      </c>
      <c r="W7" s="21">
        <v>4.3999999999999997E-2</v>
      </c>
      <c r="X7" s="21">
        <v>4.3999999999999997E-2</v>
      </c>
      <c r="Y7" s="21">
        <v>6.2E-2</v>
      </c>
      <c r="Z7" s="21">
        <v>3.6999999999999998E-2</v>
      </c>
      <c r="AA7" s="21">
        <v>4.5999999999999999E-2</v>
      </c>
      <c r="AB7" s="21">
        <v>6.0999999999999999E-2</v>
      </c>
      <c r="AC7" s="21">
        <v>8.1000000000000003E-2</v>
      </c>
      <c r="AD7" s="21">
        <v>6.8000000000000005E-2</v>
      </c>
      <c r="AE7" s="21">
        <v>7.0000000000000007E-2</v>
      </c>
      <c r="AF7" s="21">
        <v>6.4000000000000001E-2</v>
      </c>
      <c r="AG7" s="21">
        <v>6.6000000000000003E-2</v>
      </c>
      <c r="AH7" s="21">
        <v>8.7999999999999995E-2</v>
      </c>
      <c r="AI7" s="21">
        <v>6.3E-2</v>
      </c>
    </row>
    <row r="8" spans="2:35">
      <c r="B8" s="6" t="s">
        <v>117</v>
      </c>
      <c r="C8" s="6">
        <v>0</v>
      </c>
      <c r="D8" s="6">
        <v>0.1</v>
      </c>
      <c r="E8" s="21">
        <v>6.4000000000000001E-2</v>
      </c>
      <c r="F8" s="21">
        <v>5.5E-2</v>
      </c>
      <c r="G8" s="21">
        <v>6.8000000000000005E-2</v>
      </c>
      <c r="H8" s="21">
        <v>7.5999999999999998E-2</v>
      </c>
      <c r="I8" s="21">
        <v>6.0999999999999999E-2</v>
      </c>
      <c r="J8" s="21">
        <v>0.107</v>
      </c>
      <c r="K8" s="21">
        <v>0.1</v>
      </c>
      <c r="L8" s="21">
        <v>8.4000000000000005E-2</v>
      </c>
      <c r="M8" s="21">
        <v>0.115</v>
      </c>
      <c r="N8" s="21">
        <v>0.1</v>
      </c>
      <c r="O8" s="21">
        <v>4.1000000000000002E-2</v>
      </c>
      <c r="P8" s="21">
        <v>6.7000000000000004E-2</v>
      </c>
      <c r="Q8" s="21">
        <v>5.0999999999999997E-2</v>
      </c>
      <c r="R8" s="21">
        <v>5.5E-2</v>
      </c>
      <c r="S8" s="21">
        <v>0.05</v>
      </c>
      <c r="T8" s="21">
        <v>4.8000000000000001E-2</v>
      </c>
      <c r="U8" s="21">
        <v>6.7000000000000004E-2</v>
      </c>
      <c r="V8" s="21">
        <v>7.0000000000000007E-2</v>
      </c>
      <c r="W8" s="21">
        <v>4.3999999999999997E-2</v>
      </c>
      <c r="X8" s="21">
        <v>4.3999999999999997E-2</v>
      </c>
      <c r="Y8" s="21">
        <v>6.2E-2</v>
      </c>
      <c r="Z8" s="21">
        <v>3.6999999999999998E-2</v>
      </c>
      <c r="AA8" s="21">
        <v>4.5999999999999999E-2</v>
      </c>
      <c r="AB8" s="21">
        <v>6.0999999999999999E-2</v>
      </c>
      <c r="AC8" s="21">
        <v>8.1000000000000003E-2</v>
      </c>
      <c r="AD8" s="21">
        <v>6.8000000000000005E-2</v>
      </c>
      <c r="AE8" s="21">
        <v>7.0000000000000007E-2</v>
      </c>
      <c r="AF8" s="21">
        <v>6.4000000000000001E-2</v>
      </c>
      <c r="AG8" s="21">
        <v>6.6000000000000003E-2</v>
      </c>
      <c r="AH8" s="21">
        <v>8.7999999999999995E-2</v>
      </c>
      <c r="AI8" s="21">
        <v>6.3E-2</v>
      </c>
    </row>
    <row r="9" spans="2:35">
      <c r="B9" s="5" t="s">
        <v>116</v>
      </c>
      <c r="C9" s="6">
        <v>0</v>
      </c>
      <c r="D9" s="6">
        <v>0.1</v>
      </c>
      <c r="E9" s="21">
        <v>6.4000000000000001E-2</v>
      </c>
      <c r="F9" s="21">
        <v>5.5E-2</v>
      </c>
      <c r="G9" s="21">
        <v>6.8000000000000005E-2</v>
      </c>
      <c r="H9" s="21">
        <v>7.5999999999999998E-2</v>
      </c>
      <c r="I9" s="21">
        <v>6.0999999999999999E-2</v>
      </c>
      <c r="J9" s="21">
        <v>0.107</v>
      </c>
      <c r="K9" s="21">
        <v>0.1</v>
      </c>
      <c r="L9" s="21">
        <v>8.4000000000000005E-2</v>
      </c>
      <c r="M9" s="21">
        <v>0.115</v>
      </c>
      <c r="N9" s="21">
        <v>0.1</v>
      </c>
      <c r="O9" s="21">
        <v>4.1000000000000002E-2</v>
      </c>
      <c r="P9" s="21">
        <v>6.7000000000000004E-2</v>
      </c>
      <c r="Q9" s="21">
        <v>5.0999999999999997E-2</v>
      </c>
      <c r="R9" s="21">
        <v>5.5E-2</v>
      </c>
      <c r="S9" s="21">
        <v>0.05</v>
      </c>
      <c r="T9" s="21">
        <v>4.8000000000000001E-2</v>
      </c>
      <c r="U9" s="21">
        <v>6.7000000000000004E-2</v>
      </c>
      <c r="V9" s="21">
        <v>7.0000000000000007E-2</v>
      </c>
      <c r="W9" s="21">
        <v>4.3999999999999997E-2</v>
      </c>
      <c r="X9" s="21">
        <v>4.3999999999999997E-2</v>
      </c>
      <c r="Y9" s="21">
        <v>6.2E-2</v>
      </c>
      <c r="Z9" s="21">
        <v>3.6999999999999998E-2</v>
      </c>
      <c r="AA9" s="21">
        <v>4.5999999999999999E-2</v>
      </c>
      <c r="AB9" s="21">
        <v>6.0999999999999999E-2</v>
      </c>
      <c r="AC9" s="21">
        <v>8.1000000000000003E-2</v>
      </c>
      <c r="AD9" s="21">
        <v>6.8000000000000005E-2</v>
      </c>
      <c r="AE9" s="21">
        <v>7.0000000000000007E-2</v>
      </c>
      <c r="AF9" s="21">
        <v>6.4000000000000001E-2</v>
      </c>
      <c r="AG9" s="21">
        <v>6.6000000000000003E-2</v>
      </c>
      <c r="AH9" s="21">
        <v>8.7999999999999995E-2</v>
      </c>
      <c r="AI9" s="21">
        <v>6.3E-2</v>
      </c>
    </row>
    <row r="10" spans="2:35">
      <c r="B10" s="6" t="s">
        <v>115</v>
      </c>
      <c r="C10" s="6">
        <v>0</v>
      </c>
      <c r="D10" s="6">
        <v>0.1</v>
      </c>
      <c r="E10" s="21">
        <v>6.4000000000000001E-2</v>
      </c>
      <c r="F10" s="21">
        <v>5.5E-2</v>
      </c>
      <c r="G10" s="21">
        <v>6.8000000000000005E-2</v>
      </c>
      <c r="H10" s="21">
        <v>7.5999999999999998E-2</v>
      </c>
      <c r="I10" s="21">
        <v>6.0999999999999999E-2</v>
      </c>
      <c r="J10" s="21">
        <v>0.107</v>
      </c>
      <c r="K10" s="21">
        <v>0.1</v>
      </c>
      <c r="L10" s="21">
        <v>8.4000000000000005E-2</v>
      </c>
      <c r="M10" s="21">
        <v>0.115</v>
      </c>
      <c r="N10" s="21">
        <v>0.1</v>
      </c>
      <c r="O10" s="21">
        <v>4.1000000000000002E-2</v>
      </c>
      <c r="P10" s="21">
        <v>6.7000000000000004E-2</v>
      </c>
      <c r="Q10" s="21">
        <v>5.0999999999999997E-2</v>
      </c>
      <c r="R10" s="21">
        <v>5.5E-2</v>
      </c>
      <c r="S10" s="21">
        <v>0.05</v>
      </c>
      <c r="T10" s="21">
        <v>4.8000000000000001E-2</v>
      </c>
      <c r="U10" s="21">
        <v>6.7000000000000004E-2</v>
      </c>
      <c r="V10" s="21">
        <v>7.0000000000000007E-2</v>
      </c>
      <c r="W10" s="21">
        <v>4.3999999999999997E-2</v>
      </c>
      <c r="X10" s="21">
        <v>4.3999999999999997E-2</v>
      </c>
      <c r="Y10" s="21">
        <v>6.2E-2</v>
      </c>
      <c r="Z10" s="21">
        <v>3.6999999999999998E-2</v>
      </c>
      <c r="AA10" s="21">
        <v>4.5999999999999999E-2</v>
      </c>
      <c r="AB10" s="21">
        <v>6.0999999999999999E-2</v>
      </c>
      <c r="AC10" s="21">
        <v>8.1000000000000003E-2</v>
      </c>
      <c r="AD10" s="21">
        <v>6.8000000000000005E-2</v>
      </c>
      <c r="AE10" s="21">
        <v>7.0000000000000007E-2</v>
      </c>
      <c r="AF10" s="21">
        <v>6.4000000000000001E-2</v>
      </c>
      <c r="AG10" s="21">
        <v>6.6000000000000003E-2</v>
      </c>
      <c r="AH10" s="21">
        <v>8.7999999999999995E-2</v>
      </c>
      <c r="AI10" s="21">
        <v>6.3E-2</v>
      </c>
    </row>
    <row r="11" spans="2:35">
      <c r="B11" s="6" t="s">
        <v>114</v>
      </c>
      <c r="C11" s="6">
        <v>0</v>
      </c>
      <c r="D11" s="6">
        <v>0.1</v>
      </c>
      <c r="E11" s="21">
        <v>6.4000000000000001E-2</v>
      </c>
      <c r="F11" s="21">
        <v>5.5E-2</v>
      </c>
      <c r="G11" s="21">
        <v>6.8000000000000005E-2</v>
      </c>
      <c r="H11" s="21">
        <v>7.5999999999999998E-2</v>
      </c>
      <c r="I11" s="21">
        <v>6.0999999999999999E-2</v>
      </c>
      <c r="J11" s="21">
        <v>0.107</v>
      </c>
      <c r="K11" s="21">
        <v>0.1</v>
      </c>
      <c r="L11" s="21">
        <v>8.4000000000000005E-2</v>
      </c>
      <c r="M11" s="21">
        <v>0.115</v>
      </c>
      <c r="N11" s="21">
        <v>0.1</v>
      </c>
      <c r="O11" s="21">
        <v>4.1000000000000002E-2</v>
      </c>
      <c r="P11" s="21">
        <v>6.7000000000000004E-2</v>
      </c>
      <c r="Q11" s="21">
        <v>5.0999999999999997E-2</v>
      </c>
      <c r="R11" s="21">
        <v>5.5E-2</v>
      </c>
      <c r="S11" s="21">
        <v>0.05</v>
      </c>
      <c r="T11" s="21">
        <v>4.8000000000000001E-2</v>
      </c>
      <c r="U11" s="21">
        <v>6.7000000000000004E-2</v>
      </c>
      <c r="V11" s="21">
        <v>7.0000000000000007E-2</v>
      </c>
      <c r="W11" s="21">
        <v>4.3999999999999997E-2</v>
      </c>
      <c r="X11" s="21">
        <v>4.3999999999999997E-2</v>
      </c>
      <c r="Y11" s="21">
        <v>6.2E-2</v>
      </c>
      <c r="Z11" s="21">
        <v>3.6999999999999998E-2</v>
      </c>
      <c r="AA11" s="21">
        <v>4.5999999999999999E-2</v>
      </c>
      <c r="AB11" s="21">
        <v>6.0999999999999999E-2</v>
      </c>
      <c r="AC11" s="21">
        <v>8.1000000000000003E-2</v>
      </c>
      <c r="AD11" s="21">
        <v>6.8000000000000005E-2</v>
      </c>
      <c r="AE11" s="21">
        <v>7.0000000000000007E-2</v>
      </c>
      <c r="AF11" s="21">
        <v>6.4000000000000001E-2</v>
      </c>
      <c r="AG11" s="21">
        <v>6.6000000000000003E-2</v>
      </c>
      <c r="AH11" s="21">
        <v>8.7999999999999995E-2</v>
      </c>
      <c r="AI11" s="21">
        <v>6.3E-2</v>
      </c>
    </row>
    <row r="12" spans="2:35">
      <c r="B12" s="6" t="s">
        <v>119</v>
      </c>
      <c r="C12" s="6">
        <v>0</v>
      </c>
      <c r="D12" s="6">
        <v>0.1</v>
      </c>
      <c r="E12" s="21">
        <v>6.4000000000000001E-2</v>
      </c>
      <c r="F12" s="21">
        <v>5.5E-2</v>
      </c>
      <c r="G12" s="21">
        <v>6.8000000000000005E-2</v>
      </c>
      <c r="H12" s="21">
        <v>7.5999999999999998E-2</v>
      </c>
      <c r="I12" s="21">
        <v>6.0999999999999999E-2</v>
      </c>
      <c r="J12" s="21">
        <v>0.107</v>
      </c>
      <c r="K12" s="21">
        <v>0.1</v>
      </c>
      <c r="L12" s="21">
        <v>8.4000000000000005E-2</v>
      </c>
      <c r="M12" s="21">
        <v>0.115</v>
      </c>
      <c r="N12" s="21">
        <v>0.1</v>
      </c>
      <c r="O12" s="21">
        <v>4.1000000000000002E-2</v>
      </c>
      <c r="P12" s="21">
        <v>6.7000000000000004E-2</v>
      </c>
      <c r="Q12" s="21">
        <v>5.0999999999999997E-2</v>
      </c>
      <c r="R12" s="21">
        <v>5.5E-2</v>
      </c>
      <c r="S12" s="21">
        <v>0.05</v>
      </c>
      <c r="T12" s="21">
        <v>4.8000000000000001E-2</v>
      </c>
      <c r="U12" s="21">
        <v>6.7000000000000004E-2</v>
      </c>
      <c r="V12" s="21">
        <v>7.0000000000000007E-2</v>
      </c>
      <c r="W12" s="21">
        <v>4.3999999999999997E-2</v>
      </c>
      <c r="X12" s="21">
        <v>4.3999999999999997E-2</v>
      </c>
      <c r="Y12" s="21">
        <v>6.2E-2</v>
      </c>
      <c r="Z12" s="21">
        <v>3.6999999999999998E-2</v>
      </c>
      <c r="AA12" s="21">
        <v>4.5999999999999999E-2</v>
      </c>
      <c r="AB12" s="21">
        <v>6.0999999999999999E-2</v>
      </c>
      <c r="AC12" s="21">
        <v>8.1000000000000003E-2</v>
      </c>
      <c r="AD12" s="21">
        <v>6.8000000000000005E-2</v>
      </c>
      <c r="AE12" s="21">
        <v>7.0000000000000007E-2</v>
      </c>
      <c r="AF12" s="21">
        <v>6.4000000000000001E-2</v>
      </c>
      <c r="AG12" s="21">
        <v>6.6000000000000003E-2</v>
      </c>
      <c r="AH12" s="21">
        <v>8.7999999999999995E-2</v>
      </c>
      <c r="AI12" s="21">
        <v>6.3E-2</v>
      </c>
    </row>
    <row r="13" spans="2:35">
      <c r="B13" s="6" t="s">
        <v>130</v>
      </c>
      <c r="C13" s="6">
        <v>0</v>
      </c>
      <c r="D13" s="6">
        <v>0.1</v>
      </c>
      <c r="E13" s="21">
        <v>6.4000000000000001E-2</v>
      </c>
      <c r="F13" s="21">
        <v>5.5E-2</v>
      </c>
      <c r="G13" s="21">
        <v>6.8000000000000005E-2</v>
      </c>
      <c r="H13" s="21">
        <v>7.5999999999999998E-2</v>
      </c>
      <c r="I13" s="21">
        <v>6.0999999999999999E-2</v>
      </c>
      <c r="J13" s="21">
        <v>0.107</v>
      </c>
      <c r="K13" s="21">
        <v>0.1</v>
      </c>
      <c r="L13" s="21">
        <v>8.4000000000000005E-2</v>
      </c>
      <c r="M13" s="21">
        <v>0.115</v>
      </c>
      <c r="N13" s="21">
        <v>0.1</v>
      </c>
      <c r="O13" s="21">
        <v>4.1000000000000002E-2</v>
      </c>
      <c r="P13" s="21">
        <v>6.7000000000000004E-2</v>
      </c>
      <c r="Q13" s="21">
        <v>5.0999999999999997E-2</v>
      </c>
      <c r="R13" s="21">
        <v>5.5E-2</v>
      </c>
      <c r="S13" s="21">
        <v>0.05</v>
      </c>
      <c r="T13" s="21">
        <v>4.8000000000000001E-2</v>
      </c>
      <c r="U13" s="21">
        <v>6.7000000000000004E-2</v>
      </c>
      <c r="V13" s="21">
        <v>7.0000000000000007E-2</v>
      </c>
      <c r="W13" s="21">
        <v>4.3999999999999997E-2</v>
      </c>
      <c r="X13" s="21">
        <v>4.3999999999999997E-2</v>
      </c>
      <c r="Y13" s="21">
        <v>6.2E-2</v>
      </c>
      <c r="Z13" s="21">
        <v>3.6999999999999998E-2</v>
      </c>
      <c r="AA13" s="21">
        <v>4.5999999999999999E-2</v>
      </c>
      <c r="AB13" s="21">
        <v>6.0999999999999999E-2</v>
      </c>
      <c r="AC13" s="21">
        <v>8.1000000000000003E-2</v>
      </c>
      <c r="AD13" s="21">
        <v>6.8000000000000005E-2</v>
      </c>
      <c r="AE13" s="21">
        <v>7.0000000000000007E-2</v>
      </c>
      <c r="AF13" s="21">
        <v>6.4000000000000001E-2</v>
      </c>
      <c r="AG13" s="21">
        <v>6.6000000000000003E-2</v>
      </c>
      <c r="AH13" s="21">
        <v>8.7999999999999995E-2</v>
      </c>
      <c r="AI13" s="21">
        <v>6.3E-2</v>
      </c>
    </row>
    <row r="26" spans="7:11">
      <c r="K26" s="20"/>
    </row>
    <row r="27" spans="7:11">
      <c r="G27" s="22"/>
      <c r="K27" s="20"/>
    </row>
    <row r="28" spans="7:11">
      <c r="G28" s="22"/>
      <c r="K28" s="20"/>
    </row>
    <row r="29" spans="7:11">
      <c r="G29" s="22"/>
      <c r="K29" s="20"/>
    </row>
    <row r="30" spans="7:11">
      <c r="G30" s="22"/>
      <c r="K30" s="20"/>
    </row>
    <row r="31" spans="7:11">
      <c r="G31" s="22"/>
      <c r="K31" s="20"/>
    </row>
    <row r="32" spans="7:11">
      <c r="G32" s="22"/>
      <c r="K32" s="20"/>
    </row>
    <row r="33" spans="7:11">
      <c r="G33" s="22"/>
      <c r="K33" s="20"/>
    </row>
    <row r="34" spans="7:11">
      <c r="G34" s="22"/>
      <c r="K34" s="20"/>
    </row>
    <row r="35" spans="7:11">
      <c r="G35" s="22"/>
      <c r="K35" s="20"/>
    </row>
    <row r="36" spans="7:11">
      <c r="G36" s="22"/>
      <c r="K36" s="20"/>
    </row>
    <row r="37" spans="7:11">
      <c r="G37" s="22"/>
      <c r="K37" s="20"/>
    </row>
    <row r="38" spans="7:11">
      <c r="G38" s="22"/>
      <c r="K38" s="20"/>
    </row>
    <row r="39" spans="7:11">
      <c r="G39" s="22"/>
      <c r="K39" s="20"/>
    </row>
    <row r="40" spans="7:11">
      <c r="G40" s="22"/>
      <c r="K40" s="20"/>
    </row>
    <row r="41" spans="7:11">
      <c r="G41" s="22"/>
      <c r="K41" s="20"/>
    </row>
    <row r="42" spans="7:11">
      <c r="G42" s="22"/>
      <c r="K42" s="20"/>
    </row>
    <row r="43" spans="7:11">
      <c r="G43" s="22"/>
      <c r="K43" s="20"/>
    </row>
    <row r="44" spans="7:11">
      <c r="G44" s="22"/>
      <c r="K44" s="20"/>
    </row>
    <row r="45" spans="7:11">
      <c r="G45" s="22"/>
      <c r="K45" s="20"/>
    </row>
    <row r="46" spans="7:11">
      <c r="G46" s="22"/>
      <c r="K46" s="20"/>
    </row>
    <row r="47" spans="7:11">
      <c r="G47" s="22"/>
      <c r="K47" s="20"/>
    </row>
    <row r="48" spans="7:11">
      <c r="G48" s="22"/>
      <c r="K48" s="20"/>
    </row>
    <row r="49" spans="7:11">
      <c r="G49" s="22"/>
      <c r="K49" s="20"/>
    </row>
    <row r="50" spans="7:11">
      <c r="G50" s="22"/>
      <c r="K50" s="20"/>
    </row>
    <row r="51" spans="7:11">
      <c r="G51" s="22"/>
      <c r="K51" s="20"/>
    </row>
    <row r="52" spans="7:11">
      <c r="G52" s="22"/>
      <c r="K52" s="20"/>
    </row>
    <row r="53" spans="7:11">
      <c r="G53" s="22"/>
      <c r="K53" s="20"/>
    </row>
    <row r="54" spans="7:11">
      <c r="G54" s="22"/>
      <c r="K54" s="20"/>
    </row>
    <row r="55" spans="7:11">
      <c r="G55" s="22"/>
      <c r="K55" s="20"/>
    </row>
    <row r="56" spans="7:11">
      <c r="G56" s="22"/>
      <c r="K56" s="20"/>
    </row>
    <row r="57" spans="7:11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34" sqref="E34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21</v>
      </c>
      <c r="C6" t="s">
        <v>38</v>
      </c>
      <c r="D6" t="s">
        <v>37</v>
      </c>
      <c r="E6" t="s">
        <v>93</v>
      </c>
    </row>
    <row r="7" spans="2:5">
      <c r="B7" t="s">
        <v>40</v>
      </c>
      <c r="C7">
        <v>1</v>
      </c>
      <c r="D7">
        <v>1</v>
      </c>
      <c r="E7">
        <v>1</v>
      </c>
    </row>
    <row r="8" spans="2:5">
      <c r="B8" t="s">
        <v>23</v>
      </c>
      <c r="C8" t="s">
        <v>162</v>
      </c>
      <c r="D8">
        <v>1</v>
      </c>
      <c r="E8">
        <v>1</v>
      </c>
    </row>
    <row r="9" spans="2:5">
      <c r="B9" t="s">
        <v>24</v>
      </c>
      <c r="C9" t="s">
        <v>163</v>
      </c>
      <c r="D9">
        <v>1</v>
      </c>
      <c r="E9">
        <v>1</v>
      </c>
    </row>
    <row r="10" spans="2:5">
      <c r="B10" t="s">
        <v>25</v>
      </c>
      <c r="C10" t="s">
        <v>164</v>
      </c>
      <c r="D10">
        <v>1</v>
      </c>
      <c r="E10">
        <v>1</v>
      </c>
    </row>
    <row r="11" spans="2:5">
      <c r="B11" t="s">
        <v>26</v>
      </c>
      <c r="C11" t="s">
        <v>165</v>
      </c>
      <c r="D11">
        <v>1</v>
      </c>
      <c r="E11">
        <v>1</v>
      </c>
    </row>
    <row r="12" spans="2:5">
      <c r="B12" t="s">
        <v>27</v>
      </c>
      <c r="C12" t="s">
        <v>166</v>
      </c>
      <c r="D12">
        <v>1</v>
      </c>
      <c r="E12">
        <v>1</v>
      </c>
    </row>
    <row r="13" spans="2:5">
      <c r="B13" t="s">
        <v>28</v>
      </c>
      <c r="C13" t="s">
        <v>172</v>
      </c>
      <c r="D13">
        <v>1</v>
      </c>
      <c r="E13">
        <v>1</v>
      </c>
    </row>
    <row r="14" spans="2:5">
      <c r="B14" t="s">
        <v>29</v>
      </c>
      <c r="C14" t="s">
        <v>164</v>
      </c>
      <c r="D14" s="27" t="s">
        <v>170</v>
      </c>
      <c r="E14" s="13">
        <v>1</v>
      </c>
    </row>
    <row r="15" spans="2:5">
      <c r="B15" t="s">
        <v>30</v>
      </c>
      <c r="C15" t="s">
        <v>164</v>
      </c>
      <c r="D15" t="s">
        <v>171</v>
      </c>
      <c r="E15">
        <v>1</v>
      </c>
    </row>
    <row r="16" spans="2:5">
      <c r="B16" t="s">
        <v>31</v>
      </c>
      <c r="C16" t="s">
        <v>167</v>
      </c>
      <c r="D16" s="27" t="s">
        <v>170</v>
      </c>
      <c r="E16" s="13">
        <v>1</v>
      </c>
    </row>
    <row r="17" spans="2:5">
      <c r="B17" t="s">
        <v>32</v>
      </c>
      <c r="C17" t="s">
        <v>167</v>
      </c>
      <c r="D17" t="s">
        <v>171</v>
      </c>
      <c r="E17">
        <v>1</v>
      </c>
    </row>
    <row r="18" spans="2:5">
      <c r="B18" t="s">
        <v>33</v>
      </c>
      <c r="C18" t="s">
        <v>168</v>
      </c>
      <c r="D18">
        <v>1</v>
      </c>
      <c r="E18" s="13">
        <v>0.3</v>
      </c>
    </row>
    <row r="19" spans="2:5">
      <c r="B19" t="s">
        <v>34</v>
      </c>
      <c r="C19" t="s">
        <v>169</v>
      </c>
      <c r="D19">
        <v>1</v>
      </c>
      <c r="E19">
        <v>0.3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result_summary</vt:lpstr>
      <vt:lpstr>result_senario</vt:lpstr>
      <vt:lpstr>Sheet1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2018-02-27T10:22:17Z</dcterms:modified>
</cp:coreProperties>
</file>