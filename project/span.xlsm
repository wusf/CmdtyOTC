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calcPr calcId="152511" calcMode="manual"/>
</workbook>
</file>

<file path=xl/calcChain.xml><?xml version="1.0" encoding="utf-8"?>
<calcChain xmlns="http://schemas.openxmlformats.org/spreadsheetml/2006/main">
  <c r="AD7" i="5" l="1"/>
  <c r="AD8" i="5"/>
  <c r="AD9" i="5"/>
  <c r="AD10" i="5"/>
  <c r="AD11" i="5"/>
  <c r="B4" i="5"/>
  <c r="AD12" i="5" s="1"/>
  <c r="AL11" i="5"/>
  <c r="AJ15" i="5"/>
  <c r="AG9" i="5"/>
  <c r="AE13" i="5"/>
  <c r="AP12" i="5"/>
  <c r="AN16" i="5"/>
  <c r="AK10" i="5"/>
  <c r="AI14" i="5"/>
  <c r="AF8" i="5"/>
  <c r="AJ7" i="5"/>
  <c r="AH11" i="5"/>
  <c r="AF7" i="5"/>
  <c r="AO10" i="5"/>
  <c r="AL12" i="5"/>
  <c r="AJ16" i="5"/>
  <c r="AG10" i="5"/>
  <c r="AE14" i="5"/>
  <c r="AK9" i="5"/>
  <c r="AI13" i="5"/>
  <c r="AF15" i="5"/>
  <c r="AQ14" i="5"/>
  <c r="AN8" i="5"/>
  <c r="AM14" i="5"/>
  <c r="AJ8" i="5"/>
  <c r="AH12" i="5"/>
  <c r="AF16" i="5"/>
  <c r="AQ7" i="5"/>
  <c r="AD16" i="5" l="1"/>
  <c r="AD15" i="5"/>
  <c r="AD14" i="5"/>
  <c r="AD13" i="5"/>
  <c r="E12" i="6"/>
  <c r="AE11" i="5"/>
  <c r="AK7" i="5"/>
  <c r="AF14" i="5"/>
  <c r="AL15" i="5"/>
  <c r="AO9" i="5"/>
  <c r="AN14" i="5"/>
  <c r="AL16" i="5"/>
  <c r="AG13" i="5"/>
  <c r="AJ10" i="5"/>
  <c r="AQ16" i="5"/>
  <c r="AI15" i="5"/>
  <c r="AO11" i="5"/>
  <c r="AI12" i="5"/>
  <c r="AQ13" i="5"/>
  <c r="AN12" i="5"/>
  <c r="AE8" i="5"/>
  <c r="AQ15" i="5"/>
  <c r="AN13" i="5"/>
  <c r="AI10" i="5"/>
  <c r="AE12" i="5"/>
  <c r="AO14" i="5"/>
  <c r="AE15" i="5"/>
  <c r="AF13" i="5"/>
  <c r="AL9" i="5"/>
  <c r="AG8" i="5"/>
  <c r="AE10" i="5"/>
  <c r="AN11" i="5"/>
  <c r="AP11" i="5"/>
  <c r="AO8" i="5"/>
  <c r="AM10" i="5"/>
  <c r="AH15" i="5"/>
  <c r="AE16" i="5"/>
  <c r="AK12" i="5"/>
  <c r="AQ8" i="5"/>
  <c r="AI7" i="5"/>
  <c r="AP13" i="5"/>
  <c r="AG15" i="5"/>
  <c r="AM11" i="5"/>
  <c r="AG14" i="5"/>
  <c r="AP15" i="5"/>
  <c r="AQ12" i="5"/>
  <c r="AI9" i="5"/>
  <c r="AL14" i="5"/>
  <c r="AJ9" i="5"/>
  <c r="AG7" i="5"/>
  <c r="AJ14" i="5"/>
  <c r="AP7" i="5"/>
  <c r="AF12" i="5"/>
  <c r="AM16" i="5"/>
  <c r="AH9" i="5"/>
  <c r="AO15" i="5"/>
  <c r="AK8" i="5"/>
  <c r="AL8" i="5"/>
  <c r="AQ9" i="5"/>
  <c r="AG16" i="5"/>
  <c r="AH16" i="5"/>
  <c r="AP16" i="5"/>
  <c r="AK13" i="5"/>
  <c r="AG12" i="5"/>
  <c r="AM8" i="5"/>
  <c r="AE7" i="5"/>
  <c r="AL13" i="5"/>
  <c r="AO16" i="5"/>
  <c r="AN15" i="5"/>
  <c r="AJ12" i="5"/>
  <c r="AM9" i="5"/>
  <c r="AO12" i="5"/>
  <c r="AM7" i="5"/>
  <c r="AQ11" i="5"/>
  <c r="AH7" i="5"/>
  <c r="AL10" i="5"/>
  <c r="AE9" i="5"/>
  <c r="AI8" i="5"/>
  <c r="AH13" i="5"/>
  <c r="AJ11" i="5"/>
  <c r="AK11" i="5"/>
  <c r="AI11" i="5"/>
  <c r="AO7" i="5"/>
  <c r="AM12" i="5"/>
  <c r="AM13" i="5"/>
  <c r="AH10" i="5"/>
  <c r="AH8" i="5"/>
  <c r="AP8" i="5"/>
  <c r="AL7" i="5"/>
  <c r="AH14" i="5"/>
  <c r="AN10" i="5"/>
  <c r="AF9" i="5"/>
  <c r="AM15" i="5"/>
  <c r="AJ13" i="5"/>
  <c r="AP9" i="5"/>
  <c r="AF11" i="5"/>
  <c r="AK16" i="5"/>
  <c r="AQ10" i="5"/>
  <c r="AI16" i="5"/>
  <c r="AG11" i="5"/>
  <c r="AK15" i="5"/>
  <c r="AP10" i="5"/>
  <c r="AN7" i="5"/>
  <c r="AK14" i="5"/>
  <c r="AO13" i="5"/>
  <c r="AP14" i="5"/>
  <c r="AN9" i="5"/>
  <c r="AF10" i="5"/>
  <c r="I12" i="6"/>
  <c r="E11" i="6" l="1"/>
  <c r="I11" i="6"/>
  <c r="E10" i="6" l="1"/>
  <c r="I10" i="6"/>
  <c r="E7" i="6" l="1"/>
  <c r="E8" i="6"/>
  <c r="E9" i="6"/>
  <c r="I7" i="6"/>
  <c r="I8" i="6"/>
  <c r="I9" i="6"/>
</calcChain>
</file>

<file path=xl/sharedStrings.xml><?xml version="1.0" encoding="utf-8"?>
<sst xmlns="http://schemas.openxmlformats.org/spreadsheetml/2006/main" count="375" uniqueCount="153">
  <si>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</si>
  <si>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</si>
  <si>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</si>
  <si>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</si>
  <si>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ID</t>
  </si>
  <si>
    <t>opt type</t>
  </si>
  <si>
    <t>underlying</t>
  </si>
  <si>
    <t>20180123-CICC-HTMY-CU1805-VAN-P-60</t>
  </si>
  <si>
    <t>p</t>
  </si>
  <si>
    <t>cu1805</t>
  </si>
  <si>
    <t>20180118-CICC-ZTKJ-AL1805-VAN-P-82</t>
  </si>
  <si>
    <t>al1805</t>
  </si>
  <si>
    <t>20180109-CICC-XYWL-AG1806-VAN-P-28</t>
  </si>
  <si>
    <t>ag1806</t>
  </si>
  <si>
    <t>client</t>
    <phoneticPr fontId="1" type="noConversion"/>
  </si>
  <si>
    <t>al</t>
  </si>
  <si>
    <t>al</t>
    <phoneticPr fontId="1" type="noConversion"/>
  </si>
  <si>
    <t>parameter: var_x_k</t>
    <phoneticPr fontId="1" type="noConversion"/>
  </si>
  <si>
    <t>亨通贸易</t>
  </si>
  <si>
    <t>亨通贸易</t>
    <phoneticPr fontId="1" type="noConversion"/>
  </si>
  <si>
    <t>中天科技</t>
  </si>
  <si>
    <t>中天科技</t>
    <phoneticPr fontId="1" type="noConversion"/>
  </si>
  <si>
    <t>厦门象屿</t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</si>
  <si>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</si>
  <si>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</si>
  <si>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</si>
  <si>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</si>
  <si>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</si>
  <si>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</si>
  <si>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</si>
  <si>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</si>
  <si>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</si>
  <si>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</si>
  <si>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</si>
  <si>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</si>
  <si>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</si>
  <si>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</si>
  <si>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</si>
  <si>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</si>
  <si>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</si>
  <si>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</si>
  <si>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</si>
  <si>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</si>
  <si>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</si>
  <si>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</si>
  <si>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</si>
  <si>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</si>
  <si>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</si>
  <si>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</si>
  <si>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</si>
  <si>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</si>
  <si>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</si>
  <si>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</si>
  <si>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</si>
  <si>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20171128-CICC-XYWL-AG1806-VAN-P-37</t>
  </si>
  <si>
    <t>20171128-CICC-XYWL-AG1806-VAN-C-37</t>
  </si>
  <si>
    <t>c</t>
  </si>
  <si>
    <t>l1805</t>
  </si>
  <si>
    <t>亨通贸易</t>
    <phoneticPr fontId="1" type="noConversion"/>
  </si>
  <si>
    <t>中天科技</t>
    <phoneticPr fontId="1" type="noConversion"/>
  </si>
  <si>
    <t>厦门象屿</t>
    <phoneticPr fontId="1" type="noConversion"/>
  </si>
  <si>
    <t>前程石化</t>
  </si>
  <si>
    <t>前程石化</t>
    <phoneticPr fontId="1" type="noConversion"/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</si>
  <si>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</si>
  <si>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</si>
  <si>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</si>
  <si>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</si>
  <si>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</si>
  <si>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</si>
  <si>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</si>
  <si>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</si>
  <si>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</si>
  <si>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</si>
  <si>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</si>
  <si>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</si>
  <si>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</si>
  <si>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</si>
  <si>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</si>
  <si>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</si>
  <si>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</si>
  <si>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天物国际</t>
  </si>
  <si>
    <t>天物国际</t>
    <phoneticPr fontId="1" type="noConversion"/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</si>
  <si>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</si>
  <si>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</si>
  <si>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</si>
  <si>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</si>
  <si>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</si>
  <si>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</si>
  <si>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</si>
  <si>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</si>
  <si>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</si>
  <si>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</si>
  <si>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S+S*(1/3*VR+X)</t>
    <phoneticPr fontId="1" type="noConversion"/>
  </si>
  <si>
    <t>S+S*(VR+X)</t>
    <phoneticPr fontId="1" type="noConversion"/>
  </si>
  <si>
    <t>vol*(1-k)</t>
    <phoneticPr fontId="1" type="noConversion"/>
  </si>
  <si>
    <r>
      <t>vol</t>
    </r>
    <r>
      <rPr>
        <sz val="11"/>
        <rFont val="宋体"/>
        <family val="3"/>
        <charset val="134"/>
        <scheme val="minor"/>
      </rPr>
      <t>*(1+k)</t>
    </r>
    <phoneticPr fontId="1" type="noConversion"/>
  </si>
  <si>
    <t>S-S*(VR+X)</t>
    <phoneticPr fontId="1" type="noConversion"/>
  </si>
  <si>
    <t>S+S*(3*VR+X)</t>
    <phoneticPr fontId="1" type="noConversion"/>
  </si>
  <si>
    <t>S-S*(3*VR+X)</t>
    <phoneticPr fontId="1" type="noConversion"/>
  </si>
  <si>
    <t>S+S*(2/3*VR+X)</t>
    <phoneticPr fontId="1" type="noConversion"/>
  </si>
  <si>
    <t>S-S*(1/3*VR+X)</t>
    <phoneticPr fontId="1" type="noConversion"/>
  </si>
  <si>
    <t>S-S*(2/3*VR+X)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</si>
  <si>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</si>
  <si>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</si>
  <si>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</si>
  <si>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</si>
  <si>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</si>
  <si>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</si>
  <si>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</si>
  <si>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</si>
  <si>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</si>
  <si>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</si>
  <si>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</si>
  <si>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</si>
  <si>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</si>
  <si>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</si>
  <si>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</si>
  <si>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i1803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</si>
  <si>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</si>
  <si>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</si>
  <si>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</si>
  <si>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</si>
  <si>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</si>
  <si>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</si>
  <si>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</si>
  <si>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52990|.2|1</t>
  </si>
  <si>
    <t>52990|.24|1</t>
  </si>
  <si>
    <t>52990|.16|1</t>
  </si>
  <si>
    <t>52990|.2|.333</t>
  </si>
  <si>
    <t>14205|.2|1</t>
  </si>
  <si>
    <t>14205|.24|1</t>
  </si>
  <si>
    <t>14205|.16|1</t>
  </si>
  <si>
    <t>14205|.2|.333</t>
  </si>
  <si>
    <t>9535|.1|1</t>
  </si>
  <si>
    <t>9535|.12|1</t>
  </si>
  <si>
    <t>9535|.08|1</t>
  </si>
  <si>
    <t>9535|.1|.333</t>
  </si>
  <si>
    <t>3795|.18|1</t>
  </si>
  <si>
    <t>3899.995|.18|1</t>
  </si>
  <si>
    <t>4004.99|.18|1</t>
  </si>
  <si>
    <t>4109.985|.18|1</t>
  </si>
  <si>
    <t>3690.005|.18|1</t>
  </si>
  <si>
    <t>3585.01|.18|1</t>
  </si>
  <si>
    <t>4109.985|.198|1</t>
  </si>
  <si>
    <t>4109.985|.162|1</t>
  </si>
  <si>
    <t>3480.015|.198|1</t>
  </si>
  <si>
    <t>3480.015|.162|1</t>
  </si>
  <si>
    <t>4739.955|.18|.333</t>
  </si>
  <si>
    <t>2850.045|.18|.333</t>
  </si>
  <si>
    <t>求和</t>
  </si>
  <si>
    <t>平均值</t>
    <phoneticPr fontId="1" type="noConversion"/>
  </si>
  <si>
    <t>汇总</t>
    <phoneticPr fontId="1" type="noConversion"/>
  </si>
  <si>
    <t>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</si>
</sst>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[$-409]d\-mmm\-yy;@"/>
    <numFmt numFmtId="177" formatCode="###,###,##0"/>
    <numFmt numFmtId="179" formatCode="0.000"/>
  </numFmts>
  <fonts count="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3" fillId="2" borderId="0" xfId="1" applyFont="1" applyFill="1"/>
    <xf numFmtId="176" fontId="3" fillId="2" borderId="0" xfId="1" applyNumberFormat="1" applyFont="1" applyFill="1"/>
    <xf numFmtId="0" fontId="4" fillId="3" borderId="0" xfId="0" applyFont="1" applyFill="1"/>
    <xf numFmtId="14" fontId="3" fillId="3" borderId="0" xfId="0" applyNumberFormat="1" applyFont="1" applyFill="1"/>
    <xf numFmtId="0" fontId="3" fillId="3" borderId="0" xfId="0" applyFont="1" applyFill="1"/>
    <xf numFmtId="0" fontId="3" fillId="0" borderId="0" xfId="0" applyFont="1"/>
    <xf numFmtId="0" fontId="3" fillId="0" borderId="0" xfId="0" applyNumberFormat="1" applyFont="1"/>
    <xf numFmtId="0" fontId="4" fillId="2" borderId="0" xfId="1" applyFont="1" applyFill="1" applyAlignment="1">
      <alignment horizontal="center"/>
    </xf>
    <xf numFmtId="177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1" fontId="4" fillId="3" borderId="0" xfId="0" applyNumberFormat="1" applyFont="1" applyFill="1"/>
    <xf numFmtId="0" fontId="5" fillId="0" borderId="0" xfId="0" applyFont="1"/>
    <xf numFmtId="0" fontId="4" fillId="0" borderId="0" xfId="0" applyFont="1" applyAlignment="1">
      <alignment horizontal="center"/>
    </xf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9" fontId="8" fillId="0" borderId="0" xfId="0" applyNumberFormat="1" applyFont="1"/>
  </cellXfs>
  <cellStyles count="2">
    <cellStyle name="常规" xfId="0" builtinId="0"/>
    <cellStyle name="常规 25" xfId="1"/>
  </cellStyles>
  <dxfs count="8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9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7" formatCode="###,###,##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52990</v>
        <stp/>
        <stp>cu1805.shf</stp>
        <stp>LastPrice</stp>
        <tr r="I7" s="6"/>
      </tp>
      <tp>
        <v>14205</v>
        <stp/>
        <stp>al1805.shf</stp>
        <stp>LastPrice</stp>
        <tr r="I8" s="6"/>
      </tp>
      <tp>
        <v>506</v>
        <stp/>
        <stp>i1803.dce</stp>
        <stp>LastPrice</stp>
        <tr r="I12" s="6"/>
      </tp>
      <tp>
        <v>9535</v>
        <stp/>
        <stp>l1805.dce</stp>
        <stp>LastPrice</stp>
        <tr r="I10" s="6"/>
      </tp>
      <tp>
        <v>3795</v>
        <stp/>
        <stp>rb1810.shf</stp>
        <stp>LastPrice</stp>
        <tr r="I11" s="6"/>
      </tp>
      <tp>
        <v>3718</v>
        <stp/>
        <stp>ag1806.shf</stp>
        <stp>LastPrice</stp>
        <tr r="I9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tbl_senario" displayName="tbl_senario" ref="B6:AQ16" totalsRowShown="0" headerRowDxfId="56" dataDxfId="55">
  <autoFilter ref="B6:AQ16"/>
  <tableColumns count="42">
    <tableColumn id="1" name="ID" dataDxfId="54"/>
    <tableColumn id="2" name="cpty" dataDxfId="53"/>
    <tableColumn id="3" name="volume" dataDxfId="52"/>
    <tableColumn id="4" name="k" dataDxfId="51"/>
    <tableColumn id="41" name="trade_date" dataDxfId="50"/>
    <tableColumn id="5" name="exp_date" dataDxfId="49"/>
    <tableColumn id="42" name="prem_date" dataDxfId="48"/>
    <tableColumn id="6" name="prem" dataDxfId="47"/>
    <tableColumn id="7" name="type" dataDxfId="46"/>
    <tableColumn id="8" name="underlying" dataDxfId="45"/>
    <tableColumn id="9" name="prod" dataDxfId="44"/>
    <tableColumn id="38" name="qty" dataDxfId="43"/>
    <tableColumn id="10" name="price_st" dataDxfId="42"/>
    <tableColumn id="11" name="vol" dataDxfId="41"/>
    <tableColumn id="12" name="param_senario1" dataDxfId="40"/>
    <tableColumn id="13" name="param_senario2" dataDxfId="39"/>
    <tableColumn id="14" name="param_senario3" dataDxfId="38"/>
    <tableColumn id="15" name="param_senario4" dataDxfId="37"/>
    <tableColumn id="16" name="param_senario5" dataDxfId="36"/>
    <tableColumn id="17" name="param_senario6" dataDxfId="35"/>
    <tableColumn id="18" name="param_senario7" dataDxfId="34"/>
    <tableColumn id="19" name="param_senario8" dataDxfId="33"/>
    <tableColumn id="20" name="param_senario9" dataDxfId="32"/>
    <tableColumn id="21" name="param_senario10" dataDxfId="31"/>
    <tableColumn id="22" name="param_senario11" dataDxfId="30"/>
    <tableColumn id="23" name="param_senario12" dataDxfId="29"/>
    <tableColumn id="24" name="param_senario13" dataDxfId="28"/>
    <tableColumn id="39" name="vol_ref" dataDxfId="27"/>
    <tableColumn id="40" name="vol_adj" dataDxfId="26">
      <calculatedColumnFormula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24" totalsRowDxfId="25">
      <calculatedColumnFormula>IF(tbl_senario[[#This Row],[prem_date]]&lt;=$B$4, 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0.01)+tbl_senario[[#This Row],[prem]],tbl_senario[[#This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0.01)) * StrSplit(tbl_senario[[#This Row],[param_senario1]],"|",2)</calculatedColumnFormula>
    </tableColumn>
    <tableColumn id="26" name="senario2" dataDxfId="22" totalsRowDxfId="23">
      <calculatedColumnFormula>IF(tbl_senario[[#This Row],[prem_date]]&lt;=$B$4, 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0.01)+tbl_senario[[#This Row],[prem]],tbl_senario[[#This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0.01)) * StrSplit(tbl_senario[[#This Row],[param_senario2]],"|",2)</calculatedColumnFormula>
    </tableColumn>
    <tableColumn id="27" name="senario3" dataDxfId="20" totalsRowDxfId="21">
      <calculatedColumnFormula>IF(tbl_senario[[#This Row],[prem_date]]&lt;=$B$4, 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0.01)+tbl_senario[[#This Row],[prem]],tbl_senario[[#This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0.01)) * StrSplit(tbl_senario[[#This Row],[param_senario3]],"|",2)</calculatedColumnFormula>
    </tableColumn>
    <tableColumn id="28" name="senario4" dataDxfId="18" totalsRowDxfId="19">
      <calculatedColumnFormula>IF(tbl_senario[[#This Row],[prem_date]]&lt;=$B$4, 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0.01)+tbl_senario[[#This Row],[prem]],tbl_senario[[#This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0.01)) * StrSplit(tbl_senario[[#This Row],[param_senario4]],"|",2)</calculatedColumnFormula>
    </tableColumn>
    <tableColumn id="29" name="senario5" dataDxfId="16" totalsRowDxfId="17">
      <calculatedColumnFormula>IF(tbl_senario[[#This Row],[prem_date]]&lt;=$B$4, 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0.01)+tbl_senario[[#This Row],[prem]],tbl_senario[[#This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0.01)) * StrSplit(tbl_senario[[#This Row],[param_senario5]],"|",2)</calculatedColumnFormula>
    </tableColumn>
    <tableColumn id="30" name="senario6" dataDxfId="14" totalsRowDxfId="15">
      <calculatedColumnFormula>IF(tbl_senario[[#This Row],[prem_date]]&lt;=$B$4, 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0.01)+tbl_senario[[#This Row],[prem]],tbl_senario[[#This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0.01)) * StrSplit(tbl_senario[[#This Row],[param_senario6]],"|",2)</calculatedColumnFormula>
    </tableColumn>
    <tableColumn id="31" name="senario7" dataDxfId="12" totalsRowDxfId="13">
      <calculatedColumnFormula>IF(tbl_senario[[#This Row],[prem_date]]&lt;=$B$4, 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0.01)+tbl_senario[[#This Row],[prem]],tbl_senario[[#This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0.01)) * StrSplit(tbl_senario[[#This Row],[param_senario7]],"|",2)</calculatedColumnFormula>
    </tableColumn>
    <tableColumn id="32" name="senario8" dataDxfId="10" totalsRowDxfId="11">
      <calculatedColumnFormula>IF(tbl_senario[[#This Row],[prem_date]]&lt;=$B$4, 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0.01)+tbl_senario[[#This Row],[prem]],tbl_senario[[#This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0.01)) * StrSplit(tbl_senario[[#This Row],[param_senario8]],"|",2)</calculatedColumnFormula>
    </tableColumn>
    <tableColumn id="33" name="senario9" dataDxfId="8" totalsRowDxfId="9">
      <calculatedColumnFormula>IF(tbl_senario[[#This Row],[prem_date]]&lt;=$B$4, 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0.01)+tbl_senario[[#This Row],[prem]],tbl_senario[[#This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0.01)) * StrSplit(tbl_senario[[#This Row],[param_senario9]],"|",2)</calculatedColumnFormula>
    </tableColumn>
    <tableColumn id="34" name="senario10" dataDxfId="6" totalsRowDxfId="7">
      <calculatedColumnFormula>IF(tbl_senario[[#This Row],[prem_date]]&lt;=$B$4, 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0.01)+tbl_senario[[#This Row],[prem]],tbl_senario[[#This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0.01)) * StrSplit(tbl_senario[[#This Row],[param_senario10]],"|",2)</calculatedColumnFormula>
    </tableColumn>
    <tableColumn id="35" name="senario11" dataDxfId="4" totalsRowDxfId="5">
      <calculatedColumnFormula>IF(tbl_senario[[#This Row],[prem_date]]&lt;=$B$4, 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0.01)+tbl_senario[[#This Row],[prem]],tbl_senario[[#This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0.01)) * StrSplit(tbl_senario[[#This Row],[param_senario11]],"|",2)</calculatedColumnFormula>
    </tableColumn>
    <tableColumn id="36" name="senario12" dataDxfId="2" totalsRowDxfId="3">
      <calculatedColumnFormula>IF(tbl_senario[[#This Row],[prem_date]]&lt;=$B$4, 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0.01)+tbl_senario[[#This Row],[prem]],tbl_senario[[#This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0.01)) * StrSplit(tbl_senario[[#This Row],[param_senario12]],"|",2)</calculatedColumnFormula>
    </tableColumn>
    <tableColumn id="37" name="senario13" dataDxfId="0" totalsRowDxfId="1">
      <calculatedColumnFormula>IF(tbl_senario[[#This Row],[prem_date]]&lt;=$B$4, 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0.01)+tbl_senario[[#This Row],[prem]],tbl_senario[[#This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0.01)) * StrSplit(tbl_senario[[#This Row],[param_senario13]],"|",2)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21" totalsRowShown="0">
  <autoFilter ref="B8:N21"/>
  <tableColumns count="13">
    <tableColumn id="1" name="ID" dataDxfId="88"/>
    <tableColumn id="2" name="volume" dataDxfId="87"/>
    <tableColumn id="3" name="trade_date" dataDxfId="86"/>
    <tableColumn id="4" name="exp_date" dataDxfId="85"/>
    <tableColumn id="5" name="settle_date" dataDxfId="84"/>
    <tableColumn id="6" name="prem_date" dataDxfId="83"/>
    <tableColumn id="7" name="k" dataDxfId="82"/>
    <tableColumn id="10" name="prem" dataDxfId="81"/>
    <tableColumn id="11" name="type" dataDxfId="80"/>
    <tableColumn id="12" name="opt type" dataDxfId="79"/>
    <tableColumn id="13" name="underlying" dataDxfId="78"/>
    <tableColumn id="14" name="cpty" dataDxfId="77"/>
    <tableColumn id="8" name="vol_ref" dataDxfId="7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I12" totalsRowShown="0" headerRowDxfId="75" dataDxfId="74">
  <autoFilter ref="B6:I12"/>
  <tableColumns count="8">
    <tableColumn id="1" name="ticker" dataDxfId="73"/>
    <tableColumn id="2" name="prod" dataDxfId="72"/>
    <tableColumn id="6" name="exchange" dataDxfId="71"/>
    <tableColumn id="7" name="w_ticker" dataDxfId="70">
      <calculatedColumnFormula>tbl_ticker[[#This Row],[ticker]]&amp;"."&amp;tbl_ticker[[#This Row],[exchange]]</calculatedColumnFormula>
    </tableColumn>
    <tableColumn id="9" name="multiplier" dataDxfId="69"/>
    <tableColumn id="3" name="vol" dataDxfId="68"/>
    <tableColumn id="4" name="carry" dataDxfId="67"/>
    <tableColumn id="5" name="price_st" dataDxfId="66">
      <calculatedColumnFormula>RTD("wdf.rtq",,tbl_ticker[[#This Row],[w_ticker]],"LastPrice")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H11" totalsRowShown="0" headerRowDxfId="65" dataDxfId="64">
  <autoFilter ref="B6:H11"/>
  <tableColumns count="7">
    <tableColumn id="1" name="client" dataDxfId="63"/>
    <tableColumn id="7" name="x" dataDxfId="62"/>
    <tableColumn id="6" name="k" dataDxfId="61"/>
    <tableColumn id="2" name="cu" dataDxfId="60"/>
    <tableColumn id="3" name="ag" dataDxfId="59"/>
    <tableColumn id="4" name="l" dataDxfId="58"/>
    <tableColumn id="8" name="rb" dataDxfId="5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topLeftCell="A5" workbookViewId="0">
      <selection activeCell="C34" sqref="C34:C36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10"/>
      <c r="B4" s="11"/>
      <c r="C4" s="11"/>
    </row>
    <row r="5" spans="1:3">
      <c r="A5" s="10"/>
      <c r="B5" s="11"/>
      <c r="C5" s="11"/>
    </row>
    <row r="6" spans="1:3">
      <c r="A6" s="10"/>
      <c r="B6" s="11"/>
      <c r="C6" s="11"/>
    </row>
    <row r="7" spans="1:3">
      <c r="A7" s="10"/>
      <c r="B7" s="11"/>
      <c r="C7" s="1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AQ16"/>
  <sheetViews>
    <sheetView tabSelected="1" zoomScaleNormal="100" workbookViewId="0">
      <selection activeCell="D30" sqref="D30"/>
    </sheetView>
  </sheetViews>
  <sheetFormatPr defaultRowHeight="11.25"/>
  <cols>
    <col min="1" max="1" width="9" style="15"/>
    <col min="2" max="2" width="14.25" style="15" customWidth="1"/>
    <col min="3" max="3" width="7" style="15" customWidth="1"/>
    <col min="4" max="4" width="8.75" style="15" customWidth="1"/>
    <col min="5" max="5" width="4.375" style="15" customWidth="1"/>
    <col min="6" max="6" width="12.25" style="15" customWidth="1"/>
    <col min="7" max="7" width="10.5" style="15" customWidth="1"/>
    <col min="8" max="8" width="11.375" style="15" bestFit="1" customWidth="1"/>
    <col min="9" max="10" width="7" style="15" customWidth="1"/>
    <col min="11" max="11" width="12.25" style="15" customWidth="1"/>
    <col min="12" max="12" width="7" style="15" customWidth="1"/>
    <col min="13" max="13" width="6.125" style="15" customWidth="1"/>
    <col min="14" max="14" width="10.5" style="15" bestFit="1" customWidth="1"/>
    <col min="15" max="15" width="6.125" style="15" customWidth="1"/>
    <col min="16" max="24" width="16.125" style="15" hidden="1" customWidth="1"/>
    <col min="25" max="28" width="17.125" style="15" hidden="1" customWidth="1"/>
    <col min="29" max="30" width="9.625" style="15" customWidth="1"/>
    <col min="31" max="39" width="10.5" style="15" customWidth="1"/>
    <col min="40" max="43" width="11.375" style="15" customWidth="1"/>
    <col min="44" max="16384" width="9" style="15"/>
  </cols>
  <sheetData>
    <row r="3" spans="2:43">
      <c r="B3" s="15" t="s">
        <v>47</v>
      </c>
    </row>
    <row r="4" spans="2:43">
      <c r="B4" s="16">
        <f ca="1">TODAY()+4</f>
        <v>43149</v>
      </c>
      <c r="AD4" s="17"/>
    </row>
    <row r="6" spans="2:43">
      <c r="B6" s="15" t="s">
        <v>4</v>
      </c>
      <c r="C6" s="15" t="s">
        <v>111</v>
      </c>
      <c r="D6" s="15" t="s">
        <v>103</v>
      </c>
      <c r="E6" s="15" t="s">
        <v>23</v>
      </c>
      <c r="F6" s="15" t="s">
        <v>124</v>
      </c>
      <c r="G6" s="15" t="s">
        <v>105</v>
      </c>
      <c r="H6" s="15" t="s">
        <v>120</v>
      </c>
      <c r="I6" s="15" t="s">
        <v>109</v>
      </c>
      <c r="J6" s="15" t="s">
        <v>110</v>
      </c>
      <c r="K6" s="15" t="s">
        <v>6</v>
      </c>
      <c r="L6" s="15" t="s">
        <v>112</v>
      </c>
      <c r="M6" s="15" t="s">
        <v>102</v>
      </c>
      <c r="N6" s="15" t="s">
        <v>113</v>
      </c>
      <c r="O6" s="15" t="s">
        <v>0</v>
      </c>
      <c r="P6" s="15" t="s">
        <v>67</v>
      </c>
      <c r="Q6" s="15" t="s">
        <v>68</v>
      </c>
      <c r="R6" s="15" t="s">
        <v>69</v>
      </c>
      <c r="S6" s="15" t="s">
        <v>70</v>
      </c>
      <c r="T6" s="15" t="s">
        <v>71</v>
      </c>
      <c r="U6" s="15" t="s">
        <v>72</v>
      </c>
      <c r="V6" s="15" t="s">
        <v>73</v>
      </c>
      <c r="W6" s="15" t="s">
        <v>74</v>
      </c>
      <c r="X6" s="15" t="s">
        <v>75</v>
      </c>
      <c r="Y6" s="15" t="s">
        <v>76</v>
      </c>
      <c r="Z6" s="15" t="s">
        <v>77</v>
      </c>
      <c r="AA6" s="15" t="s">
        <v>78</v>
      </c>
      <c r="AB6" s="15" t="s">
        <v>79</v>
      </c>
      <c r="AC6" s="15" t="s">
        <v>122</v>
      </c>
      <c r="AD6" s="15" t="s">
        <v>123</v>
      </c>
      <c r="AE6" s="15" t="s">
        <v>48</v>
      </c>
      <c r="AF6" s="15" t="s">
        <v>30</v>
      </c>
      <c r="AG6" s="15" t="s">
        <v>32</v>
      </c>
      <c r="AH6" s="15" t="s">
        <v>33</v>
      </c>
      <c r="AI6" s="15" t="s">
        <v>34</v>
      </c>
      <c r="AJ6" s="15" t="s">
        <v>35</v>
      </c>
      <c r="AK6" s="15" t="s">
        <v>36</v>
      </c>
      <c r="AL6" s="15" t="s">
        <v>37</v>
      </c>
      <c r="AM6" s="15" t="s">
        <v>38</v>
      </c>
      <c r="AN6" s="15" t="s">
        <v>39</v>
      </c>
      <c r="AO6" s="15" t="s">
        <v>40</v>
      </c>
      <c r="AP6" s="15" t="s">
        <v>41</v>
      </c>
      <c r="AQ6" s="15" t="s">
        <v>42</v>
      </c>
    </row>
    <row r="7" spans="2:43" ht="15" customHeight="1">
      <c r="B7" s="18" t="s">
        <v>7</v>
      </c>
      <c r="C7" s="18" t="s">
        <v>18</v>
      </c>
      <c r="D7" s="18">
        <v>100</v>
      </c>
      <c r="E7" s="18">
        <v>50000.000004000001</v>
      </c>
      <c r="F7" s="16">
        <v>43123</v>
      </c>
      <c r="G7" s="16">
        <v>43183.625</v>
      </c>
      <c r="H7" s="16">
        <v>43123</v>
      </c>
      <c r="I7" s="18">
        <v>-50000.004000000001</v>
      </c>
      <c r="J7" s="18" t="s">
        <v>8</v>
      </c>
      <c r="K7" s="18" t="s">
        <v>9</v>
      </c>
      <c r="L7" s="18" t="s">
        <v>1</v>
      </c>
      <c r="M7" s="18">
        <v>1000</v>
      </c>
      <c r="N7" s="18">
        <v>52990</v>
      </c>
      <c r="O7" s="18">
        <v>0.2</v>
      </c>
      <c r="P7" s="18" t="s">
        <v>125</v>
      </c>
      <c r="Q7" s="18" t="s">
        <v>125</v>
      </c>
      <c r="R7" s="18" t="s">
        <v>125</v>
      </c>
      <c r="S7" s="18" t="s">
        <v>125</v>
      </c>
      <c r="T7" s="18" t="s">
        <v>125</v>
      </c>
      <c r="U7" s="18" t="s">
        <v>125</v>
      </c>
      <c r="V7" s="18" t="s">
        <v>125</v>
      </c>
      <c r="W7" s="18" t="s">
        <v>126</v>
      </c>
      <c r="X7" s="18" t="s">
        <v>127</v>
      </c>
      <c r="Y7" s="18" t="s">
        <v>126</v>
      </c>
      <c r="Z7" s="18" t="s">
        <v>127</v>
      </c>
      <c r="AA7" s="18" t="s">
        <v>128</v>
      </c>
      <c r="AB7" s="18" t="s">
        <v>128</v>
      </c>
      <c r="AC7" s="18"/>
      <c r="AD7" s="19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</v>
      </c>
      <c r="AE7" s="17">
        <f ca="1">IF(tbl_senario[[#This Row],[prem_date]]&lt;=$B$4, 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0.01)+tbl_senario[[#This Row],[prem]],tbl_senario[[#This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0.01)) * StrSplit(tbl_senario[[#This Row],[param_senario1]],"|",2)</f>
        <v>243545.10085899767</v>
      </c>
      <c r="AF7" s="17">
        <f ca="1">IF(tbl_senario[[#This Row],[prem_date]]&lt;=$B$4, 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0.01)+tbl_senario[[#This Row],[prem]],tbl_senario[[#This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0.01)) * StrSplit(tbl_senario[[#This Row],[param_senario2]],"|",2)</f>
        <v>243545.10085899767</v>
      </c>
      <c r="AG7" s="17">
        <f ca="1">IF(tbl_senario[[#This Row],[prem_date]]&lt;=$B$4, 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0.01)+tbl_senario[[#This Row],[prem]],tbl_senario[[#This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0.01)) * StrSplit(tbl_senario[[#This Row],[param_senario3]],"|",2)</f>
        <v>243545.10085899767</v>
      </c>
      <c r="AH7" s="17">
        <f ca="1">IF(tbl_senario[[#This Row],[prem_date]]&lt;=$B$4, 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0.01)+tbl_senario[[#This Row],[prem]],tbl_senario[[#This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0.01)) * StrSplit(tbl_senario[[#This Row],[param_senario4]],"|",2)</f>
        <v>243545.10085899767</v>
      </c>
      <c r="AI7" s="17">
        <f ca="1">IF(tbl_senario[[#This Row],[prem_date]]&lt;=$B$4, 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0.01)+tbl_senario[[#This Row],[prem]],tbl_senario[[#This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0.01)) * StrSplit(tbl_senario[[#This Row],[param_senario5]],"|",2)</f>
        <v>243545.10085899767</v>
      </c>
      <c r="AJ7" s="17">
        <f ca="1">IF(tbl_senario[[#This Row],[prem_date]]&lt;=$B$4, 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0.01)+tbl_senario[[#This Row],[prem]],tbl_senario[[#This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0.01)) * StrSplit(tbl_senario[[#This Row],[param_senario6]],"|",2)</f>
        <v>243545.10085899767</v>
      </c>
      <c r="AK7" s="17">
        <f ca="1">IF(tbl_senario[[#This Row],[prem_date]]&lt;=$B$4, 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0.01)+tbl_senario[[#This Row],[prem]],tbl_senario[[#This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0.01)) * StrSplit(tbl_senario[[#This Row],[param_senario7]],"|",2)</f>
        <v>243545.10085899767</v>
      </c>
      <c r="AL7" s="17">
        <f ca="1">IF(tbl_senario[[#This Row],[prem_date]]&lt;=$B$4, 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0.01)+tbl_senario[[#This Row],[prem]],tbl_senario[[#This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0.01)) * StrSplit(tbl_senario[[#This Row],[param_senario8]],"|",2)</f>
        <v>417921.08592144167</v>
      </c>
      <c r="AM7" s="17">
        <f ca="1">IF(tbl_senario[[#This Row],[prem_date]]&lt;=$B$4, 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0.01)+tbl_senario[[#This Row],[prem]],tbl_senario[[#This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0.01)) * StrSplit(tbl_senario[[#This Row],[param_senario9]],"|",2)</f>
        <v>98362.559519710267</v>
      </c>
      <c r="AN7" s="17">
        <f ca="1">IF(tbl_senario[[#This Row],[prem_date]]&lt;=$B$4, 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0.01)+tbl_senario[[#This Row],[prem]],tbl_senario[[#This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0.01)) * StrSplit(tbl_senario[[#This Row],[param_senario10]],"|",2)</f>
        <v>417921.08592144167</v>
      </c>
      <c r="AO7" s="17">
        <f ca="1">IF(tbl_senario[[#This Row],[prem_date]]&lt;=$B$4, 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0.01)+tbl_senario[[#This Row],[prem]],tbl_senario[[#This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0.01)) * StrSplit(tbl_senario[[#This Row],[param_senario11]],"|",2)</f>
        <v>98362.559519710267</v>
      </c>
      <c r="AP7" s="17">
        <f ca="1">IF(tbl_senario[[#This Row],[prem_date]]&lt;=$B$4, 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0.01)+tbl_senario[[#This Row],[prem]],tbl_senario[[#This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0.01)) * StrSplit(tbl_senario[[#This Row],[param_senario12]],"|",2)</f>
        <v>81100.518586046222</v>
      </c>
      <c r="AQ7" s="17">
        <f ca="1">IF(tbl_senario[[#This Row],[prem_date]]&lt;=$B$4, 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0.01)+tbl_senario[[#This Row],[prem]],tbl_senario[[#This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0.01)) * StrSplit(tbl_senario[[#This Row],[param_senario13]],"|",2)</f>
        <v>81100.518586046222</v>
      </c>
    </row>
    <row r="8" spans="2:43">
      <c r="B8" s="18" t="s">
        <v>10</v>
      </c>
      <c r="C8" s="18" t="s">
        <v>20</v>
      </c>
      <c r="D8" s="18">
        <v>400</v>
      </c>
      <c r="E8" s="18">
        <v>14500.000004</v>
      </c>
      <c r="F8" s="16">
        <v>43118</v>
      </c>
      <c r="G8" s="16">
        <v>43200.625</v>
      </c>
      <c r="H8" s="16">
        <v>43118</v>
      </c>
      <c r="I8" s="18">
        <v>-400000</v>
      </c>
      <c r="J8" s="18" t="s">
        <v>8</v>
      </c>
      <c r="K8" s="18" t="s">
        <v>11</v>
      </c>
      <c r="L8" s="18" t="s">
        <v>15</v>
      </c>
      <c r="M8" s="18">
        <v>4000</v>
      </c>
      <c r="N8" s="18">
        <v>14205</v>
      </c>
      <c r="O8" s="18">
        <v>0.2</v>
      </c>
      <c r="P8" s="18" t="s">
        <v>129</v>
      </c>
      <c r="Q8" s="18" t="s">
        <v>129</v>
      </c>
      <c r="R8" s="18" t="s">
        <v>129</v>
      </c>
      <c r="S8" s="18" t="s">
        <v>129</v>
      </c>
      <c r="T8" s="18" t="s">
        <v>129</v>
      </c>
      <c r="U8" s="18" t="s">
        <v>129</v>
      </c>
      <c r="V8" s="18" t="s">
        <v>129</v>
      </c>
      <c r="W8" s="18" t="s">
        <v>130</v>
      </c>
      <c r="X8" s="18" t="s">
        <v>131</v>
      </c>
      <c r="Y8" s="18" t="s">
        <v>130</v>
      </c>
      <c r="Z8" s="18" t="s">
        <v>131</v>
      </c>
      <c r="AA8" s="18" t="s">
        <v>132</v>
      </c>
      <c r="AB8" s="18" t="s">
        <v>132</v>
      </c>
      <c r="AC8" s="18"/>
      <c r="AD8" s="19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</v>
      </c>
      <c r="AE8" s="17">
        <f ca="1">IF(tbl_senario[[#This Row],[prem_date]]&lt;=$B$4, 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0.01)+tbl_senario[[#This Row],[prem]],tbl_senario[[#This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0.01)) * StrSplit(tbl_senario[[#This Row],[param_senario1]],"|",2)</f>
        <v>1969466.7497064564</v>
      </c>
      <c r="AF8" s="17">
        <f ca="1">IF(tbl_senario[[#This Row],[prem_date]]&lt;=$B$4, 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0.01)+tbl_senario[[#This Row],[prem]],tbl_senario[[#This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0.01)) * StrSplit(tbl_senario[[#This Row],[param_senario2]],"|",2)</f>
        <v>1969466.7497064564</v>
      </c>
      <c r="AG8" s="17">
        <f ca="1">IF(tbl_senario[[#This Row],[prem_date]]&lt;=$B$4, 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0.01)+tbl_senario[[#This Row],[prem]],tbl_senario[[#This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0.01)) * StrSplit(tbl_senario[[#This Row],[param_senario3]],"|",2)</f>
        <v>1969466.7497064564</v>
      </c>
      <c r="AH8" s="17">
        <f ca="1">IF(tbl_senario[[#This Row],[prem_date]]&lt;=$B$4, 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0.01)+tbl_senario[[#This Row],[prem]],tbl_senario[[#This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0.01)) * StrSplit(tbl_senario[[#This Row],[param_senario4]],"|",2)</f>
        <v>1969466.7497064564</v>
      </c>
      <c r="AI8" s="17">
        <f ca="1">IF(tbl_senario[[#This Row],[prem_date]]&lt;=$B$4, 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0.01)+tbl_senario[[#This Row],[prem]],tbl_senario[[#This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0.01)) * StrSplit(tbl_senario[[#This Row],[param_senario5]],"|",2)</f>
        <v>1969466.7497064564</v>
      </c>
      <c r="AJ8" s="17">
        <f ca="1">IF(tbl_senario[[#This Row],[prem_date]]&lt;=$B$4, 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0.01)+tbl_senario[[#This Row],[prem]],tbl_senario[[#This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0.01)) * StrSplit(tbl_senario[[#This Row],[param_senario6]],"|",2)</f>
        <v>1969466.7497064564</v>
      </c>
      <c r="AK8" s="17">
        <f ca="1">IF(tbl_senario[[#This Row],[prem_date]]&lt;=$B$4, 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0.01)+tbl_senario[[#This Row],[prem]],tbl_senario[[#This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0.01)) * StrSplit(tbl_senario[[#This Row],[param_senario7]],"|",2)</f>
        <v>1969466.7497064564</v>
      </c>
      <c r="AL8" s="17">
        <f ca="1">IF(tbl_senario[[#This Row],[prem_date]]&lt;=$B$4, 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0.01)+tbl_senario[[#This Row],[prem]],tbl_senario[[#This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0.01)) * StrSplit(tbl_senario[[#This Row],[param_senario8]],"|",2)</f>
        <v>2302207.4196235603</v>
      </c>
      <c r="AM8" s="17">
        <f ca="1">IF(tbl_senario[[#This Row],[prem_date]]&lt;=$B$4, 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0.01)+tbl_senario[[#This Row],[prem]],tbl_senario[[#This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0.01)) * StrSplit(tbl_senario[[#This Row],[param_senario9]],"|",2)</f>
        <v>1641765.9454817895</v>
      </c>
      <c r="AN8" s="17">
        <f ca="1">IF(tbl_senario[[#This Row],[prem_date]]&lt;=$B$4, 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0.01)+tbl_senario[[#This Row],[prem]],tbl_senario[[#This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0.01)) * StrSplit(tbl_senario[[#This Row],[param_senario10]],"|",2)</f>
        <v>2302207.4196235603</v>
      </c>
      <c r="AO8" s="17">
        <f ca="1">IF(tbl_senario[[#This Row],[prem_date]]&lt;=$B$4, 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0.01)+tbl_senario[[#This Row],[prem]],tbl_senario[[#This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0.01)) * StrSplit(tbl_senario[[#This Row],[param_senario11]],"|",2)</f>
        <v>1641765.9454817895</v>
      </c>
      <c r="AP8" s="17">
        <f ca="1">IF(tbl_senario[[#This Row],[prem_date]]&lt;=$B$4, 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0.01)+tbl_senario[[#This Row],[prem]],tbl_senario[[#This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0.01)) * StrSplit(tbl_senario[[#This Row],[param_senario12]],"|",2)</f>
        <v>655832.42765225004</v>
      </c>
      <c r="AQ8" s="17">
        <f ca="1">IF(tbl_senario[[#This Row],[prem_date]]&lt;=$B$4, 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0.01)+tbl_senario[[#This Row],[prem]],tbl_senario[[#This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0.01)) * StrSplit(tbl_senario[[#This Row],[param_senario13]],"|",2)</f>
        <v>655832.42765225004</v>
      </c>
    </row>
    <row r="9" spans="2:43">
      <c r="B9" s="18" t="s">
        <v>52</v>
      </c>
      <c r="C9" s="18" t="s">
        <v>61</v>
      </c>
      <c r="D9" s="18">
        <v>125</v>
      </c>
      <c r="E9" s="18">
        <v>10039.999997630001</v>
      </c>
      <c r="F9" s="16">
        <v>43098</v>
      </c>
      <c r="G9" s="16">
        <v>43159.625</v>
      </c>
      <c r="H9" s="16">
        <v>43098</v>
      </c>
      <c r="I9" s="18">
        <v>0</v>
      </c>
      <c r="J9" s="18" t="s">
        <v>56</v>
      </c>
      <c r="K9" s="18" t="s">
        <v>57</v>
      </c>
      <c r="L9" s="18" t="s">
        <v>63</v>
      </c>
      <c r="M9" s="18">
        <v>625</v>
      </c>
      <c r="N9" s="18">
        <v>9535</v>
      </c>
      <c r="O9" s="18">
        <v>0.1</v>
      </c>
      <c r="P9" s="18" t="s">
        <v>133</v>
      </c>
      <c r="Q9" s="18" t="s">
        <v>133</v>
      </c>
      <c r="R9" s="18" t="s">
        <v>133</v>
      </c>
      <c r="S9" s="18" t="s">
        <v>133</v>
      </c>
      <c r="T9" s="18" t="s">
        <v>133</v>
      </c>
      <c r="U9" s="18" t="s">
        <v>133</v>
      </c>
      <c r="V9" s="18" t="s">
        <v>133</v>
      </c>
      <c r="W9" s="18" t="s">
        <v>134</v>
      </c>
      <c r="X9" s="18" t="s">
        <v>135</v>
      </c>
      <c r="Y9" s="18" t="s">
        <v>134</v>
      </c>
      <c r="Z9" s="18" t="s">
        <v>135</v>
      </c>
      <c r="AA9" s="18" t="s">
        <v>136</v>
      </c>
      <c r="AB9" s="18" t="s">
        <v>136</v>
      </c>
      <c r="AC9" s="18"/>
      <c r="AD9" s="19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</v>
      </c>
      <c r="AE9" s="17">
        <f ca="1">IF(tbl_senario[[#This Row],[prem_date]]&lt;=$B$4, 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0.01)+tbl_senario[[#This Row],[prem]],tbl_senario[[#This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0.01)) * StrSplit(tbl_senario[[#This Row],[param_senario1]],"|",2)</f>
        <v>36.493968297190712</v>
      </c>
      <c r="AF9" s="17">
        <f ca="1">IF(tbl_senario[[#This Row],[prem_date]]&lt;=$B$4, 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0.01)+tbl_senario[[#This Row],[prem]],tbl_senario[[#This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0.01)) * StrSplit(tbl_senario[[#This Row],[param_senario2]],"|",2)</f>
        <v>36.493968297190712</v>
      </c>
      <c r="AG9" s="17">
        <f ca="1">IF(tbl_senario[[#This Row],[prem_date]]&lt;=$B$4, 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0.01)+tbl_senario[[#This Row],[prem]],tbl_senario[[#This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0.01)) * StrSplit(tbl_senario[[#This Row],[param_senario3]],"|",2)</f>
        <v>36.493968297190712</v>
      </c>
      <c r="AH9" s="17">
        <f ca="1">IF(tbl_senario[[#This Row],[prem_date]]&lt;=$B$4, 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0.01)+tbl_senario[[#This Row],[prem]],tbl_senario[[#This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0.01)) * StrSplit(tbl_senario[[#This Row],[param_senario4]],"|",2)</f>
        <v>36.493968297190712</v>
      </c>
      <c r="AI9" s="17">
        <f ca="1">IF(tbl_senario[[#This Row],[prem_date]]&lt;=$B$4, 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0.01)+tbl_senario[[#This Row],[prem]],tbl_senario[[#This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0.01)) * StrSplit(tbl_senario[[#This Row],[param_senario5]],"|",2)</f>
        <v>36.493968297190712</v>
      </c>
      <c r="AJ9" s="17">
        <f ca="1">IF(tbl_senario[[#This Row],[prem_date]]&lt;=$B$4, 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0.01)+tbl_senario[[#This Row],[prem]],tbl_senario[[#This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0.01)) * StrSplit(tbl_senario[[#This Row],[param_senario6]],"|",2)</f>
        <v>36.493968297190712</v>
      </c>
      <c r="AK9" s="17">
        <f ca="1">IF(tbl_senario[[#This Row],[prem_date]]&lt;=$B$4, 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0.01)+tbl_senario[[#This Row],[prem]],tbl_senario[[#This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0.01)) * StrSplit(tbl_senario[[#This Row],[param_senario7]],"|",2)</f>
        <v>36.493968297190712</v>
      </c>
      <c r="AL9" s="17">
        <f ca="1">IF(tbl_senario[[#This Row],[prem_date]]&lt;=$B$4, 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0.01)+tbl_senario[[#This Row],[prem]],tbl_senario[[#This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0.01)) * StrSplit(tbl_senario[[#This Row],[param_senario8]],"|",2)</f>
        <v>235.1598715615745</v>
      </c>
      <c r="AM9" s="17">
        <f ca="1">IF(tbl_senario[[#This Row],[prem_date]]&lt;=$B$4, 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0.01)+tbl_senario[[#This Row],[prem]],tbl_senario[[#This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0.01)) * StrSplit(tbl_senario[[#This Row],[param_senario9]],"|",2)</f>
        <v>1.53921349643933</v>
      </c>
      <c r="AN9" s="17">
        <f ca="1">IF(tbl_senario[[#This Row],[prem_date]]&lt;=$B$4, 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0.01)+tbl_senario[[#This Row],[prem]],tbl_senario[[#This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0.01)) * StrSplit(tbl_senario[[#This Row],[param_senario10]],"|",2)</f>
        <v>235.1598715615745</v>
      </c>
      <c r="AO9" s="17">
        <f ca="1">IF(tbl_senario[[#This Row],[prem_date]]&lt;=$B$4, 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0.01)+tbl_senario[[#This Row],[prem]],tbl_senario[[#This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0.01)) * StrSplit(tbl_senario[[#This Row],[param_senario11]],"|",2)</f>
        <v>1.53921349643933</v>
      </c>
      <c r="AP9" s="17">
        <f ca="1">IF(tbl_senario[[#This Row],[prem_date]]&lt;=$B$4, 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0.01)+tbl_senario[[#This Row],[prem]],tbl_senario[[#This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0.01)) * StrSplit(tbl_senario[[#This Row],[param_senario12]],"|",2)</f>
        <v>12.152491442964507</v>
      </c>
      <c r="AQ9" s="17">
        <f ca="1">IF(tbl_senario[[#This Row],[prem_date]]&lt;=$B$4, 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0.01)+tbl_senario[[#This Row],[prem]],tbl_senario[[#This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0.01)) * StrSplit(tbl_senario[[#This Row],[param_senario13]],"|",2)</f>
        <v>12.152491442964507</v>
      </c>
    </row>
    <row r="10" spans="2:43">
      <c r="B10" s="18" t="s">
        <v>53</v>
      </c>
      <c r="C10" s="18" t="s">
        <v>61</v>
      </c>
      <c r="D10" s="18">
        <v>-125</v>
      </c>
      <c r="E10" s="18">
        <v>9500.0000023699995</v>
      </c>
      <c r="F10" s="16">
        <v>43098</v>
      </c>
      <c r="G10" s="16">
        <v>43159.625</v>
      </c>
      <c r="H10" s="16">
        <v>43098</v>
      </c>
      <c r="I10" s="18">
        <v>9375</v>
      </c>
      <c r="J10" s="18" t="s">
        <v>8</v>
      </c>
      <c r="K10" s="18" t="s">
        <v>57</v>
      </c>
      <c r="L10" s="18" t="s">
        <v>63</v>
      </c>
      <c r="M10" s="18">
        <v>-625</v>
      </c>
      <c r="N10" s="18">
        <v>9535</v>
      </c>
      <c r="O10" s="18">
        <v>0.1</v>
      </c>
      <c r="P10" s="18" t="s">
        <v>133</v>
      </c>
      <c r="Q10" s="18" t="s">
        <v>133</v>
      </c>
      <c r="R10" s="18" t="s">
        <v>133</v>
      </c>
      <c r="S10" s="18" t="s">
        <v>133</v>
      </c>
      <c r="T10" s="18" t="s">
        <v>133</v>
      </c>
      <c r="U10" s="18" t="s">
        <v>133</v>
      </c>
      <c r="V10" s="18" t="s">
        <v>133</v>
      </c>
      <c r="W10" s="18" t="s">
        <v>134</v>
      </c>
      <c r="X10" s="18" t="s">
        <v>135</v>
      </c>
      <c r="Y10" s="18" t="s">
        <v>134</v>
      </c>
      <c r="Z10" s="18" t="s">
        <v>135</v>
      </c>
      <c r="AA10" s="18" t="s">
        <v>136</v>
      </c>
      <c r="AB10" s="18" t="s">
        <v>136</v>
      </c>
      <c r="AC10" s="18"/>
      <c r="AD10" s="19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</v>
      </c>
      <c r="AE10" s="17">
        <f ca="1">IF(tbl_senario[[#This Row],[prem_date]]&lt;=$B$4, 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0.01)+tbl_senario[[#This Row],[prem]],tbl_senario[[#This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0.01)) * StrSplit(tbl_senario[[#This Row],[param_senario1]],"|",2)</f>
        <v>-21094.536502656731</v>
      </c>
      <c r="AF10" s="17">
        <f ca="1">IF(tbl_senario[[#This Row],[prem_date]]&lt;=$B$4, 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0.01)+tbl_senario[[#This Row],[prem]],tbl_senario[[#This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0.01)) * StrSplit(tbl_senario[[#This Row],[param_senario2]],"|",2)</f>
        <v>-21094.536502656731</v>
      </c>
      <c r="AG10" s="17">
        <f ca="1">IF(tbl_senario[[#This Row],[prem_date]]&lt;=$B$4, 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0.01)+tbl_senario[[#This Row],[prem]],tbl_senario[[#This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0.01)) * StrSplit(tbl_senario[[#This Row],[param_senario3]],"|",2)</f>
        <v>-21094.536502656731</v>
      </c>
      <c r="AH10" s="17">
        <f ca="1">IF(tbl_senario[[#This Row],[prem_date]]&lt;=$B$4, 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0.01)+tbl_senario[[#This Row],[prem]],tbl_senario[[#This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0.01)) * StrSplit(tbl_senario[[#This Row],[param_senario4]],"|",2)</f>
        <v>-21094.536502656731</v>
      </c>
      <c r="AI10" s="17">
        <f ca="1">IF(tbl_senario[[#This Row],[prem_date]]&lt;=$B$4, 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0.01)+tbl_senario[[#This Row],[prem]],tbl_senario[[#This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0.01)) * StrSplit(tbl_senario[[#This Row],[param_senario5]],"|",2)</f>
        <v>-21094.536502656731</v>
      </c>
      <c r="AJ10" s="17">
        <f ca="1">IF(tbl_senario[[#This Row],[prem_date]]&lt;=$B$4, 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0.01)+tbl_senario[[#This Row],[prem]],tbl_senario[[#This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0.01)) * StrSplit(tbl_senario[[#This Row],[param_senario6]],"|",2)</f>
        <v>-21094.536502656731</v>
      </c>
      <c r="AK10" s="17">
        <f ca="1">IF(tbl_senario[[#This Row],[prem_date]]&lt;=$B$4, 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0.01)+tbl_senario[[#This Row],[prem]],tbl_senario[[#This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0.01)) * StrSplit(tbl_senario[[#This Row],[param_senario7]],"|",2)</f>
        <v>-21094.536502656731</v>
      </c>
      <c r="AL10" s="17">
        <f ca="1">IF(tbl_senario[[#This Row],[prem_date]]&lt;=$B$4, 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0.01)+tbl_senario[[#This Row],[prem]],tbl_senario[[#This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0.01)) * StrSplit(tbl_senario[[#This Row],[param_senario8]],"|",2)</f>
        <v>-29032.012019149799</v>
      </c>
      <c r="AM10" s="17">
        <f ca="1">IF(tbl_senario[[#This Row],[prem_date]]&lt;=$B$4, 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0.01)+tbl_senario[[#This Row],[prem]],tbl_senario[[#This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0.01)) * StrSplit(tbl_senario[[#This Row],[param_senario9]],"|",2)</f>
        <v>-13233.36107198165</v>
      </c>
      <c r="AN10" s="17">
        <f ca="1">IF(tbl_senario[[#This Row],[prem_date]]&lt;=$B$4, 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0.01)+tbl_senario[[#This Row],[prem]],tbl_senario[[#This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0.01)) * StrSplit(tbl_senario[[#This Row],[param_senario10]],"|",2)</f>
        <v>-29032.012019149799</v>
      </c>
      <c r="AO10" s="17">
        <f ca="1">IF(tbl_senario[[#This Row],[prem_date]]&lt;=$B$4, 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0.01)+tbl_senario[[#This Row],[prem]],tbl_senario[[#This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0.01)) * StrSplit(tbl_senario[[#This Row],[param_senario11]],"|",2)</f>
        <v>-13233.36107198165</v>
      </c>
      <c r="AP10" s="17">
        <f ca="1">IF(tbl_senario[[#This Row],[prem_date]]&lt;=$B$4, 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0.01)+tbl_senario[[#This Row],[prem]],tbl_senario[[#This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0.01)) * StrSplit(tbl_senario[[#This Row],[param_senario12]],"|",2)</f>
        <v>-7024.480655384692</v>
      </c>
      <c r="AQ10" s="17">
        <f ca="1">IF(tbl_senario[[#This Row],[prem_date]]&lt;=$B$4, 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0.01)+tbl_senario[[#This Row],[prem]],tbl_senario[[#This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0.01)) * StrSplit(tbl_senario[[#This Row],[param_senario13]],"|",2)</f>
        <v>-7024.480655384692</v>
      </c>
    </row>
    <row r="11" spans="2:43">
      <c r="B11" s="18" t="s">
        <v>86</v>
      </c>
      <c r="C11" s="18" t="s">
        <v>80</v>
      </c>
      <c r="D11" s="18">
        <v>500</v>
      </c>
      <c r="E11" s="18">
        <v>3699.9999992799999</v>
      </c>
      <c r="F11" s="16">
        <v>43140</v>
      </c>
      <c r="G11" s="16">
        <v>43219.625</v>
      </c>
      <c r="H11" s="16">
        <v>43140</v>
      </c>
      <c r="I11" s="18">
        <v>-275000.00800000003</v>
      </c>
      <c r="J11" s="18" t="s">
        <v>8</v>
      </c>
      <c r="K11" s="18" t="s">
        <v>84</v>
      </c>
      <c r="L11" s="18" t="s">
        <v>82</v>
      </c>
      <c r="M11" s="18">
        <v>5000</v>
      </c>
      <c r="N11" s="18">
        <v>3795</v>
      </c>
      <c r="O11" s="18">
        <v>0.18</v>
      </c>
      <c r="P11" s="18" t="s">
        <v>137</v>
      </c>
      <c r="Q11" s="18" t="s">
        <v>138</v>
      </c>
      <c r="R11" s="18" t="s">
        <v>139</v>
      </c>
      <c r="S11" s="18" t="s">
        <v>140</v>
      </c>
      <c r="T11" s="18" t="s">
        <v>141</v>
      </c>
      <c r="U11" s="18" t="s">
        <v>142</v>
      </c>
      <c r="V11" s="18" t="s">
        <v>140</v>
      </c>
      <c r="W11" s="18" t="s">
        <v>143</v>
      </c>
      <c r="X11" s="18" t="s">
        <v>144</v>
      </c>
      <c r="Y11" s="18" t="s">
        <v>145</v>
      </c>
      <c r="Z11" s="18" t="s">
        <v>146</v>
      </c>
      <c r="AA11" s="18" t="s">
        <v>147</v>
      </c>
      <c r="AB11" s="18" t="s">
        <v>148</v>
      </c>
      <c r="AC11" s="18">
        <v>0.12</v>
      </c>
      <c r="AD11" s="19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0.17321821036106749</v>
      </c>
      <c r="AE11" s="17">
        <f ca="1">IF(tbl_senario[[#This Row],[prem_date]]&lt;=$B$4, 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0.01)+tbl_senario[[#This Row],[prem]],tbl_senario[[#This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0.01)) * StrSplit(tbl_senario[[#This Row],[param_senario1]],"|",2)</f>
        <v>107788.71025079029</v>
      </c>
      <c r="AF11" s="17">
        <f ca="1">IF(tbl_senario[[#This Row],[prem_date]]&lt;=$B$4, 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0.01)+tbl_senario[[#This Row],[prem]],tbl_senario[[#This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0.01)) * StrSplit(tbl_senario[[#This Row],[param_senario2]],"|",2)</f>
        <v>-48029.69047012896</v>
      </c>
      <c r="AG11" s="17">
        <f ca="1">IF(tbl_senario[[#This Row],[prem_date]]&lt;=$B$4, 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0.01)+tbl_senario[[#This Row],[prem]],tbl_senario[[#This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0.01)) * StrSplit(tbl_senario[[#This Row],[param_senario3]],"|",2)</f>
        <v>-148674.46448907658</v>
      </c>
      <c r="AH11" s="17">
        <f ca="1">IF(tbl_senario[[#This Row],[prem_date]]&lt;=$B$4, 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0.01)+tbl_senario[[#This Row],[prem]],tbl_senario[[#This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0.01)) * StrSplit(tbl_senario[[#This Row],[param_senario4]],"|",2)</f>
        <v>-208975.75301532005</v>
      </c>
      <c r="AI11" s="17">
        <f ca="1">IF(tbl_senario[[#This Row],[prem_date]]&lt;=$B$4, 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0.01)+tbl_senario[[#This Row],[prem]],tbl_senario[[#This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0.01)) * StrSplit(tbl_senario[[#This Row],[param_senario5]],"|",2)</f>
        <v>331403.71246742317</v>
      </c>
      <c r="AJ11" s="17">
        <f ca="1">IF(tbl_senario[[#This Row],[prem_date]]&lt;=$B$4, 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0.01)+tbl_senario[[#This Row],[prem]],tbl_senario[[#This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0.01)) * StrSplit(tbl_senario[[#This Row],[param_senario6]],"|",2)</f>
        <v>629204.38445953268</v>
      </c>
      <c r="AK11" s="17">
        <f ca="1">IF(tbl_senario[[#This Row],[prem_date]]&lt;=$B$4, 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0.01)+tbl_senario[[#This Row],[prem]],tbl_senario[[#This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0.01)) * StrSplit(tbl_senario[[#This Row],[param_senario7]],"|",2)</f>
        <v>-208975.75301532005</v>
      </c>
      <c r="AL11" s="17">
        <f ca="1">IF(tbl_senario[[#This Row],[prem_date]]&lt;=$B$4, 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0.01)+tbl_senario[[#This Row],[prem]],tbl_senario[[#This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0.01)) * StrSplit(tbl_senario[[#This Row],[param_senario8]],"|",2)</f>
        <v>-181424.72076287618</v>
      </c>
      <c r="AM11" s="17">
        <f ca="1">IF(tbl_senario[[#This Row],[prem_date]]&lt;=$B$4, 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0.01)+tbl_senario[[#This Row],[prem]],tbl_senario[[#This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0.01)) * StrSplit(tbl_senario[[#This Row],[param_senario9]],"|",2)</f>
        <v>-232058.04610652541</v>
      </c>
      <c r="AN11" s="17">
        <f ca="1">IF(tbl_senario[[#This Row],[prem_date]]&lt;=$B$4, 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0.01)+tbl_senario[[#This Row],[prem]],tbl_senario[[#This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0.01)) * StrSplit(tbl_senario[[#This Row],[param_senario10]],"|",2)</f>
        <v>1041545.5101114063</v>
      </c>
      <c r="AO11" s="17">
        <f ca="1">IF(tbl_senario[[#This Row],[prem_date]]&lt;=$B$4, 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0.01)+tbl_senario[[#This Row],[prem]],tbl_senario[[#This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0.01)) * StrSplit(tbl_senario[[#This Row],[param_senario11]],"|",2)</f>
        <v>958139.77139730577</v>
      </c>
      <c r="AP11" s="17">
        <f ca="1">IF(tbl_senario[[#This Row],[prem_date]]&lt;=$B$4, 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0.01)+tbl_senario[[#This Row],[prem]],tbl_senario[[#This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0.01)) * StrSplit(tbl_senario[[#This Row],[param_senario12]],"|",2)</f>
        <v>-91442.490400273688</v>
      </c>
      <c r="AQ11" s="17">
        <f ca="1">IF(tbl_senario[[#This Row],[prem_date]]&lt;=$B$4, 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0.01)+tbl_senario[[#This Row],[prem]],tbl_senario[[#This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0.01)) * StrSplit(tbl_senario[[#This Row],[param_senario13]],"|",2)</f>
        <v>1318189.1157580339</v>
      </c>
    </row>
    <row r="12" spans="2:43">
      <c r="B12" s="18" t="s">
        <v>87</v>
      </c>
      <c r="C12" s="18" t="s">
        <v>80</v>
      </c>
      <c r="D12" s="18">
        <v>1000</v>
      </c>
      <c r="E12" s="18">
        <v>3720.0000015999999</v>
      </c>
      <c r="F12" s="16">
        <v>43140</v>
      </c>
      <c r="G12" s="16">
        <v>43205.625</v>
      </c>
      <c r="H12" s="16">
        <v>43140</v>
      </c>
      <c r="I12" s="18">
        <v>-499999.99575</v>
      </c>
      <c r="J12" s="18" t="s">
        <v>8</v>
      </c>
      <c r="K12" s="18" t="s">
        <v>84</v>
      </c>
      <c r="L12" s="18" t="s">
        <v>82</v>
      </c>
      <c r="M12" s="18">
        <v>10000</v>
      </c>
      <c r="N12" s="18">
        <v>3795</v>
      </c>
      <c r="O12" s="18">
        <v>0.18</v>
      </c>
      <c r="P12" s="18" t="s">
        <v>137</v>
      </c>
      <c r="Q12" s="18" t="s">
        <v>138</v>
      </c>
      <c r="R12" s="18" t="s">
        <v>139</v>
      </c>
      <c r="S12" s="18" t="s">
        <v>140</v>
      </c>
      <c r="T12" s="18" t="s">
        <v>141</v>
      </c>
      <c r="U12" s="18" t="s">
        <v>142</v>
      </c>
      <c r="V12" s="18" t="s">
        <v>140</v>
      </c>
      <c r="W12" s="18" t="s">
        <v>143</v>
      </c>
      <c r="X12" s="18" t="s">
        <v>144</v>
      </c>
      <c r="Y12" s="18" t="s">
        <v>145</v>
      </c>
      <c r="Z12" s="18" t="s">
        <v>146</v>
      </c>
      <c r="AA12" s="18" t="s">
        <v>147</v>
      </c>
      <c r="AB12" s="18" t="s">
        <v>148</v>
      </c>
      <c r="AC12" s="18">
        <v>0.12</v>
      </c>
      <c r="AD12" s="19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0.17177142857142857</v>
      </c>
      <c r="AE12" s="17">
        <f ca="1">IF(tbl_senario[[#This Row],[prem_date]]&lt;=$B$4, 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0.01)+tbl_senario[[#This Row],[prem]],tbl_senario[[#This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0.01)) * StrSplit(tbl_senario[[#This Row],[param_senario1]],"|",2)</f>
        <v>227105.10939869587</v>
      </c>
      <c r="AF12" s="17">
        <f ca="1">IF(tbl_senario[[#This Row],[prem_date]]&lt;=$B$4, 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0.01)+tbl_senario[[#This Row],[prem]],tbl_senario[[#This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0.01)) * StrSplit(tbl_senario[[#This Row],[param_senario2]],"|",2)</f>
        <v>-93190.042968374444</v>
      </c>
      <c r="AG12" s="17">
        <f ca="1">IF(tbl_senario[[#This Row],[prem_date]]&lt;=$B$4, 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0.01)+tbl_senario[[#This Row],[prem]],tbl_senario[[#This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0.01)) * StrSplit(tbl_senario[[#This Row],[param_senario3]],"|",2)</f>
        <v>-290069.10029821703</v>
      </c>
      <c r="AH12" s="17">
        <f ca="1">IF(tbl_senario[[#This Row],[prem_date]]&lt;=$B$4, 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0.01)+tbl_senario[[#This Row],[prem]],tbl_senario[[#This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0.01)) * StrSplit(tbl_senario[[#This Row],[param_senario4]],"|",2)</f>
        <v>-400083.83793599793</v>
      </c>
      <c r="AI12" s="17">
        <f ca="1">IF(tbl_senario[[#This Row],[prem_date]]&lt;=$B$4, 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0.01)+tbl_senario[[#This Row],[prem]],tbl_senario[[#This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0.01)) * StrSplit(tbl_senario[[#This Row],[param_senario5]],"|",2)</f>
        <v>700766.13840603316</v>
      </c>
      <c r="AJ12" s="17">
        <f ca="1">IF(tbl_senario[[#This Row],[prem_date]]&lt;=$B$4, 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0.01)+tbl_senario[[#This Row],[prem]],tbl_senario[[#This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0.01)) * StrSplit(tbl_senario[[#This Row],[param_senario6]],"|",2)</f>
        <v>1339287.7784825386</v>
      </c>
      <c r="AK12" s="17">
        <f ca="1">IF(tbl_senario[[#This Row],[prem_date]]&lt;=$B$4, 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0.01)+tbl_senario[[#This Row],[prem]],tbl_senario[[#This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0.01)) * StrSplit(tbl_senario[[#This Row],[param_senario7]],"|",2)</f>
        <v>-400083.83793599793</v>
      </c>
      <c r="AL12" s="17">
        <f ca="1">IF(tbl_senario[[#This Row],[prem_date]]&lt;=$B$4, 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0.01)+tbl_senario[[#This Row],[prem]],tbl_senario[[#This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0.01)) * StrSplit(tbl_senario[[#This Row],[param_senario8]],"|",2)</f>
        <v>-355182.11332559766</v>
      </c>
      <c r="AM12" s="17">
        <f ca="1">IF(tbl_senario[[#This Row],[prem_date]]&lt;=$B$4, 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0.01)+tbl_senario[[#This Row],[prem]],tbl_senario[[#This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0.01)) * StrSplit(tbl_senario[[#This Row],[param_senario9]],"|",2)</f>
        <v>-436897.59584678174</v>
      </c>
      <c r="AN12" s="17">
        <f ca="1">IF(tbl_senario[[#This Row],[prem_date]]&lt;=$B$4, 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0.01)+tbl_senario[[#This Row],[prem]],tbl_senario[[#This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0.01)) * StrSplit(tbl_senario[[#This Row],[param_senario10]],"|",2)</f>
        <v>2197086.7313017016</v>
      </c>
      <c r="AO12" s="17">
        <f ca="1">IF(tbl_senario[[#This Row],[prem_date]]&lt;=$B$4, 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0.01)+tbl_senario[[#This Row],[prem]],tbl_senario[[#This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0.01)) * StrSplit(tbl_senario[[#This Row],[param_senario11]],"|",2)</f>
        <v>2067210.8802017032</v>
      </c>
      <c r="AP12" s="17">
        <f ca="1">IF(tbl_senario[[#This Row],[prem_date]]&lt;=$B$4, 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0.01)+tbl_senario[[#This Row],[prem]],tbl_senario[[#This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0.01)) * StrSplit(tbl_senario[[#This Row],[param_senario12]],"|",2)</f>
        <v>-166420.09608217093</v>
      </c>
      <c r="AQ12" s="17">
        <f ca="1">IF(tbl_senario[[#This Row],[prem_date]]&lt;=$B$4, 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0.01)+tbl_senario[[#This Row],[prem]],tbl_senario[[#This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0.01)) * StrSplit(tbl_senario[[#This Row],[param_senario13]],"|",2)</f>
        <v>2721491.2192901573</v>
      </c>
    </row>
    <row r="13" spans="2:43">
      <c r="B13" s="18" t="s">
        <v>88</v>
      </c>
      <c r="C13" s="18" t="s">
        <v>80</v>
      </c>
      <c r="D13" s="18">
        <v>1000</v>
      </c>
      <c r="E13" s="18">
        <v>3650.00000142</v>
      </c>
      <c r="F13" s="16">
        <v>43132</v>
      </c>
      <c r="G13" s="16">
        <v>43205.625</v>
      </c>
      <c r="H13" s="16">
        <v>43132</v>
      </c>
      <c r="I13" s="18">
        <v>-429999.99489999999</v>
      </c>
      <c r="J13" s="18" t="s">
        <v>8</v>
      </c>
      <c r="K13" s="18" t="s">
        <v>84</v>
      </c>
      <c r="L13" s="18" t="s">
        <v>82</v>
      </c>
      <c r="M13" s="18">
        <v>10000</v>
      </c>
      <c r="N13" s="18">
        <v>3795</v>
      </c>
      <c r="O13" s="18">
        <v>0.18</v>
      </c>
      <c r="P13" s="18" t="s">
        <v>137</v>
      </c>
      <c r="Q13" s="18" t="s">
        <v>138</v>
      </c>
      <c r="R13" s="18" t="s">
        <v>139</v>
      </c>
      <c r="S13" s="18" t="s">
        <v>140</v>
      </c>
      <c r="T13" s="18" t="s">
        <v>141</v>
      </c>
      <c r="U13" s="18" t="s">
        <v>142</v>
      </c>
      <c r="V13" s="18" t="s">
        <v>140</v>
      </c>
      <c r="W13" s="18" t="s">
        <v>143</v>
      </c>
      <c r="X13" s="18" t="s">
        <v>144</v>
      </c>
      <c r="Y13" s="18" t="s">
        <v>145</v>
      </c>
      <c r="Z13" s="18" t="s">
        <v>146</v>
      </c>
      <c r="AA13" s="18" t="s">
        <v>147</v>
      </c>
      <c r="AB13" s="18" t="s">
        <v>148</v>
      </c>
      <c r="AC13" s="18">
        <v>0.12</v>
      </c>
      <c r="AD13" s="19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0.1661460101867572</v>
      </c>
      <c r="AE13" s="17">
        <f ca="1">IF(tbl_senario[[#This Row],[prem_date]]&lt;=$B$4, 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0.01)+tbl_senario[[#This Row],[prem]],tbl_senario[[#This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0.01)) * StrSplit(tbl_senario[[#This Row],[param_senario1]],"|",2)</f>
        <v>51101.507390331826</v>
      </c>
      <c r="AF13" s="17">
        <f ca="1">IF(tbl_senario[[#This Row],[prem_date]]&lt;=$B$4, 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0.01)+tbl_senario[[#This Row],[prem]],tbl_senario[[#This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0.01)) * StrSplit(tbl_senario[[#This Row],[param_senario2]],"|",2)</f>
        <v>-178765.46788241094</v>
      </c>
      <c r="AG13" s="17">
        <f ca="1">IF(tbl_senario[[#This Row],[prem_date]]&lt;=$B$4, 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0.01)+tbl_senario[[#This Row],[prem]],tbl_senario[[#This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0.01)) * StrSplit(tbl_senario[[#This Row],[param_senario3]],"|",2)</f>
        <v>-309392.48175371479</v>
      </c>
      <c r="AH13" s="17">
        <f ca="1">IF(tbl_senario[[#This Row],[prem_date]]&lt;=$B$4, 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0.01)+tbl_senario[[#This Row],[prem]],tbl_senario[[#This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0.01)) * StrSplit(tbl_senario[[#This Row],[param_senario4]],"|",2)</f>
        <v>-376720.70633169415</v>
      </c>
      <c r="AI13" s="17">
        <f ca="1">IF(tbl_senario[[#This Row],[prem_date]]&lt;=$B$4, 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0.01)+tbl_senario[[#This Row],[prem]],tbl_senario[[#This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0.01)) * StrSplit(tbl_senario[[#This Row],[param_senario5]],"|",2)</f>
        <v>417383.84413637879</v>
      </c>
      <c r="AJ13" s="17">
        <f ca="1">IF(tbl_senario[[#This Row],[prem_date]]&lt;=$B$4, 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0.01)+tbl_senario[[#This Row],[prem]],tbl_senario[[#This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0.01)) * StrSplit(tbl_senario[[#This Row],[param_senario6]],"|",2)</f>
        <v>946287.96567591024</v>
      </c>
      <c r="AK13" s="17">
        <f ca="1">IF(tbl_senario[[#This Row],[prem_date]]&lt;=$B$4, 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0.01)+tbl_senario[[#This Row],[prem]],tbl_senario[[#This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0.01)) * StrSplit(tbl_senario[[#This Row],[param_senario7]],"|",2)</f>
        <v>-376720.70633169415</v>
      </c>
      <c r="AL13" s="17">
        <f ca="1">IF(tbl_senario[[#This Row],[prem_date]]&lt;=$B$4, 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0.01)+tbl_senario[[#This Row],[prem]],tbl_senario[[#This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0.01)) * StrSplit(tbl_senario[[#This Row],[param_senario8]],"|",2)</f>
        <v>-346119.31840862427</v>
      </c>
      <c r="AM13" s="17">
        <f ca="1">IF(tbl_senario[[#This Row],[prem_date]]&lt;=$B$4, 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0.01)+tbl_senario[[#This Row],[prem]],tbl_senario[[#This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0.01)) * StrSplit(tbl_senario[[#This Row],[param_senario9]],"|",2)</f>
        <v>-399826.48361958435</v>
      </c>
      <c r="AN13" s="17">
        <f ca="1">IF(tbl_senario[[#This Row],[prem_date]]&lt;=$B$4, 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0.01)+tbl_senario[[#This Row],[prem]],tbl_senario[[#This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0.01)) * StrSplit(tbl_senario[[#This Row],[param_senario10]],"|",2)</f>
        <v>1723069.3453935662</v>
      </c>
      <c r="AO13" s="17">
        <f ca="1">IF(tbl_senario[[#This Row],[prem_date]]&lt;=$B$4, 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0.01)+tbl_senario[[#This Row],[prem]],tbl_senario[[#This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0.01)) * StrSplit(tbl_senario[[#This Row],[param_senario11]],"|",2)</f>
        <v>1563191.1907297212</v>
      </c>
      <c r="AP13" s="17">
        <f ca="1">IF(tbl_senario[[#This Row],[prem_date]]&lt;=$B$4, 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0.01)+tbl_senario[[#This Row],[prem]],tbl_senario[[#This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0.01)) * StrSplit(tbl_senario[[#This Row],[param_senario12]],"|",2)</f>
        <v>-143163.07608814904</v>
      </c>
      <c r="AQ13" s="17">
        <f ca="1">IF(tbl_senario[[#This Row],[prem_date]]&lt;=$B$4, 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0.01)+tbl_senario[[#This Row],[prem]],tbl_senario[[#This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0.01)) * StrSplit(tbl_senario[[#This Row],[param_senario13]],"|",2)</f>
        <v>2512454.0004732227</v>
      </c>
    </row>
    <row r="14" spans="2:43">
      <c r="B14" s="18" t="s">
        <v>89</v>
      </c>
      <c r="C14" s="18" t="s">
        <v>80</v>
      </c>
      <c r="D14" s="18">
        <v>1000</v>
      </c>
      <c r="E14" s="18">
        <v>3650.0000014560001</v>
      </c>
      <c r="F14" s="16">
        <v>43129</v>
      </c>
      <c r="G14" s="16">
        <v>43189.625</v>
      </c>
      <c r="H14" s="16">
        <v>43129</v>
      </c>
      <c r="I14" s="18">
        <v>-470000.00880000001</v>
      </c>
      <c r="J14" s="18" t="s">
        <v>8</v>
      </c>
      <c r="K14" s="18" t="s">
        <v>84</v>
      </c>
      <c r="L14" s="18" t="s">
        <v>82</v>
      </c>
      <c r="M14" s="18">
        <v>10000</v>
      </c>
      <c r="N14" s="18">
        <v>3795</v>
      </c>
      <c r="O14" s="18">
        <v>0.18</v>
      </c>
      <c r="P14" s="18" t="s">
        <v>137</v>
      </c>
      <c r="Q14" s="18" t="s">
        <v>138</v>
      </c>
      <c r="R14" s="18" t="s">
        <v>139</v>
      </c>
      <c r="S14" s="18" t="s">
        <v>140</v>
      </c>
      <c r="T14" s="18" t="s">
        <v>141</v>
      </c>
      <c r="U14" s="18" t="s">
        <v>142</v>
      </c>
      <c r="V14" s="18" t="s">
        <v>140</v>
      </c>
      <c r="W14" s="18" t="s">
        <v>143</v>
      </c>
      <c r="X14" s="18" t="s">
        <v>144</v>
      </c>
      <c r="Y14" s="18" t="s">
        <v>145</v>
      </c>
      <c r="Z14" s="18" t="s">
        <v>146</v>
      </c>
      <c r="AA14" s="18" t="s">
        <v>147</v>
      </c>
      <c r="AB14" s="18" t="s">
        <v>148</v>
      </c>
      <c r="AC14" s="18">
        <v>0.12</v>
      </c>
      <c r="AD14" s="19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0.1602061855670103</v>
      </c>
      <c r="AE14" s="17">
        <f ca="1">IF(tbl_senario[[#This Row],[prem_date]]&lt;=$B$4, 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0.01)+tbl_senario[[#This Row],[prem]],tbl_senario[[#This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0.01)) * StrSplit(tbl_senario[[#This Row],[param_senario1]],"|",2)</f>
        <v>-122873.59007787838</v>
      </c>
      <c r="AF14" s="17">
        <f ca="1">IF(tbl_senario[[#This Row],[prem_date]]&lt;=$B$4, 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0.01)+tbl_senario[[#This Row],[prem]],tbl_senario[[#This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0.01)) * StrSplit(tbl_senario[[#This Row],[param_senario2]],"|",2)</f>
        <v>-315896.59084878664</v>
      </c>
      <c r="AG14" s="17">
        <f ca="1">IF(tbl_senario[[#This Row],[prem_date]]&lt;=$B$4, 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0.01)+tbl_senario[[#This Row],[prem]],tbl_senario[[#This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0.01)) * StrSplit(tbl_senario[[#This Row],[param_senario3]],"|",2)</f>
        <v>-409555.49941070814</v>
      </c>
      <c r="AH14" s="17">
        <f ca="1">IF(tbl_senario[[#This Row],[prem_date]]&lt;=$B$4, 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0.01)+tbl_senario[[#This Row],[prem]],tbl_senario[[#This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0.01)) * StrSplit(tbl_senario[[#This Row],[param_senario4]],"|",2)</f>
        <v>-449027.68896233727</v>
      </c>
      <c r="AI14" s="17">
        <f ca="1">IF(tbl_senario[[#This Row],[prem_date]]&lt;=$B$4, 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0.01)+tbl_senario[[#This Row],[prem]],tbl_senario[[#This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0.01)) * StrSplit(tbl_senario[[#This Row],[param_senario5]],"|",2)</f>
        <v>221963.14312750945</v>
      </c>
      <c r="AJ14" s="17">
        <f ca="1">IF(tbl_senario[[#This Row],[prem_date]]&lt;=$B$4, 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0.01)+tbl_senario[[#This Row],[prem]],tbl_senario[[#This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0.01)) * StrSplit(tbl_senario[[#This Row],[param_senario6]],"|",2)</f>
        <v>757211.11362160114</v>
      </c>
      <c r="AK14" s="17">
        <f ca="1">IF(tbl_senario[[#This Row],[prem_date]]&lt;=$B$4, 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0.01)+tbl_senario[[#This Row],[prem]],tbl_senario[[#This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0.01)) * StrSplit(tbl_senario[[#This Row],[param_senario7]],"|",2)</f>
        <v>-449027.68896233727</v>
      </c>
      <c r="AL14" s="17">
        <f ca="1">IF(tbl_senario[[#This Row],[prem_date]]&lt;=$B$4, 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0.01)+tbl_senario[[#This Row],[prem]],tbl_senario[[#This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0.01)) * StrSplit(tbl_senario[[#This Row],[param_senario8]],"|",2)</f>
        <v>-433280.85655921925</v>
      </c>
      <c r="AM14" s="17">
        <f ca="1">IF(tbl_senario[[#This Row],[prem_date]]&lt;=$B$4, 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0.01)+tbl_senario[[#This Row],[prem]],tbl_senario[[#This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0.01)) * StrSplit(tbl_senario[[#This Row],[param_senario9]],"|",2)</f>
        <v>-459682.70836998499</v>
      </c>
      <c r="AN14" s="17">
        <f ca="1">IF(tbl_senario[[#This Row],[prem_date]]&lt;=$B$4, 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0.01)+tbl_senario[[#This Row],[prem]],tbl_senario[[#This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0.01)) * StrSplit(tbl_senario[[#This Row],[param_senario10]],"|",2)</f>
        <v>1549286.2381606142</v>
      </c>
      <c r="AO14" s="17">
        <f ca="1">IF(tbl_senario[[#This Row],[prem_date]]&lt;=$B$4, 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0.01)+tbl_senario[[#This Row],[prem]],tbl_senario[[#This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0.01)) * StrSplit(tbl_senario[[#This Row],[param_senario11]],"|",2)</f>
        <v>1425351.0327838419</v>
      </c>
      <c r="AP14" s="17">
        <f ca="1">IF(tbl_senario[[#This Row],[prem_date]]&lt;=$B$4, 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0.01)+tbl_senario[[#This Row],[prem]],tbl_senario[[#This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0.01)) * StrSplit(tbl_senario[[#This Row],[param_senario12]],"|",2)</f>
        <v>-156508.82263442496</v>
      </c>
      <c r="AQ14" s="17">
        <f ca="1">IF(tbl_senario[[#This Row],[prem_date]]&lt;=$B$4, 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0.01)+tbl_senario[[#This Row],[prem]],tbl_senario[[#This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0.01)) * StrSplit(tbl_senario[[#This Row],[param_senario13]],"|",2)</f>
        <v>2501419.6299454519</v>
      </c>
    </row>
    <row r="15" spans="2:43">
      <c r="B15" s="18" t="s">
        <v>90</v>
      </c>
      <c r="C15" s="18" t="s">
        <v>80</v>
      </c>
      <c r="D15" s="18">
        <v>500</v>
      </c>
      <c r="E15" s="18">
        <v>3550.00000086</v>
      </c>
      <c r="F15" s="16">
        <v>43104</v>
      </c>
      <c r="G15" s="16">
        <v>43167.625</v>
      </c>
      <c r="H15" s="16">
        <v>43104</v>
      </c>
      <c r="I15" s="18">
        <v>-315000.00594</v>
      </c>
      <c r="J15" s="18" t="s">
        <v>8</v>
      </c>
      <c r="K15" s="18" t="s">
        <v>84</v>
      </c>
      <c r="L15" s="18" t="s">
        <v>82</v>
      </c>
      <c r="M15" s="18">
        <v>5000</v>
      </c>
      <c r="N15" s="18">
        <v>3795</v>
      </c>
      <c r="O15" s="18">
        <v>0.18</v>
      </c>
      <c r="P15" s="18" t="s">
        <v>137</v>
      </c>
      <c r="Q15" s="18" t="s">
        <v>138</v>
      </c>
      <c r="R15" s="18" t="s">
        <v>139</v>
      </c>
      <c r="S15" s="18" t="s">
        <v>140</v>
      </c>
      <c r="T15" s="18" t="s">
        <v>141</v>
      </c>
      <c r="U15" s="18" t="s">
        <v>142</v>
      </c>
      <c r="V15" s="18" t="s">
        <v>140</v>
      </c>
      <c r="W15" s="18" t="s">
        <v>143</v>
      </c>
      <c r="X15" s="18" t="s">
        <v>144</v>
      </c>
      <c r="Y15" s="18" t="s">
        <v>145</v>
      </c>
      <c r="Z15" s="18" t="s">
        <v>146</v>
      </c>
      <c r="AA15" s="18" t="s">
        <v>147</v>
      </c>
      <c r="AB15" s="18" t="s">
        <v>148</v>
      </c>
      <c r="AC15" s="18">
        <v>0.12</v>
      </c>
      <c r="AD15" s="19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0.13756385068762278</v>
      </c>
      <c r="AE15" s="17">
        <f ca="1">IF(tbl_senario[[#This Row],[prem_date]]&lt;=$B$4, 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0.01)+tbl_senario[[#This Row],[prem]],tbl_senario[[#This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0.01)) * StrSplit(tbl_senario[[#This Row],[param_senario1]],"|",2)</f>
        <v>-299295.19063042448</v>
      </c>
      <c r="AF15" s="17">
        <f ca="1">IF(tbl_senario[[#This Row],[prem_date]]&lt;=$B$4, 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0.01)+tbl_senario[[#This Row],[prem]],tbl_senario[[#This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0.01)) * StrSplit(tbl_senario[[#This Row],[param_senario2]],"|",2)</f>
        <v>-312333.04403341771</v>
      </c>
      <c r="AG15" s="17">
        <f ca="1">IF(tbl_senario[[#This Row],[prem_date]]&lt;=$B$4, 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0.01)+tbl_senario[[#This Row],[prem]],tbl_senario[[#This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0.01)) * StrSplit(tbl_senario[[#This Row],[param_senario3]],"|",2)</f>
        <v>-314670.06326045416</v>
      </c>
      <c r="AH15" s="17">
        <f ca="1">IF(tbl_senario[[#This Row],[prem_date]]&lt;=$B$4, 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0.01)+tbl_senario[[#This Row],[prem]],tbl_senario[[#This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0.01)) * StrSplit(tbl_senario[[#This Row],[param_senario4]],"|",2)</f>
        <v>-314969.95268725464</v>
      </c>
      <c r="AI15" s="17">
        <f ca="1">IF(tbl_senario[[#This Row],[prem_date]]&lt;=$B$4, 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0.01)+tbl_senario[[#This Row],[prem]],tbl_senario[[#This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0.01)) * StrSplit(tbl_senario[[#This Row],[param_senario5]],"|",2)</f>
        <v>-247871.30689841043</v>
      </c>
      <c r="AJ15" s="17">
        <f ca="1">IF(tbl_senario[[#This Row],[prem_date]]&lt;=$B$4, 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0.01)+tbl_senario[[#This Row],[prem]],tbl_senario[[#This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0.01)) * StrSplit(tbl_senario[[#This Row],[param_senario6]],"|",2)</f>
        <v>-105027.32353413332</v>
      </c>
      <c r="AK15" s="17">
        <f ca="1">IF(tbl_senario[[#This Row],[prem_date]]&lt;=$B$4, 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0.01)+tbl_senario[[#This Row],[prem]],tbl_senario[[#This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0.01)) * StrSplit(tbl_senario[[#This Row],[param_senario7]],"|",2)</f>
        <v>-314969.95268725464</v>
      </c>
      <c r="AL15" s="17">
        <f ca="1">IF(tbl_senario[[#This Row],[prem_date]]&lt;=$B$4, 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0.01)+tbl_senario[[#This Row],[prem]],tbl_senario[[#This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0.01)) * StrSplit(tbl_senario[[#This Row],[param_senario8]],"|",2)</f>
        <v>-314880.55881353177</v>
      </c>
      <c r="AM15" s="17">
        <f ca="1">IF(tbl_senario[[#This Row],[prem_date]]&lt;=$B$4, 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0.01)+tbl_senario[[#This Row],[prem]],tbl_senario[[#This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0.01)) * StrSplit(tbl_senario[[#This Row],[param_senario9]],"|",2)</f>
        <v>-314995.07407209405</v>
      </c>
      <c r="AN15" s="17">
        <f ca="1">IF(tbl_senario[[#This Row],[prem_date]]&lt;=$B$4, 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0.01)+tbl_senario[[#This Row],[prem]],tbl_senario[[#This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0.01)) * StrSplit(tbl_senario[[#This Row],[param_senario10]],"|",2)</f>
        <v>203566.62227942492</v>
      </c>
      <c r="AO15" s="17">
        <f ca="1">IF(tbl_senario[[#This Row],[prem_date]]&lt;=$B$4, 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0.01)+tbl_senario[[#This Row],[prem]],tbl_senario[[#This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0.01)) * StrSplit(tbl_senario[[#This Row],[param_senario11]],"|",2)</f>
        <v>153111.88434619451</v>
      </c>
      <c r="AP15" s="17">
        <f ca="1">IF(tbl_senario[[#This Row],[prem_date]]&lt;=$B$4, 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0.01)+tbl_senario[[#This Row],[prem]],tbl_senario[[#This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0.01)) * StrSplit(tbl_senario[[#This Row],[param_senario12]],"|",2)</f>
        <v>-104895.00197799812</v>
      </c>
      <c r="AQ15" s="17">
        <f ca="1">IF(tbl_senario[[#This Row],[prem_date]]&lt;=$B$4, 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0.01)+tbl_senario[[#This Row],[prem]],tbl_senario[[#This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0.01)) * StrSplit(tbl_senario[[#This Row],[param_senario13]],"|",2)</f>
        <v>1059341.3102268255</v>
      </c>
    </row>
    <row r="16" spans="2:43">
      <c r="B16" s="18" t="s">
        <v>90</v>
      </c>
      <c r="C16" s="18" t="s">
        <v>80</v>
      </c>
      <c r="D16" s="18">
        <v>500</v>
      </c>
      <c r="E16" s="18">
        <v>3550.00000086</v>
      </c>
      <c r="F16" s="16">
        <v>43104</v>
      </c>
      <c r="G16" s="16">
        <v>43167.625</v>
      </c>
      <c r="H16" s="16">
        <v>43167</v>
      </c>
      <c r="I16" s="18">
        <v>-315000.00594</v>
      </c>
      <c r="J16" s="18" t="s">
        <v>8</v>
      </c>
      <c r="K16" s="18" t="s">
        <v>84</v>
      </c>
      <c r="L16" s="18" t="s">
        <v>82</v>
      </c>
      <c r="M16" s="18">
        <v>5000</v>
      </c>
      <c r="N16" s="18">
        <v>3795</v>
      </c>
      <c r="O16" s="18">
        <v>0.18</v>
      </c>
      <c r="P16" s="18" t="s">
        <v>137</v>
      </c>
      <c r="Q16" s="18" t="s">
        <v>138</v>
      </c>
      <c r="R16" s="18" t="s">
        <v>139</v>
      </c>
      <c r="S16" s="18" t="s">
        <v>140</v>
      </c>
      <c r="T16" s="18" t="s">
        <v>141</v>
      </c>
      <c r="U16" s="18" t="s">
        <v>142</v>
      </c>
      <c r="V16" s="18" t="s">
        <v>140</v>
      </c>
      <c r="W16" s="18" t="s">
        <v>143</v>
      </c>
      <c r="X16" s="18" t="s">
        <v>144</v>
      </c>
      <c r="Y16" s="18" t="s">
        <v>145</v>
      </c>
      <c r="Z16" s="18" t="s">
        <v>146</v>
      </c>
      <c r="AA16" s="18" t="s">
        <v>147</v>
      </c>
      <c r="AB16" s="18" t="s">
        <v>148</v>
      </c>
      <c r="AC16" s="18">
        <v>0.12</v>
      </c>
      <c r="AD16" s="19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0.13756385068762278</v>
      </c>
      <c r="AE16" s="17">
        <f ca="1">IF(tbl_senario[[#This Row],[prem_date]]&lt;=$B$4, 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0.01)+tbl_senario[[#This Row],[prem]],tbl_senario[[#This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0.01)) * StrSplit(tbl_senario[[#This Row],[param_senario1]],"|",2)</f>
        <v>15704.815309575542</v>
      </c>
      <c r="AF16" s="17">
        <f ca="1">IF(tbl_senario[[#This Row],[prem_date]]&lt;=$B$4, 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0.01)+tbl_senario[[#This Row],[prem]],tbl_senario[[#This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0.01)) * StrSplit(tbl_senario[[#This Row],[param_senario2]],"|",2)</f>
        <v>2666.9619065823199</v>
      </c>
      <c r="AG16" s="17">
        <f ca="1">IF(tbl_senario[[#This Row],[prem_date]]&lt;=$B$4, 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0.01)+tbl_senario[[#This Row],[prem]],tbl_senario[[#This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0.01)) * StrSplit(tbl_senario[[#This Row],[param_senario3]],"|",2)</f>
        <v>329.94267954581437</v>
      </c>
      <c r="AH16" s="17">
        <f ca="1">IF(tbl_senario[[#This Row],[prem_date]]&lt;=$B$4, 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0.01)+tbl_senario[[#This Row],[prem]],tbl_senario[[#This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0.01)) * StrSplit(tbl_senario[[#This Row],[param_senario4]],"|",2)</f>
        <v>30.053252745388164</v>
      </c>
      <c r="AI16" s="17">
        <f ca="1">IF(tbl_senario[[#This Row],[prem_date]]&lt;=$B$4, 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0.01)+tbl_senario[[#This Row],[prem]],tbl_senario[[#This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0.01)) * StrSplit(tbl_senario[[#This Row],[param_senario5]],"|",2)</f>
        <v>67128.699041589556</v>
      </c>
      <c r="AJ16" s="17">
        <f ca="1">IF(tbl_senario[[#This Row],[prem_date]]&lt;=$B$4, 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0.01)+tbl_senario[[#This Row],[prem]],tbl_senario[[#This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0.01)) * StrSplit(tbl_senario[[#This Row],[param_senario6]],"|",2)</f>
        <v>209972.68240586668</v>
      </c>
      <c r="AK16" s="17">
        <f ca="1">IF(tbl_senario[[#This Row],[prem_date]]&lt;=$B$4, 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0.01)+tbl_senario[[#This Row],[prem]],tbl_senario[[#This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0.01)) * StrSplit(tbl_senario[[#This Row],[param_senario7]],"|",2)</f>
        <v>30.053252745388164</v>
      </c>
      <c r="AL16" s="17">
        <f ca="1">IF(tbl_senario[[#This Row],[prem_date]]&lt;=$B$4, 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0.01)+tbl_senario[[#This Row],[prem]],tbl_senario[[#This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0.01)) * StrSplit(tbl_senario[[#This Row],[param_senario8]],"|",2)</f>
        <v>119.447126468215</v>
      </c>
      <c r="AM16" s="17">
        <f ca="1">IF(tbl_senario[[#This Row],[prem_date]]&lt;=$B$4, 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0.01)+tbl_senario[[#This Row],[prem]],tbl_senario[[#This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0.01)) * StrSplit(tbl_senario[[#This Row],[param_senario9]],"|",2)</f>
        <v>4.931867905976925</v>
      </c>
      <c r="AN16" s="17">
        <f ca="1">IF(tbl_senario[[#This Row],[prem_date]]&lt;=$B$4, 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0.01)+tbl_senario[[#This Row],[prem]],tbl_senario[[#This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0.01)) * StrSplit(tbl_senario[[#This Row],[param_senario10]],"|",2)</f>
        <v>518566.62821942492</v>
      </c>
      <c r="AO16" s="17">
        <f ca="1">IF(tbl_senario[[#This Row],[prem_date]]&lt;=$B$4, 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0.01)+tbl_senario[[#This Row],[prem]],tbl_senario[[#This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0.01)) * StrSplit(tbl_senario[[#This Row],[param_senario11]],"|",2)</f>
        <v>468111.89028619451</v>
      </c>
      <c r="AP16" s="17">
        <f ca="1">IF(tbl_senario[[#This Row],[prem_date]]&lt;=$B$4, 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0.01)+tbl_senario[[#This Row],[prem]],tbl_senario[[#This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0.01)) * StrSplit(tbl_senario[[#This Row],[param_senario12]],"|",2)</f>
        <v>2.1884872386466663E-8</v>
      </c>
      <c r="AQ16" s="17">
        <f ca="1">IF(tbl_senario[[#This Row],[prem_date]]&lt;=$B$4, 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0.01)+tbl_senario[[#This Row],[prem]],tbl_senario[[#This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0.01)) * StrSplit(tbl_senario[[#This Row],[param_senario13]],"|",2)</f>
        <v>1164236.3122048455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152400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21"/>
  <sheetViews>
    <sheetView workbookViewId="0">
      <selection activeCell="A25" sqref="A25:B30"/>
    </sheetView>
  </sheetViews>
  <sheetFormatPr defaultRowHeight="12"/>
  <cols>
    <col min="1" max="1" width="9" style="6"/>
    <col min="2" max="2" width="34.25" style="6" customWidth="1"/>
    <col min="3" max="3" width="9.5" style="6" customWidth="1"/>
    <col min="4" max="4" width="14" style="6" customWidth="1"/>
    <col min="5" max="5" width="15.125" style="6" customWidth="1"/>
    <col min="6" max="6" width="14" style="6" customWidth="1"/>
    <col min="7" max="7" width="12.875" style="6" customWidth="1"/>
    <col min="8" max="8" width="9" style="6"/>
    <col min="9" max="9" width="14" style="6" customWidth="1"/>
    <col min="10" max="10" width="10.625" style="6" customWidth="1"/>
    <col min="11" max="11" width="9.5" style="6" customWidth="1"/>
    <col min="12" max="16384" width="9" style="6"/>
  </cols>
  <sheetData>
    <row r="8" spans="2:14">
      <c r="B8" s="8" t="s">
        <v>4</v>
      </c>
      <c r="C8" s="1" t="s">
        <v>103</v>
      </c>
      <c r="D8" s="1" t="s">
        <v>104</v>
      </c>
      <c r="E8" s="2" t="s">
        <v>105</v>
      </c>
      <c r="F8" s="1" t="s">
        <v>106</v>
      </c>
      <c r="G8" s="1" t="s">
        <v>107</v>
      </c>
      <c r="H8" s="1" t="s">
        <v>108</v>
      </c>
      <c r="I8" s="1" t="s">
        <v>109</v>
      </c>
      <c r="J8" s="1" t="s">
        <v>110</v>
      </c>
      <c r="K8" s="1" t="s">
        <v>5</v>
      </c>
      <c r="L8" s="1" t="s">
        <v>6</v>
      </c>
      <c r="M8" s="1" t="s">
        <v>111</v>
      </c>
      <c r="N8" s="6" t="s">
        <v>122</v>
      </c>
    </row>
    <row r="9" spans="2:14">
      <c r="B9" s="5" t="s">
        <v>7</v>
      </c>
      <c r="C9" s="5">
        <v>100</v>
      </c>
      <c r="D9" s="4">
        <v>43123</v>
      </c>
      <c r="E9" s="4">
        <v>43183.625</v>
      </c>
      <c r="F9" s="4">
        <v>43183</v>
      </c>
      <c r="G9" s="4">
        <v>43123</v>
      </c>
      <c r="H9" s="5">
        <v>50000.000004000001</v>
      </c>
      <c r="I9" s="5">
        <v>-50000.004000000001</v>
      </c>
      <c r="J9" s="5" t="s">
        <v>8</v>
      </c>
      <c r="K9" s="5">
        <v>1</v>
      </c>
      <c r="L9" s="5" t="s">
        <v>9</v>
      </c>
      <c r="M9" s="5" t="s">
        <v>58</v>
      </c>
    </row>
    <row r="10" spans="2:14">
      <c r="B10" s="5" t="s">
        <v>10</v>
      </c>
      <c r="C10" s="5">
        <v>400</v>
      </c>
      <c r="D10" s="4">
        <v>43118</v>
      </c>
      <c r="E10" s="4">
        <v>43200.625</v>
      </c>
      <c r="F10" s="4">
        <v>43202</v>
      </c>
      <c r="G10" s="4">
        <v>43118</v>
      </c>
      <c r="H10" s="5">
        <v>14500.000004</v>
      </c>
      <c r="I10" s="5">
        <v>-400000</v>
      </c>
      <c r="J10" s="5" t="s">
        <v>8</v>
      </c>
      <c r="K10" s="5">
        <v>1</v>
      </c>
      <c r="L10" s="5" t="s">
        <v>11</v>
      </c>
      <c r="M10" s="5" t="s">
        <v>59</v>
      </c>
    </row>
    <row r="11" spans="2:14">
      <c r="B11" s="5" t="s">
        <v>12</v>
      </c>
      <c r="C11" s="5">
        <v>-100</v>
      </c>
      <c r="D11" s="4">
        <v>43109</v>
      </c>
      <c r="E11" s="4">
        <v>43137.625</v>
      </c>
      <c r="F11" s="4">
        <v>43137</v>
      </c>
      <c r="G11" s="4">
        <v>43109</v>
      </c>
      <c r="H11" s="5">
        <v>3749.9999986319999</v>
      </c>
      <c r="I11" s="5">
        <v>14999.99934</v>
      </c>
      <c r="J11" s="5" t="s">
        <v>8</v>
      </c>
      <c r="K11" s="5">
        <v>1</v>
      </c>
      <c r="L11" s="5" t="s">
        <v>13</v>
      </c>
      <c r="M11" s="5" t="s">
        <v>60</v>
      </c>
    </row>
    <row r="12" spans="2:14">
      <c r="B12" s="5" t="s">
        <v>52</v>
      </c>
      <c r="C12" s="5">
        <v>125</v>
      </c>
      <c r="D12" s="4">
        <v>43098</v>
      </c>
      <c r="E12" s="4">
        <v>43159.625</v>
      </c>
      <c r="F12" s="4">
        <v>43279</v>
      </c>
      <c r="G12" s="4">
        <v>43098</v>
      </c>
      <c r="H12" s="5">
        <v>10039.999997630001</v>
      </c>
      <c r="I12" s="5">
        <v>0</v>
      </c>
      <c r="J12" s="5" t="s">
        <v>56</v>
      </c>
      <c r="K12" s="5">
        <v>1</v>
      </c>
      <c r="L12" s="6" t="s">
        <v>57</v>
      </c>
      <c r="M12" s="6" t="s">
        <v>62</v>
      </c>
    </row>
    <row r="13" spans="2:14">
      <c r="B13" s="5" t="s">
        <v>53</v>
      </c>
      <c r="C13" s="5">
        <v>-125</v>
      </c>
      <c r="D13" s="4">
        <v>43098</v>
      </c>
      <c r="E13" s="4">
        <v>43159.625</v>
      </c>
      <c r="F13" s="4">
        <v>43279</v>
      </c>
      <c r="G13" s="4">
        <v>43098</v>
      </c>
      <c r="H13" s="5">
        <v>9500.0000023699995</v>
      </c>
      <c r="I13" s="5">
        <v>9375</v>
      </c>
      <c r="J13" s="5" t="s">
        <v>8</v>
      </c>
      <c r="K13" s="5">
        <v>1</v>
      </c>
      <c r="L13" s="6" t="s">
        <v>57</v>
      </c>
      <c r="M13" s="6" t="s">
        <v>62</v>
      </c>
    </row>
    <row r="14" spans="2:14">
      <c r="B14" s="5" t="s">
        <v>54</v>
      </c>
      <c r="C14" s="5">
        <v>35</v>
      </c>
      <c r="D14" s="4">
        <v>43067</v>
      </c>
      <c r="E14" s="4">
        <v>43104.625</v>
      </c>
      <c r="F14" s="4">
        <v>43105</v>
      </c>
      <c r="G14" s="4">
        <v>43067</v>
      </c>
      <c r="H14" s="5">
        <v>3824.9999984749998</v>
      </c>
      <c r="I14" s="5">
        <v>-3071.2499606250003</v>
      </c>
      <c r="J14" s="5" t="s">
        <v>8</v>
      </c>
      <c r="K14" s="5">
        <v>1</v>
      </c>
      <c r="L14" s="6" t="s">
        <v>13</v>
      </c>
      <c r="M14" s="6" t="s">
        <v>60</v>
      </c>
    </row>
    <row r="15" spans="2:14">
      <c r="B15" s="5" t="s">
        <v>55</v>
      </c>
      <c r="C15" s="5">
        <v>35</v>
      </c>
      <c r="D15" s="4">
        <v>43067</v>
      </c>
      <c r="E15" s="4">
        <v>43104.625</v>
      </c>
      <c r="F15" s="4">
        <v>43105</v>
      </c>
      <c r="G15" s="4">
        <v>43067</v>
      </c>
      <c r="H15" s="5">
        <v>4105</v>
      </c>
      <c r="I15" s="5">
        <v>-6427.0079999999998</v>
      </c>
      <c r="J15" s="5" t="s">
        <v>56</v>
      </c>
      <c r="K15" s="5">
        <v>1</v>
      </c>
      <c r="L15" s="6" t="s">
        <v>13</v>
      </c>
      <c r="M15" s="6" t="s">
        <v>60</v>
      </c>
      <c r="N15" s="6">
        <v>0.12</v>
      </c>
    </row>
    <row r="16" spans="2:14">
      <c r="B16" s="5" t="s">
        <v>86</v>
      </c>
      <c r="C16" s="3">
        <v>500</v>
      </c>
      <c r="D16" s="4">
        <v>43140</v>
      </c>
      <c r="E16" s="4">
        <v>43219.625</v>
      </c>
      <c r="F16" s="4">
        <v>43219</v>
      </c>
      <c r="G16" s="4">
        <v>43140</v>
      </c>
      <c r="H16" s="12">
        <v>3699.9999992799999</v>
      </c>
      <c r="I16" s="12">
        <v>-275000.00800000003</v>
      </c>
      <c r="J16" s="3" t="s">
        <v>8</v>
      </c>
      <c r="K16" s="5">
        <v>1</v>
      </c>
      <c r="L16" s="3" t="s">
        <v>84</v>
      </c>
      <c r="M16" s="6" t="s">
        <v>81</v>
      </c>
      <c r="N16" s="6">
        <v>0.12</v>
      </c>
    </row>
    <row r="17" spans="2:14">
      <c r="B17" s="5" t="s">
        <v>87</v>
      </c>
      <c r="C17" s="3">
        <v>1000</v>
      </c>
      <c r="D17" s="4">
        <v>43140</v>
      </c>
      <c r="E17" s="4">
        <v>43205.625</v>
      </c>
      <c r="F17" s="4">
        <v>43205</v>
      </c>
      <c r="G17" s="4">
        <v>43140</v>
      </c>
      <c r="H17" s="12">
        <v>3720.0000015999999</v>
      </c>
      <c r="I17" s="12">
        <v>-499999.99575</v>
      </c>
      <c r="J17" s="3" t="s">
        <v>8</v>
      </c>
      <c r="K17" s="5">
        <v>1</v>
      </c>
      <c r="L17" s="3" t="s">
        <v>84</v>
      </c>
      <c r="M17" s="6" t="s">
        <v>81</v>
      </c>
      <c r="N17" s="6">
        <v>0.12</v>
      </c>
    </row>
    <row r="18" spans="2:14">
      <c r="B18" s="5" t="s">
        <v>88</v>
      </c>
      <c r="C18" s="3">
        <v>1000</v>
      </c>
      <c r="D18" s="4">
        <v>43132</v>
      </c>
      <c r="E18" s="4">
        <v>43205.625</v>
      </c>
      <c r="F18" s="4">
        <v>43205</v>
      </c>
      <c r="G18" s="4">
        <v>43132</v>
      </c>
      <c r="H18" s="3">
        <v>3650.00000142</v>
      </c>
      <c r="I18" s="3">
        <v>-429999.99489999999</v>
      </c>
      <c r="J18" s="3" t="s">
        <v>8</v>
      </c>
      <c r="K18" s="5">
        <v>1</v>
      </c>
      <c r="L18" s="3" t="s">
        <v>84</v>
      </c>
      <c r="M18" s="6" t="s">
        <v>81</v>
      </c>
      <c r="N18" s="6">
        <v>0.12</v>
      </c>
    </row>
    <row r="19" spans="2:14">
      <c r="B19" s="5" t="s">
        <v>89</v>
      </c>
      <c r="C19" s="3">
        <v>1000</v>
      </c>
      <c r="D19" s="4">
        <v>43129</v>
      </c>
      <c r="E19" s="4">
        <v>43189.625</v>
      </c>
      <c r="F19" s="4">
        <v>43189</v>
      </c>
      <c r="G19" s="4">
        <v>43129</v>
      </c>
      <c r="H19" s="3">
        <v>3650.0000014560001</v>
      </c>
      <c r="I19" s="3">
        <v>-470000.00880000001</v>
      </c>
      <c r="J19" s="3" t="s">
        <v>8</v>
      </c>
      <c r="K19" s="5">
        <v>1</v>
      </c>
      <c r="L19" s="3" t="s">
        <v>84</v>
      </c>
      <c r="M19" s="6" t="s">
        <v>81</v>
      </c>
      <c r="N19" s="6">
        <v>0.12</v>
      </c>
    </row>
    <row r="20" spans="2:14">
      <c r="B20" s="5" t="s">
        <v>90</v>
      </c>
      <c r="C20" s="3">
        <v>500</v>
      </c>
      <c r="D20" s="4">
        <v>43104</v>
      </c>
      <c r="E20" s="4">
        <v>43167.625</v>
      </c>
      <c r="F20" s="4">
        <v>43167</v>
      </c>
      <c r="G20" s="4">
        <v>43104</v>
      </c>
      <c r="H20" s="3">
        <v>3550.00000086</v>
      </c>
      <c r="I20" s="3">
        <v>-315000.00594</v>
      </c>
      <c r="J20" s="3" t="s">
        <v>8</v>
      </c>
      <c r="K20" s="5">
        <v>1</v>
      </c>
      <c r="L20" s="3" t="s">
        <v>84</v>
      </c>
      <c r="M20" s="6" t="s">
        <v>81</v>
      </c>
      <c r="N20" s="6">
        <v>0.12</v>
      </c>
    </row>
    <row r="21" spans="2:14">
      <c r="B21" s="5" t="s">
        <v>90</v>
      </c>
      <c r="C21" s="5">
        <v>500</v>
      </c>
      <c r="D21" s="4">
        <v>43104</v>
      </c>
      <c r="E21" s="4">
        <v>43167.625</v>
      </c>
      <c r="F21" s="4">
        <v>43167</v>
      </c>
      <c r="G21" s="4">
        <v>43167</v>
      </c>
      <c r="H21" s="5">
        <v>3550.00000086</v>
      </c>
      <c r="I21" s="5">
        <v>-315000.00594</v>
      </c>
      <c r="J21" s="5" t="s">
        <v>8</v>
      </c>
      <c r="K21" s="5">
        <v>1</v>
      </c>
      <c r="L21" s="5" t="s">
        <v>84</v>
      </c>
      <c r="M21" s="6" t="s">
        <v>81</v>
      </c>
      <c r="N21" s="6">
        <v>0.12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I12"/>
  <sheetViews>
    <sheetView workbookViewId="0">
      <selection activeCell="I12" sqref="I12"/>
    </sheetView>
  </sheetViews>
  <sheetFormatPr defaultRowHeight="12"/>
  <cols>
    <col min="1" max="1" width="9" style="6"/>
    <col min="2" max="2" width="9.5" style="6" customWidth="1"/>
    <col min="3" max="5" width="10.625" style="6" customWidth="1"/>
    <col min="6" max="7" width="9" style="6"/>
    <col min="8" max="8" width="14.125" style="6" customWidth="1"/>
    <col min="9" max="16384" width="9" style="6"/>
  </cols>
  <sheetData>
    <row r="5" spans="2:9">
      <c r="B5" s="14" t="s">
        <v>27</v>
      </c>
      <c r="C5" s="14"/>
      <c r="D5" s="14"/>
      <c r="E5" s="14"/>
      <c r="F5" s="14"/>
      <c r="G5" s="14"/>
      <c r="H5" s="14"/>
    </row>
    <row r="6" spans="2:9">
      <c r="B6" s="6" t="s">
        <v>26</v>
      </c>
      <c r="C6" s="6" t="s">
        <v>114</v>
      </c>
      <c r="D6" s="6" t="s">
        <v>49</v>
      </c>
      <c r="E6" s="6" t="s">
        <v>116</v>
      </c>
      <c r="F6" s="6" t="s">
        <v>91</v>
      </c>
      <c r="G6" s="6" t="s">
        <v>0</v>
      </c>
      <c r="H6" s="6" t="s">
        <v>25</v>
      </c>
      <c r="I6" s="6" t="s">
        <v>115</v>
      </c>
    </row>
    <row r="7" spans="2:9">
      <c r="B7" s="6" t="s">
        <v>51</v>
      </c>
      <c r="C7" s="6" t="s">
        <v>2</v>
      </c>
      <c r="D7" s="6" t="s">
        <v>50</v>
      </c>
      <c r="E7" s="6" t="str">
        <f>tbl_ticker[[#This Row],[ticker]]&amp;"."&amp;tbl_ticker[[#This Row],[exchange]]</f>
        <v>cu1805.shf</v>
      </c>
      <c r="F7" s="6">
        <v>10</v>
      </c>
      <c r="G7" s="6">
        <v>0.2</v>
      </c>
      <c r="H7" s="6">
        <v>0</v>
      </c>
      <c r="I7" s="9">
        <f>RTD("wdf.rtq",,tbl_ticker[[#This Row],[w_ticker]],"LastPrice")</f>
        <v>52990</v>
      </c>
    </row>
    <row r="8" spans="2:9">
      <c r="B8" s="6" t="s">
        <v>43</v>
      </c>
      <c r="C8" s="6" t="s">
        <v>16</v>
      </c>
      <c r="D8" s="6" t="s">
        <v>50</v>
      </c>
      <c r="E8" s="6" t="str">
        <f>tbl_ticker[[#This Row],[ticker]]&amp;"."&amp;tbl_ticker[[#This Row],[exchange]]</f>
        <v>al1805.shf</v>
      </c>
      <c r="F8" s="6">
        <v>10</v>
      </c>
      <c r="G8" s="6">
        <v>0.2</v>
      </c>
      <c r="H8" s="6">
        <v>0</v>
      </c>
      <c r="I8" s="9">
        <f>RTD("wdf.rtq",,tbl_ticker[[#This Row],[w_ticker]],"LastPrice")</f>
        <v>14205</v>
      </c>
    </row>
    <row r="9" spans="2:9">
      <c r="B9" s="6" t="s">
        <v>44</v>
      </c>
      <c r="C9" s="6" t="s">
        <v>3</v>
      </c>
      <c r="D9" s="6" t="s">
        <v>50</v>
      </c>
      <c r="E9" s="6" t="str">
        <f>tbl_ticker[[#This Row],[ticker]]&amp;"."&amp;tbl_ticker[[#This Row],[exchange]]</f>
        <v>ag1806.shf</v>
      </c>
      <c r="F9" s="6">
        <v>10</v>
      </c>
      <c r="G9" s="6">
        <v>0.2</v>
      </c>
      <c r="H9" s="6">
        <v>0</v>
      </c>
      <c r="I9" s="9">
        <f>RTD("wdf.rtq",,tbl_ticker[[#This Row],[w_ticker]],"LastPrice")</f>
        <v>3718</v>
      </c>
    </row>
    <row r="10" spans="2:9">
      <c r="B10" s="6" t="s">
        <v>66</v>
      </c>
      <c r="C10" s="6" t="s">
        <v>64</v>
      </c>
      <c r="D10" s="6" t="s">
        <v>65</v>
      </c>
      <c r="E10" s="7" t="str">
        <f>tbl_ticker[[#This Row],[ticker]]&amp;"."&amp;tbl_ticker[[#This Row],[exchange]]</f>
        <v>l1805.dce</v>
      </c>
      <c r="F10" s="7">
        <v>5</v>
      </c>
      <c r="G10" s="6">
        <v>0.1</v>
      </c>
      <c r="H10" s="6">
        <v>0</v>
      </c>
      <c r="I10" s="9">
        <f>RTD("wdf.rtq",,tbl_ticker[[#This Row],[w_ticker]],"LastPrice")</f>
        <v>9535</v>
      </c>
    </row>
    <row r="11" spans="2:9">
      <c r="B11" s="6" t="s">
        <v>85</v>
      </c>
      <c r="C11" s="6" t="s">
        <v>83</v>
      </c>
      <c r="D11" s="6" t="s">
        <v>50</v>
      </c>
      <c r="E11" s="7" t="str">
        <f>tbl_ticker[[#This Row],[ticker]]&amp;"."&amp;tbl_ticker[[#This Row],[exchange]]</f>
        <v>rb1810.shf</v>
      </c>
      <c r="F11" s="7">
        <v>10</v>
      </c>
      <c r="G11" s="6">
        <v>0.18</v>
      </c>
      <c r="H11" s="6">
        <v>0</v>
      </c>
      <c r="I11" s="9">
        <f>RTD("wdf.rtq",,tbl_ticker[[#This Row],[w_ticker]],"LastPrice")</f>
        <v>3795</v>
      </c>
    </row>
    <row r="12" spans="2:9">
      <c r="B12" s="6" t="s">
        <v>117</v>
      </c>
      <c r="C12" s="6" t="s">
        <v>118</v>
      </c>
      <c r="D12" s="6" t="s">
        <v>119</v>
      </c>
      <c r="E12" s="7" t="str">
        <f>tbl_ticker[[#This Row],[ticker]]&amp;"."&amp;tbl_ticker[[#This Row],[exchange]]</f>
        <v>i1803.dce</v>
      </c>
      <c r="F12" s="7">
        <v>10</v>
      </c>
      <c r="G12" s="6">
        <v>0.18</v>
      </c>
      <c r="H12" s="6">
        <v>0</v>
      </c>
      <c r="I12" s="9">
        <f>RTD("wdf.rtq",,tbl_ticker[[#This Row],[w_ticker]],"LastPrice")</f>
        <v>506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H11"/>
  <sheetViews>
    <sheetView workbookViewId="0">
      <selection activeCell="E19" sqref="E19"/>
    </sheetView>
  </sheetViews>
  <sheetFormatPr defaultRowHeight="12"/>
  <cols>
    <col min="1" max="1" width="3.375" style="6" customWidth="1"/>
    <col min="2" max="2" width="10.625" style="6" customWidth="1"/>
    <col min="3" max="4" width="9" style="6" customWidth="1"/>
    <col min="5" max="16384" width="9" style="6"/>
  </cols>
  <sheetData>
    <row r="5" spans="2:8">
      <c r="B5" s="14" t="s">
        <v>17</v>
      </c>
      <c r="C5" s="14"/>
      <c r="D5" s="14"/>
      <c r="E5" s="14"/>
      <c r="F5" s="14"/>
    </row>
    <row r="6" spans="2:8">
      <c r="B6" s="6" t="s">
        <v>14</v>
      </c>
      <c r="C6" s="6" t="s">
        <v>24</v>
      </c>
      <c r="D6" s="6" t="s">
        <v>23</v>
      </c>
      <c r="E6" s="6" t="s">
        <v>2</v>
      </c>
      <c r="F6" s="6" t="s">
        <v>3</v>
      </c>
      <c r="G6" s="6" t="s">
        <v>64</v>
      </c>
      <c r="H6" s="6" t="s">
        <v>83</v>
      </c>
    </row>
    <row r="7" spans="2:8">
      <c r="B7" s="6" t="s">
        <v>19</v>
      </c>
      <c r="C7" s="6">
        <v>0</v>
      </c>
      <c r="D7" s="6">
        <v>0.2</v>
      </c>
      <c r="E7" s="6">
        <v>0</v>
      </c>
      <c r="F7" s="6">
        <v>0</v>
      </c>
      <c r="G7" s="6">
        <v>0</v>
      </c>
    </row>
    <row r="8" spans="2:8">
      <c r="B8" s="6" t="s">
        <v>21</v>
      </c>
      <c r="C8" s="6">
        <v>0</v>
      </c>
      <c r="D8" s="6">
        <v>0.2</v>
      </c>
      <c r="E8" s="6">
        <v>0</v>
      </c>
      <c r="F8" s="6">
        <v>0</v>
      </c>
      <c r="G8" s="6">
        <v>0</v>
      </c>
    </row>
    <row r="9" spans="2:8">
      <c r="B9" s="5" t="s">
        <v>22</v>
      </c>
      <c r="C9" s="6">
        <v>0</v>
      </c>
      <c r="D9" s="6">
        <v>0.2</v>
      </c>
      <c r="E9" s="6">
        <v>0</v>
      </c>
      <c r="F9" s="6">
        <v>0</v>
      </c>
      <c r="G9" s="6">
        <v>0</v>
      </c>
    </row>
    <row r="10" spans="2:8">
      <c r="B10" s="6" t="s">
        <v>62</v>
      </c>
      <c r="C10" s="6">
        <v>0</v>
      </c>
      <c r="D10" s="6">
        <v>0.2</v>
      </c>
      <c r="E10" s="6">
        <v>0</v>
      </c>
      <c r="F10" s="6">
        <v>0</v>
      </c>
      <c r="G10" s="6">
        <v>0</v>
      </c>
    </row>
    <row r="11" spans="2:8">
      <c r="B11" s="6" t="s">
        <v>81</v>
      </c>
      <c r="C11" s="6">
        <v>0</v>
      </c>
      <c r="D11" s="6">
        <v>0.1</v>
      </c>
      <c r="E11" s="6">
        <v>0</v>
      </c>
      <c r="F11" s="6">
        <v>0</v>
      </c>
      <c r="G11" s="6">
        <v>0</v>
      </c>
      <c r="H11" s="6">
        <v>8.3000000000000004E-2</v>
      </c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H14" sqref="H14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28</v>
      </c>
      <c r="C6" t="s">
        <v>46</v>
      </c>
      <c r="D6" t="s">
        <v>45</v>
      </c>
      <c r="E6" t="s">
        <v>121</v>
      </c>
    </row>
    <row r="7" spans="2:5">
      <c r="B7" t="s">
        <v>48</v>
      </c>
      <c r="C7" t="s">
        <v>29</v>
      </c>
      <c r="D7" t="s">
        <v>0</v>
      </c>
      <c r="E7">
        <v>1</v>
      </c>
    </row>
    <row r="8" spans="2:5">
      <c r="B8" t="s">
        <v>31</v>
      </c>
      <c r="C8" t="s">
        <v>92</v>
      </c>
      <c r="D8" t="s">
        <v>0</v>
      </c>
      <c r="E8">
        <v>1</v>
      </c>
    </row>
    <row r="9" spans="2:5">
      <c r="B9" t="s">
        <v>32</v>
      </c>
      <c r="C9" t="s">
        <v>99</v>
      </c>
      <c r="D9" t="s">
        <v>0</v>
      </c>
      <c r="E9">
        <v>1</v>
      </c>
    </row>
    <row r="10" spans="2:5">
      <c r="B10" t="s">
        <v>33</v>
      </c>
      <c r="C10" t="s">
        <v>93</v>
      </c>
      <c r="D10" t="s">
        <v>0</v>
      </c>
      <c r="E10">
        <v>1</v>
      </c>
    </row>
    <row r="11" spans="2:5">
      <c r="B11" t="s">
        <v>34</v>
      </c>
      <c r="C11" t="s">
        <v>100</v>
      </c>
      <c r="D11" t="s">
        <v>0</v>
      </c>
      <c r="E11">
        <v>1</v>
      </c>
    </row>
    <row r="12" spans="2:5">
      <c r="B12" t="s">
        <v>35</v>
      </c>
      <c r="C12" t="s">
        <v>101</v>
      </c>
      <c r="D12" t="s">
        <v>0</v>
      </c>
      <c r="E12">
        <v>1</v>
      </c>
    </row>
    <row r="13" spans="2:5">
      <c r="B13" t="s">
        <v>36</v>
      </c>
      <c r="C13" t="s">
        <v>93</v>
      </c>
      <c r="D13" t="s">
        <v>0</v>
      </c>
      <c r="E13">
        <v>1</v>
      </c>
    </row>
    <row r="14" spans="2:5">
      <c r="B14" t="s">
        <v>37</v>
      </c>
      <c r="C14" t="s">
        <v>93</v>
      </c>
      <c r="D14" s="13" t="s">
        <v>95</v>
      </c>
      <c r="E14" s="13">
        <v>1</v>
      </c>
    </row>
    <row r="15" spans="2:5">
      <c r="B15" t="s">
        <v>38</v>
      </c>
      <c r="C15" t="s">
        <v>93</v>
      </c>
      <c r="D15" t="s">
        <v>94</v>
      </c>
      <c r="E15">
        <v>1</v>
      </c>
    </row>
    <row r="16" spans="2:5">
      <c r="B16" t="s">
        <v>39</v>
      </c>
      <c r="C16" t="s">
        <v>96</v>
      </c>
      <c r="D16" s="13" t="s">
        <v>95</v>
      </c>
      <c r="E16" s="13">
        <v>1</v>
      </c>
    </row>
    <row r="17" spans="2:5">
      <c r="B17" t="s">
        <v>40</v>
      </c>
      <c r="C17" t="s">
        <v>96</v>
      </c>
      <c r="D17" t="s">
        <v>94</v>
      </c>
      <c r="E17">
        <v>1</v>
      </c>
    </row>
    <row r="18" spans="2:5">
      <c r="B18" t="s">
        <v>41</v>
      </c>
      <c r="C18" t="s">
        <v>97</v>
      </c>
      <c r="D18" t="s">
        <v>0</v>
      </c>
      <c r="E18" s="13">
        <v>0.33300000000000002</v>
      </c>
    </row>
    <row r="19" spans="2:5">
      <c r="B19" t="s">
        <v>42</v>
      </c>
      <c r="C19" t="s">
        <v>98</v>
      </c>
      <c r="D19" t="s">
        <v>0</v>
      </c>
      <c r="E19">
        <v>0.33300000000000002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2018-02-14T10:02:26Z</dcterms:modified>
</cp:coreProperties>
</file>