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AE29" i="5"/>
  <c r="I7" i="6"/>
  <c r="I18" i="6"/>
  <c r="I17" i="6"/>
  <c r="I16" i="6"/>
  <c r="I15" i="6"/>
  <c r="I14" i="6"/>
  <c r="I13" i="6"/>
  <c r="I12" i="6"/>
  <c r="I11" i="6"/>
  <c r="I10" i="6"/>
  <c r="I9" i="6"/>
  <c r="I8" i="6"/>
  <c r="B4" i="5" l="1"/>
  <c r="AE12" i="5" l="1"/>
  <c r="AE13" i="5"/>
  <c r="AE21" i="5"/>
  <c r="AE25" i="5"/>
  <c r="AE7" i="5"/>
  <c r="AE17" i="5"/>
  <c r="AE26" i="5"/>
  <c r="AE8" i="5"/>
  <c r="AE18" i="5"/>
  <c r="AE9" i="5"/>
  <c r="AE10" i="5"/>
  <c r="AE14" i="5"/>
  <c r="AE22" i="5"/>
  <c r="AE23" i="5"/>
  <c r="AE11" i="5"/>
  <c r="AE24" i="5"/>
  <c r="E18" i="6"/>
  <c r="AG7" i="5"/>
  <c r="AM29" i="5"/>
  <c r="AO13" i="5"/>
  <c r="AM23" i="5"/>
  <c r="AP21" i="5"/>
  <c r="AR15" i="5"/>
  <c r="AI9" i="5"/>
  <c r="AG9" i="5"/>
  <c r="AR14" i="5"/>
  <c r="AN18" i="5"/>
  <c r="AL13" i="5"/>
  <c r="AQ10" i="5"/>
  <c r="AQ14" i="5"/>
  <c r="AN25" i="5"/>
  <c r="AJ21" i="5"/>
  <c r="AQ17" i="5"/>
  <c r="AH21" i="5"/>
  <c r="AO15" i="5"/>
  <c r="AK11" i="5"/>
  <c r="AP12" i="5"/>
  <c r="AK15" i="5"/>
  <c r="AM9" i="5"/>
  <c r="AG13" i="5"/>
  <c r="AH8" i="5"/>
  <c r="AK14" i="5"/>
  <c r="AN9" i="5"/>
  <c r="AH13" i="5"/>
  <c r="AR18" i="5"/>
  <c r="AM26" i="5"/>
  <c r="AH26" i="5"/>
  <c r="AO14" i="5"/>
  <c r="AL23" i="5"/>
  <c r="AJ7" i="5"/>
  <c r="AK18" i="5"/>
  <c r="AM7" i="5"/>
  <c r="AK13" i="5"/>
  <c r="AP24" i="5"/>
  <c r="AI7" i="5"/>
  <c r="AP25" i="5"/>
  <c r="AH22" i="5"/>
  <c r="AM28" i="5"/>
  <c r="AN23" i="5"/>
  <c r="AJ22" i="5"/>
  <c r="AL17" i="5"/>
  <c r="AF13" i="5"/>
  <c r="AK7" i="5"/>
  <c r="AH24" i="5"/>
  <c r="AN11" i="5"/>
  <c r="AF18" i="5"/>
  <c r="AQ21" i="5"/>
  <c r="AG20" i="5"/>
  <c r="AJ10" i="5"/>
  <c r="AN21" i="5"/>
  <c r="AN26" i="5"/>
  <c r="AJ28" i="5"/>
  <c r="AM12" i="5"/>
  <c r="AK12" i="5"/>
  <c r="AR12" i="5"/>
  <c r="AL26" i="5"/>
  <c r="AP13" i="5"/>
  <c r="AG24" i="5"/>
  <c r="AQ9" i="5"/>
  <c r="AF21" i="5"/>
  <c r="AQ8" i="5"/>
  <c r="AJ14" i="5"/>
  <c r="AJ12" i="5"/>
  <c r="AQ26" i="5"/>
  <c r="AI18" i="5"/>
  <c r="AP10" i="5"/>
  <c r="AK29" i="5"/>
  <c r="AK22" i="5"/>
  <c r="AR27" i="5"/>
  <c r="AJ16" i="5"/>
  <c r="AR8" i="5"/>
  <c r="AI20" i="5"/>
  <c r="AJ15" i="5"/>
  <c r="AN13" i="5"/>
  <c r="AI10" i="5"/>
  <c r="AF9" i="5"/>
  <c r="AP20" i="5"/>
  <c r="AO27" i="5"/>
  <c r="AP28" i="5"/>
  <c r="AO26" i="5"/>
  <c r="AM14" i="5"/>
  <c r="AI24" i="5"/>
  <c r="AL9" i="5"/>
  <c r="AN7" i="5"/>
  <c r="AM19" i="5"/>
  <c r="AG29" i="5"/>
  <c r="AF7" i="5"/>
  <c r="AQ7" i="5"/>
  <c r="AH27" i="5"/>
  <c r="AM21" i="5"/>
  <c r="J18" i="6"/>
  <c r="AM18" i="5"/>
  <c r="AI22" i="5"/>
  <c r="AL12" i="5"/>
  <c r="AL22" i="5"/>
  <c r="AL20" i="5"/>
  <c r="AL21" i="5"/>
  <c r="AQ28" i="5"/>
  <c r="AF16" i="5"/>
  <c r="AK16" i="5"/>
  <c r="AK21" i="5"/>
  <c r="AK23" i="5"/>
  <c r="AP19" i="5"/>
  <c r="AP18" i="5"/>
  <c r="AJ18" i="5"/>
  <c r="AM8" i="5"/>
  <c r="AH15" i="5"/>
  <c r="AF22" i="5"/>
  <c r="AI12" i="5"/>
  <c r="AM25" i="5"/>
  <c r="AO19" i="5"/>
  <c r="AL10" i="5"/>
  <c r="AR23" i="5"/>
  <c r="AK27" i="5"/>
  <c r="AL15" i="5"/>
  <c r="AO12" i="5"/>
  <c r="AF23" i="5"/>
  <c r="AQ25" i="5"/>
  <c r="AO25" i="5"/>
  <c r="AQ24" i="5"/>
  <c r="AR7" i="5"/>
  <c r="AJ24" i="5"/>
  <c r="AL28" i="5"/>
  <c r="AI15" i="5"/>
  <c r="AP22" i="5"/>
  <c r="AO10" i="5"/>
  <c r="AG27" i="5"/>
  <c r="AR26" i="5"/>
  <c r="AN15" i="5"/>
  <c r="AL25" i="5"/>
  <c r="AI8" i="5"/>
  <c r="AP23" i="5"/>
  <c r="AM10" i="5"/>
  <c r="AJ19" i="5"/>
  <c r="AH20" i="5"/>
  <c r="AN12" i="5"/>
  <c r="AR22" i="5"/>
  <c r="AK9" i="5"/>
  <c r="AH28" i="5"/>
  <c r="AQ16" i="5"/>
  <c r="AH10" i="5"/>
  <c r="AJ26" i="5"/>
  <c r="AP7" i="5"/>
  <c r="AF15" i="5"/>
  <c r="AH9" i="5"/>
  <c r="AK26" i="5"/>
  <c r="AR13" i="5"/>
  <c r="AN16" i="5"/>
  <c r="AM27" i="5"/>
  <c r="AR21" i="5"/>
  <c r="AK8" i="5"/>
  <c r="AR29" i="5"/>
  <c r="AH25" i="5"/>
  <c r="AQ15" i="5"/>
  <c r="AI11" i="5"/>
  <c r="AK25" i="5"/>
  <c r="AH12" i="5"/>
  <c r="AO8" i="5"/>
  <c r="AG19" i="5"/>
  <c r="AO28" i="5"/>
  <c r="AN29" i="5"/>
  <c r="AR25" i="5"/>
  <c r="AJ9" i="5"/>
  <c r="AG26" i="5"/>
  <c r="AJ27" i="5"/>
  <c r="AF24" i="5"/>
  <c r="AN22" i="5"/>
  <c r="AJ11" i="5"/>
  <c r="AF28" i="5"/>
  <c r="AM24" i="5"/>
  <c r="AF27" i="5"/>
  <c r="AN14" i="5"/>
  <c r="AP9" i="5"/>
  <c r="AH23" i="5"/>
  <c r="AP26" i="5"/>
  <c r="AI21" i="5"/>
  <c r="AO24" i="5"/>
  <c r="AM20" i="5"/>
  <c r="AR17" i="5"/>
  <c r="AK20" i="5"/>
  <c r="AJ23" i="5"/>
  <c r="AJ17" i="5"/>
  <c r="AH29" i="5"/>
  <c r="AH11" i="5"/>
  <c r="AO7" i="5"/>
  <c r="AI25" i="5"/>
  <c r="AQ19" i="5"/>
  <c r="AL29" i="5"/>
  <c r="AP15" i="5"/>
  <c r="AO21" i="5"/>
  <c r="AQ27" i="5"/>
  <c r="AG25" i="5"/>
  <c r="AJ13" i="5"/>
  <c r="AJ20" i="5"/>
  <c r="AO16" i="5"/>
  <c r="AG28" i="5"/>
  <c r="AG12" i="5"/>
  <c r="AQ23" i="5"/>
  <c r="AG14" i="5"/>
  <c r="AG18" i="5"/>
  <c r="AL7" i="5"/>
  <c r="AF25" i="5"/>
  <c r="AR11" i="5"/>
  <c r="AL24" i="5"/>
  <c r="AF20" i="5"/>
  <c r="AF8" i="5"/>
  <c r="AH19" i="5"/>
  <c r="AO22" i="5"/>
  <c r="AO29" i="5"/>
  <c r="AN28" i="5"/>
  <c r="AG23" i="5"/>
  <c r="AH17" i="5"/>
  <c r="AN24" i="5"/>
  <c r="AR9" i="5"/>
  <c r="AN27" i="5"/>
  <c r="AM11" i="5"/>
  <c r="AG10" i="5"/>
  <c r="AK28" i="5"/>
  <c r="AP8" i="5"/>
  <c r="AR24" i="5"/>
  <c r="AP16" i="5"/>
  <c r="AF26" i="5"/>
  <c r="AN10" i="5"/>
  <c r="AH16" i="5"/>
  <c r="AQ18" i="5"/>
  <c r="AJ29" i="5"/>
  <c r="AF19" i="5"/>
  <c r="AI26" i="5"/>
  <c r="AN8" i="5"/>
  <c r="AI13" i="5"/>
  <c r="AQ11" i="5"/>
  <c r="AP14" i="5"/>
  <c r="AM16" i="5"/>
  <c r="AM15" i="5"/>
  <c r="AG11" i="5"/>
  <c r="AR16" i="5"/>
  <c r="AG22" i="5"/>
  <c r="AG16" i="5"/>
  <c r="AO23" i="5"/>
  <c r="AI29" i="5"/>
  <c r="AI17" i="5"/>
  <c r="AH14" i="5"/>
  <c r="AI16" i="5"/>
  <c r="AM22" i="5"/>
  <c r="AQ22" i="5"/>
  <c r="AG8" i="5"/>
  <c r="AG15" i="5"/>
  <c r="AK17" i="5"/>
  <c r="AF11" i="5"/>
  <c r="AH7" i="5"/>
  <c r="AO20" i="5"/>
  <c r="AK24" i="5"/>
  <c r="AQ12" i="5"/>
  <c r="AL19" i="5"/>
  <c r="AR28" i="5"/>
  <c r="AF14" i="5"/>
  <c r="AI28" i="5"/>
  <c r="AI27" i="5"/>
  <c r="AL27" i="5"/>
  <c r="AN19" i="5"/>
  <c r="AM17" i="5"/>
  <c r="AP17" i="5"/>
  <c r="AJ25" i="5"/>
  <c r="AF17" i="5"/>
  <c r="AL18" i="5"/>
  <c r="AF12" i="5"/>
  <c r="AL8" i="5"/>
  <c r="AG21" i="5"/>
  <c r="AR20" i="5"/>
  <c r="AL11" i="5"/>
  <c r="AL16" i="5"/>
  <c r="AO9" i="5"/>
  <c r="AO11" i="5"/>
  <c r="AN17" i="5"/>
  <c r="AI14" i="5"/>
  <c r="AH18" i="5"/>
  <c r="AM13" i="5"/>
  <c r="AK10" i="5"/>
  <c r="AQ29" i="5"/>
  <c r="AP27" i="5"/>
  <c r="AI19" i="5"/>
  <c r="AI23" i="5"/>
  <c r="AQ13" i="5"/>
  <c r="AL14" i="5"/>
  <c r="AP29" i="5"/>
  <c r="AF29" i="5"/>
  <c r="AO18" i="5"/>
  <c r="AO17" i="5"/>
  <c r="AR10" i="5"/>
  <c r="AJ8" i="5"/>
  <c r="AQ20" i="5"/>
  <c r="AP11" i="5"/>
  <c r="AR19" i="5"/>
  <c r="AN20" i="5"/>
  <c r="AG17" i="5"/>
  <c r="AF10" i="5"/>
  <c r="AK19" i="5"/>
  <c r="E17" i="6" l="1"/>
  <c r="E16" i="6"/>
  <c r="J17" i="6"/>
  <c r="J16" i="6"/>
  <c r="E12" i="6" l="1"/>
  <c r="J12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9" i="6"/>
  <c r="J7" i="6"/>
  <c r="J8" i="6"/>
</calcChain>
</file>

<file path=xl/sharedStrings.xml><?xml version="1.0" encoding="utf-8"?>
<sst xmlns="http://schemas.openxmlformats.org/spreadsheetml/2006/main" count="747" uniqueCount="301">
  <si>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</si>
  <si>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</si>
  <si>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</si>
  <si>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</si>
  <si>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</si>
  <si>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</si>
  <si>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</si>
  <si>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</si>
  <si>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</si>
  <si>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</si>
  <si>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</si>
  <si>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</si>
  <si>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</si>
  <si>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</si>
  <si>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</si>
  <si>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</si>
  <si>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</si>
  <si>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</si>
  <si>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</si>
  <si>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</si>
  <si>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</si>
  <si>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</si>
  <si>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</si>
  <si>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</si>
  <si>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</si>
  <si>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</si>
  <si>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</si>
  <si>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</si>
  <si>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</si>
  <si>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</si>
  <si>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</si>
  <si>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</si>
  <si>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</si>
  <si>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</si>
  <si>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</si>
  <si>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</si>
  <si>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</si>
  <si>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</si>
  <si>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</si>
  <si>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</si>
  <si>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</si>
  <si>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</si>
  <si>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</si>
  <si>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</si>
  <si>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</si>
  <si>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</si>
  <si>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</si>
  <si>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</si>
  <si>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</si>
  <si>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</si>
  <si>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</si>
  <si>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</si>
  <si>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</si>
  <si>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</si>
  <si>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</si>
  <si>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</si>
  <si>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</si>
  <si>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</si>
  <si>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</si>
  <si>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</si>
  <si>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</si>
  <si>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</si>
  <si>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</si>
  <si>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</si>
  <si>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</si>
  <si>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</si>
  <si>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</si>
  <si>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</si>
  <si>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</si>
  <si>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</si>
  <si>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</si>
  <si>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</si>
  <si>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</si>
  <si>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</si>
  <si>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</si>
  <si>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</si>
  <si>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</si>
  <si>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</si>
  <si>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</si>
  <si>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</si>
  <si>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</si>
  <si>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</si>
  <si>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</si>
  <si>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</si>
  <si>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</si>
  <si>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</si>
  <si>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</si>
  <si>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</si>
  <si>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</si>
  <si>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</si>
  <si>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</si>
  <si>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</si>
  <si>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</si>
  <si>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</si>
  <si>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</si>
  <si>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</si>
  <si>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</si>
  <si>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</si>
  <si>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</si>
  <si>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</si>
  <si>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</si>
  <si>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</si>
  <si>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</si>
  <si>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</si>
  <si>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</si>
  <si>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</si>
  <si>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</si>
  <si>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</si>
  <si>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</si>
  <si>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</si>
  <si>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</si>
  <si>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</si>
  <si>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</si>
  <si>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</si>
  <si>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</si>
  <si>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</si>
  <si>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</si>
  <si>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</si>
  <si>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</si>
  <si>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</si>
  <si>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</si>
  <si>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</si>
  <si>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</si>
  <si>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</si>
  <si>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</si>
  <si>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</si>
  <si>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</si>
  <si>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</si>
  <si>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</si>
  <si>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</si>
  <si>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</si>
  <si>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</si>
  <si>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</si>
  <si>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</si>
  <si>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</si>
  <si>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</si>
  <si>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</si>
  <si>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</si>
  <si>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</si>
  <si>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</si>
  <si>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</si>
  <si>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</si>
  <si>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</si>
  <si>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</si>
  <si>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</si>
  <si>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</si>
  <si>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</si>
  <si>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</si>
  <si>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</si>
  <si>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</si>
  <si>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</si>
  <si>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</si>
  <si>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</si>
  <si>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</si>
  <si>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</si>
  <si>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</si>
  <si>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</si>
  <si>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</si>
  <si>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</si>
  <si>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</si>
  <si>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</si>
  <si>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</si>
  <si>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</si>
  <si>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</si>
  <si>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</si>
  <si>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</si>
  <si>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</si>
  <si>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</si>
  <si>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</si>
  <si>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</si>
  <si>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</si>
  <si>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</si>
  <si>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</si>
  <si>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</si>
  <si>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</si>
  <si>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</si>
  <si>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</si>
  <si>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</si>
  <si>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</si>
  <si>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</si>
  <si>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</si>
  <si>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</si>
  <si>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</si>
  <si>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</si>
  <si>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</si>
  <si>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</si>
  <si>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</si>
  <si>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</si>
  <si>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</si>
  <si>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</si>
  <si>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</si>
  <si>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</si>
  <si>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</si>
  <si>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</si>
  <si>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</si>
  <si>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</si>
  <si>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</si>
  <si>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</si>
  <si>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</si>
  <si>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</si>
  <si>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</si>
  <si>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</si>
  <si>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</si>
  <si>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</si>
  <si>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</si>
  <si>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</si>
  <si>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</si>
  <si>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</si>
  <si>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sik18e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</si>
  <si>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</si>
  <si>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</si>
  <si>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</si>
  <si>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</si>
  <si>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</si>
  <si>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</si>
  <si>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</si>
  <si>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</si>
  <si>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</si>
  <si>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</si>
  <si>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</si>
  <si>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</si>
  <si>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</si>
  <si>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</si>
  <si>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</si>
  <si>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</si>
  <si>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</si>
  <si>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</si>
  <si>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1.32|1|.3</t>
  </si>
  <si>
    <t>.68|1|.3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</si>
  <si>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</si>
  <si>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</si>
  <si>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</si>
  <si>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</si>
  <si>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</si>
  <si>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</si>
  <si>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</si>
  <si>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</si>
  <si>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1.376|1|.3</t>
  </si>
  <si>
    <t>.624|1|.3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</si>
  <si>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</si>
  <si>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</si>
  <si>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</si>
  <si>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</si>
  <si>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</si>
  <si>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</si>
  <si>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</si>
  <si>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</si>
  <si>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1.173|1|.3</t>
  </si>
  <si>
    <t>.827|1|.3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</si>
  <si>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</si>
  <si>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</si>
  <si>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</si>
  <si>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</si>
  <si>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</si>
  <si>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</si>
  <si>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</si>
  <si>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</si>
  <si>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1.328|1|.3</t>
  </si>
  <si>
    <t>.672|1|.3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</si>
  <si>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</si>
  <si>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</si>
  <si>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</si>
  <si>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</si>
  <si>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</si>
  <si>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</si>
  <si>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</si>
  <si>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</si>
  <si>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</si>
  <si>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</si>
  <si>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1.296|1|.3</t>
  </si>
  <si>
    <t>.704|1|.3</t>
  </si>
  <si>
    <t>1.043|1|1</t>
  </si>
  <si>
    <t>.957|1|1</t>
  </si>
  <si>
    <t>1.064|1.1|1</t>
  </si>
  <si>
    <t>1.064|.9|1</t>
  </si>
  <si>
    <t>.936|1.1|1</t>
  </si>
  <si>
    <t>.936|.9|1</t>
  </si>
  <si>
    <t>1.192|1|.3</t>
  </si>
  <si>
    <t>.808|1|.3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</si>
  <si>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</si>
  <si>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</si>
  <si>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</si>
  <si>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</si>
  <si>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</si>
  <si>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</si>
  <si>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</si>
  <si>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</si>
  <si>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</si>
  <si>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</si>
  <si>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1.229|1|.3</t>
  </si>
  <si>
    <t>.771|1|.3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</si>
  <si>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</si>
  <si>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</si>
  <si>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</si>
  <si>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</si>
  <si>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</si>
  <si>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</si>
  <si>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</si>
  <si>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</si>
  <si>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1.146|1|.3</t>
  </si>
  <si>
    <t>.854|1|.3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</si>
</sst>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409]d\-mmm\-yy;@"/>
    <numFmt numFmtId="177" formatCode="0.000"/>
    <numFmt numFmtId="178" formatCode="###,###,##0.000000"/>
  </numFmts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6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9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29" totalsRowShown="0" headerRowDxfId="125" dataDxfId="124">
  <tableColumns count="43">
    <tableColumn id="1" name="ID" dataDxfId="123"/>
    <tableColumn id="2" name="cpty" dataDxfId="122"/>
    <tableColumn id="43" name="prd_type" dataDxfId="121"/>
    <tableColumn id="3" name="volume" dataDxfId="120"/>
    <tableColumn id="4" name="k" dataDxfId="119"/>
    <tableColumn id="41" name="trade_date" dataDxfId="118"/>
    <tableColumn id="5" name="exp_date" dataDxfId="117"/>
    <tableColumn id="42" name="prem_date" dataDxfId="116"/>
    <tableColumn id="6" name="prem" dataDxfId="115"/>
    <tableColumn id="7" name="type" dataDxfId="114"/>
    <tableColumn id="8" name="underlying" dataDxfId="113"/>
    <tableColumn id="9" name="prod" dataDxfId="112"/>
    <tableColumn id="38" name="qty" dataDxfId="111"/>
    <tableColumn id="10" name="price_st" dataDxfId="110"/>
    <tableColumn id="11" name="vol" dataDxfId="109"/>
    <tableColumn id="12" name="param_senario1" dataDxfId="108"/>
    <tableColumn id="13" name="param_senario2" dataDxfId="107"/>
    <tableColumn id="14" name="param_senario3" dataDxfId="106"/>
    <tableColumn id="15" name="param_senario4" dataDxfId="105"/>
    <tableColumn id="16" name="param_senario5" dataDxfId="104"/>
    <tableColumn id="17" name="param_senario6" dataDxfId="103"/>
    <tableColumn id="18" name="param_senario7" dataDxfId="102"/>
    <tableColumn id="19" name="param_senario8" dataDxfId="101"/>
    <tableColumn id="20" name="param_senario9" dataDxfId="100"/>
    <tableColumn id="21" name="param_senario10" dataDxfId="99"/>
    <tableColumn id="22" name="param_senario11" dataDxfId="98"/>
    <tableColumn id="23" name="param_senario12" dataDxfId="97"/>
    <tableColumn id="24" name="param_senario13" dataDxfId="96"/>
    <tableColumn id="39" name="vol_ref" dataDxfId="95"/>
    <tableColumn id="40" name="vol_adj" dataDxfId="94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3" totalsRowDxfId="92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calculatedColumnFormula>
    </tableColumn>
    <tableColumn id="26" name="senario2" dataDxfId="91" totalsRowDxfId="90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calculatedColumnFormula>
    </tableColumn>
    <tableColumn id="27" name="senario3" dataDxfId="89" totalsRowDxfId="88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calculatedColumnFormula>
    </tableColumn>
    <tableColumn id="28" name="senario4" dataDxfId="87" totalsRowDxfId="86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calculatedColumnFormula>
    </tableColumn>
    <tableColumn id="29" name="senario5" dataDxfId="85" totalsRowDxfId="84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calculatedColumnFormula>
    </tableColumn>
    <tableColumn id="30" name="senario6" dataDxfId="83" totalsRowDxfId="82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calculatedColumnFormula>
    </tableColumn>
    <tableColumn id="31" name="senario7" dataDxfId="81" totalsRowDxfId="80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calculatedColumnFormula>
    </tableColumn>
    <tableColumn id="32" name="senario8" dataDxfId="79" totalsRowDxfId="78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calculatedColumnFormula>
    </tableColumn>
    <tableColumn id="33" name="senario9" dataDxfId="77" totalsRowDxfId="76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calculatedColumnFormula>
    </tableColumn>
    <tableColumn id="34" name="senario10" dataDxfId="75" totalsRowDxfId="74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calculatedColumnFormula>
    </tableColumn>
    <tableColumn id="35" name="senario11" dataDxfId="73" totalsRowDxfId="72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calculatedColumnFormula>
    </tableColumn>
    <tableColumn id="36" name="senario12" dataDxfId="71" totalsRowDxfId="70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calculatedColumnFormula>
    </tableColumn>
    <tableColumn id="37" name="senario13" dataDxfId="69" totalsRowDxfId="68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3" totalsRowShown="0" headerRowDxfId="67" dataDxfId="66">
  <autoFilter ref="B8:N33"/>
  <tableColumns count="13">
    <tableColumn id="1" name="ID" dataDxfId="65"/>
    <tableColumn id="2" name="volume" dataDxfId="64"/>
    <tableColumn id="3" name="trade_date" dataDxfId="63"/>
    <tableColumn id="4" name="exp_date" dataDxfId="62"/>
    <tableColumn id="5" name="settle_date" dataDxfId="61"/>
    <tableColumn id="6" name="prem_date" dataDxfId="60"/>
    <tableColumn id="7" name="k" dataDxfId="59"/>
    <tableColumn id="10" name="prem" dataDxfId="58"/>
    <tableColumn id="11" name="type" dataDxfId="57"/>
    <tableColumn id="12" name="prd_type" dataDxfId="56"/>
    <tableColumn id="13" name="underlying" dataDxfId="55"/>
    <tableColumn id="14" name="cpty" dataDxfId="54"/>
    <tableColumn id="8" name="vol_ref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18" totalsRowShown="0" headerRowDxfId="52" dataDxfId="51">
  <autoFilter ref="B6:J18"/>
  <tableColumns count="9">
    <tableColumn id="1" name="ticker" dataDxfId="50"/>
    <tableColumn id="2" name="prod" dataDxfId="49"/>
    <tableColumn id="6" name="exchange" dataDxfId="48"/>
    <tableColumn id="7" name="w_ticker" dataDxfId="47">
      <calculatedColumnFormula>tbl_ticker[[#This Row],[ticker]]&amp;"."&amp;tbl_ticker[[#This Row],[exchange]]</calculatedColumnFormula>
    </tableColumn>
    <tableColumn id="9" name="multiplier" dataDxfId="46"/>
    <tableColumn id="3" name="vol" dataDxfId="45"/>
    <tableColumn id="4" name="carry" dataDxfId="44"/>
    <tableColumn id="8" name="date" dataDxfId="43">
      <calculatedColumnFormula>TODAY()</calculatedColumnFormula>
    </tableColumn>
    <tableColumn id="5" name="price_st" dataDxfId="42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O14" totalsRowShown="0" headerRowDxfId="41" dataDxfId="40">
  <autoFilter ref="B6:AO14"/>
  <tableColumns count="40">
    <tableColumn id="1" name="client" dataDxfId="39"/>
    <tableColumn id="7" name="x" dataDxfId="38"/>
    <tableColumn id="6" name="k" dataDxfId="37"/>
    <tableColumn id="2" name="zn" dataDxfId="36"/>
    <tableColumn id="3" name="al" dataDxfId="35"/>
    <tableColumn id="4" name="sn" dataDxfId="34"/>
    <tableColumn id="8" name="ni" dataDxfId="33"/>
    <tableColumn id="5" name="cu" dataDxfId="32"/>
    <tableColumn id="9" name="jm" dataDxfId="31"/>
    <tableColumn id="10" name="j" dataDxfId="30"/>
    <tableColumn id="11" name="hc" dataDxfId="29"/>
    <tableColumn id="12" name="i" dataDxfId="28"/>
    <tableColumn id="13" name="rb" dataDxfId="27"/>
    <tableColumn id="14" name="au" dataDxfId="26"/>
    <tableColumn id="15" name="ag" dataDxfId="25"/>
    <tableColumn id="16" name="cs" dataDxfId="24"/>
    <tableColumn id="17" name="jd" dataDxfId="23"/>
    <tableColumn id="18" name="p" dataDxfId="22"/>
    <tableColumn id="19" name="oi" dataDxfId="21"/>
    <tableColumn id="20" name="rm" dataDxfId="20"/>
    <tableColumn id="21" name="cf" dataDxfId="19"/>
    <tableColumn id="22" name="a" dataDxfId="18"/>
    <tableColumn id="23" name="y" dataDxfId="17"/>
    <tableColumn id="24" name="m" dataDxfId="16"/>
    <tableColumn id="25" name="c" dataDxfId="15"/>
    <tableColumn id="26" name="sr" dataDxfId="14"/>
    <tableColumn id="27" name="zc" dataDxfId="13"/>
    <tableColumn id="28" name="bu" dataDxfId="12"/>
    <tableColumn id="29" name="ma" dataDxfId="11"/>
    <tableColumn id="30" name="pp" dataDxfId="10"/>
    <tableColumn id="31" name="l" dataDxfId="9"/>
    <tableColumn id="32" name="fg" dataDxfId="8"/>
    <tableColumn id="33" name="ru" dataDxfId="7"/>
    <tableColumn id="34" name="ta" dataDxfId="6"/>
    <tableColumn id="35" name="lmca" dataDxfId="5"/>
    <tableColumn id="36" name="lmah" dataDxfId="4"/>
    <tableColumn id="37" name="lmpb" dataDxfId="3"/>
    <tableColumn id="38" name="lmni" dataDxfId="2"/>
    <tableColumn id="39" name="gc" dataDxfId="1"/>
    <tableColumn id="40" name="si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29"/>
  <sheetViews>
    <sheetView tabSelected="1" topLeftCell="C1" zoomScaleNormal="100" workbookViewId="0">
      <selection activeCell="AG7" sqref="AG7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2:44">
      <c r="B3" s="6" t="s">
        <v>37</v>
      </c>
    </row>
    <row r="4" spans="2:44">
      <c r="B4" s="7">
        <f ca="1">TODAY()</f>
        <v>43161</v>
      </c>
      <c r="AE4" s="8"/>
    </row>
    <row r="6" spans="2:44">
      <c r="B6" s="6" t="s">
        <v>4</v>
      </c>
      <c r="C6" s="6" t="s">
        <v>82</v>
      </c>
      <c r="D6" s="6" t="s">
        <v>170</v>
      </c>
      <c r="E6" s="6" t="s">
        <v>74</v>
      </c>
      <c r="F6" s="6" t="s">
        <v>14</v>
      </c>
      <c r="G6" s="6" t="s">
        <v>94</v>
      </c>
      <c r="H6" s="6" t="s">
        <v>76</v>
      </c>
      <c r="I6" s="6" t="s">
        <v>90</v>
      </c>
      <c r="J6" s="6" t="s">
        <v>80</v>
      </c>
      <c r="K6" s="6" t="s">
        <v>81</v>
      </c>
      <c r="L6" s="6" t="s">
        <v>5</v>
      </c>
      <c r="M6" s="6" t="s">
        <v>83</v>
      </c>
      <c r="N6" s="6" t="s">
        <v>73</v>
      </c>
      <c r="O6" s="6" t="s">
        <v>84</v>
      </c>
      <c r="P6" s="6" t="s">
        <v>0</v>
      </c>
      <c r="Q6" s="6" t="s">
        <v>50</v>
      </c>
      <c r="R6" s="6" t="s">
        <v>51</v>
      </c>
      <c r="S6" s="6" t="s">
        <v>52</v>
      </c>
      <c r="T6" s="6" t="s">
        <v>53</v>
      </c>
      <c r="U6" s="6" t="s">
        <v>54</v>
      </c>
      <c r="V6" s="6" t="s">
        <v>55</v>
      </c>
      <c r="W6" s="6" t="s">
        <v>56</v>
      </c>
      <c r="X6" s="6" t="s">
        <v>57</v>
      </c>
      <c r="Y6" s="6" t="s">
        <v>58</v>
      </c>
      <c r="Z6" s="6" t="s">
        <v>59</v>
      </c>
      <c r="AA6" s="6" t="s">
        <v>60</v>
      </c>
      <c r="AB6" s="6" t="s">
        <v>61</v>
      </c>
      <c r="AC6" s="6" t="s">
        <v>62</v>
      </c>
      <c r="AD6" s="6" t="s">
        <v>92</v>
      </c>
      <c r="AE6" s="6" t="s">
        <v>93</v>
      </c>
      <c r="AF6" s="6" t="s">
        <v>38</v>
      </c>
      <c r="AG6" s="6" t="s">
        <v>20</v>
      </c>
      <c r="AH6" s="6" t="s">
        <v>22</v>
      </c>
      <c r="AI6" s="6" t="s">
        <v>23</v>
      </c>
      <c r="AJ6" s="6" t="s">
        <v>24</v>
      </c>
      <c r="AK6" s="6" t="s">
        <v>25</v>
      </c>
      <c r="AL6" s="6" t="s">
        <v>26</v>
      </c>
      <c r="AM6" s="6" t="s">
        <v>27</v>
      </c>
      <c r="AN6" s="6" t="s">
        <v>28</v>
      </c>
      <c r="AO6" s="6" t="s">
        <v>29</v>
      </c>
      <c r="AP6" s="6" t="s">
        <v>30</v>
      </c>
      <c r="AQ6" s="6" t="s">
        <v>31</v>
      </c>
      <c r="AR6" s="6" t="s">
        <v>32</v>
      </c>
    </row>
    <row r="7" spans="2:44" ht="15" customHeight="1">
      <c r="B7" s="9" t="s">
        <v>67</v>
      </c>
      <c r="C7" s="9" t="s">
        <v>112</v>
      </c>
      <c r="D7" s="9" t="s">
        <v>171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7</v>
      </c>
      <c r="L7" s="9" t="s">
        <v>65</v>
      </c>
      <c r="M7" s="9" t="s">
        <v>63</v>
      </c>
      <c r="N7" s="9">
        <v>5000</v>
      </c>
      <c r="O7" s="9">
        <v>3880</v>
      </c>
      <c r="P7" s="9">
        <v>0.18</v>
      </c>
      <c r="Q7" s="9" t="s">
        <v>167</v>
      </c>
      <c r="R7" s="9" t="s">
        <v>168</v>
      </c>
      <c r="S7" s="9" t="s">
        <v>219</v>
      </c>
      <c r="T7" s="9" t="s">
        <v>220</v>
      </c>
      <c r="U7" s="9" t="s">
        <v>169</v>
      </c>
      <c r="V7" s="9" t="s">
        <v>221</v>
      </c>
      <c r="W7" s="9" t="s">
        <v>222</v>
      </c>
      <c r="X7" s="9" t="s">
        <v>223</v>
      </c>
      <c r="Y7" s="9" t="s">
        <v>224</v>
      </c>
      <c r="Z7" s="9" t="s">
        <v>225</v>
      </c>
      <c r="AA7" s="9" t="s">
        <v>226</v>
      </c>
      <c r="AB7" s="9" t="s">
        <v>227</v>
      </c>
      <c r="AC7" s="9" t="s">
        <v>228</v>
      </c>
      <c r="AD7" s="9">
        <v>0.125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0.16549450549450551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-100960.53964558122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-210459.68656552429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-254064.96195240019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-269403.8166463573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121562.81784968596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481407.86169650441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997483.66380511445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-264087.76577641949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-272614.61713053763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1027715.774669405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970091.71738156921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-82499.963587794176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1504792.9011546588</v>
      </c>
    </row>
    <row r="8" spans="2:44">
      <c r="B8" s="9" t="s">
        <v>68</v>
      </c>
      <c r="C8" s="9" t="s">
        <v>112</v>
      </c>
      <c r="D8" s="9" t="s">
        <v>171</v>
      </c>
      <c r="E8" s="9">
        <v>1000</v>
      </c>
      <c r="F8" s="9">
        <v>3720.0000015999999</v>
      </c>
      <c r="G8" s="7">
        <v>43140</v>
      </c>
      <c r="H8" s="7">
        <v>43205.625</v>
      </c>
      <c r="I8" s="7">
        <v>43205.625</v>
      </c>
      <c r="J8" s="9">
        <v>-499999.99575</v>
      </c>
      <c r="K8" s="9" t="s">
        <v>7</v>
      </c>
      <c r="L8" s="9" t="s">
        <v>65</v>
      </c>
      <c r="M8" s="9" t="s">
        <v>63</v>
      </c>
      <c r="N8" s="9">
        <v>10000</v>
      </c>
      <c r="O8" s="9">
        <v>3880</v>
      </c>
      <c r="P8" s="9">
        <v>0.18</v>
      </c>
      <c r="Q8" s="9" t="s">
        <v>167</v>
      </c>
      <c r="R8" s="9" t="s">
        <v>168</v>
      </c>
      <c r="S8" s="9" t="s">
        <v>219</v>
      </c>
      <c r="T8" s="9" t="s">
        <v>220</v>
      </c>
      <c r="U8" s="9" t="s">
        <v>169</v>
      </c>
      <c r="V8" s="9" t="s">
        <v>221</v>
      </c>
      <c r="W8" s="9" t="s">
        <v>222</v>
      </c>
      <c r="X8" s="9" t="s">
        <v>223</v>
      </c>
      <c r="Y8" s="9" t="s">
        <v>224</v>
      </c>
      <c r="Z8" s="9" t="s">
        <v>225</v>
      </c>
      <c r="AA8" s="9" t="s">
        <v>226</v>
      </c>
      <c r="AB8" s="9" t="s">
        <v>227</v>
      </c>
      <c r="AC8" s="9" t="s">
        <v>228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0.16239999999999999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-213669.61279604473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-413202.81997066695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-478382.63080158608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-495890.71002889855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245364.09446804819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1027866.741573544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2147926.9346379517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-490926.69100013183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-498516.18868522253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2187757.2628710065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2113899.3653301988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-149999.99760907266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3086875.4958605031</v>
      </c>
    </row>
    <row r="9" spans="2:44">
      <c r="B9" s="9" t="s">
        <v>96</v>
      </c>
      <c r="C9" s="9" t="s">
        <v>113</v>
      </c>
      <c r="D9" s="9" t="s">
        <v>171</v>
      </c>
      <c r="E9" s="9">
        <v>100</v>
      </c>
      <c r="F9" s="9">
        <v>524</v>
      </c>
      <c r="G9" s="7">
        <v>43139</v>
      </c>
      <c r="H9" s="7">
        <v>43201.625</v>
      </c>
      <c r="I9" s="7">
        <v>43201.625</v>
      </c>
      <c r="J9" s="9">
        <v>-235800</v>
      </c>
      <c r="K9" s="9" t="s">
        <v>7</v>
      </c>
      <c r="L9" s="9" t="s">
        <v>107</v>
      </c>
      <c r="M9" s="9" t="s">
        <v>136</v>
      </c>
      <c r="N9" s="9">
        <v>10000</v>
      </c>
      <c r="O9" s="9">
        <v>539</v>
      </c>
      <c r="P9" s="9">
        <v>0.36</v>
      </c>
      <c r="Q9" s="9" t="s">
        <v>167</v>
      </c>
      <c r="R9" s="9" t="s">
        <v>196</v>
      </c>
      <c r="S9" s="9" t="s">
        <v>229</v>
      </c>
      <c r="T9" s="9" t="s">
        <v>230</v>
      </c>
      <c r="U9" s="9" t="s">
        <v>198</v>
      </c>
      <c r="V9" s="9" t="s">
        <v>231</v>
      </c>
      <c r="W9" s="9" t="s">
        <v>232</v>
      </c>
      <c r="X9" s="9" t="s">
        <v>233</v>
      </c>
      <c r="Y9" s="9" t="s">
        <v>234</v>
      </c>
      <c r="Z9" s="9" t="s">
        <v>235</v>
      </c>
      <c r="AA9" s="9" t="s">
        <v>236</v>
      </c>
      <c r="AB9" s="9" t="s">
        <v>237</v>
      </c>
      <c r="AC9" s="9" t="s">
        <v>238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0.27744510978043913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-105852.01354646575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-170056.26325843483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-205131.49547596936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-223051.26947568095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-3702.1860515208682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136196.89050275745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315990.40778162179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-216344.13842316647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-228277.23294732426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326153.54315392475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307067.10073235026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-70736.420348819622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491000.17696355435</v>
      </c>
    </row>
    <row r="10" spans="2:44">
      <c r="B10" s="9" t="s">
        <v>97</v>
      </c>
      <c r="C10" s="9" t="s">
        <v>113</v>
      </c>
      <c r="D10" s="9" t="s">
        <v>171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44</v>
      </c>
      <c r="L10" s="9" t="s">
        <v>107</v>
      </c>
      <c r="M10" s="9" t="s">
        <v>136</v>
      </c>
      <c r="N10" s="9">
        <v>10000</v>
      </c>
      <c r="O10" s="9">
        <v>539</v>
      </c>
      <c r="P10" s="9">
        <v>0.36</v>
      </c>
      <c r="Q10" s="9" t="s">
        <v>167</v>
      </c>
      <c r="R10" s="9" t="s">
        <v>196</v>
      </c>
      <c r="S10" s="9" t="s">
        <v>229</v>
      </c>
      <c r="T10" s="9" t="s">
        <v>230</v>
      </c>
      <c r="U10" s="9" t="s">
        <v>198</v>
      </c>
      <c r="V10" s="9" t="s">
        <v>231</v>
      </c>
      <c r="W10" s="9" t="s">
        <v>232</v>
      </c>
      <c r="X10" s="9" t="s">
        <v>233</v>
      </c>
      <c r="Y10" s="9" t="s">
        <v>234</v>
      </c>
      <c r="Z10" s="9" t="s">
        <v>235</v>
      </c>
      <c r="AA10" s="9" t="s">
        <v>236</v>
      </c>
      <c r="AB10" s="9" t="s">
        <v>237</v>
      </c>
      <c r="AC10" s="9" t="s">
        <v>238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0.27744510978043913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43814.453708186746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205486.83637693926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390910.22148344072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598867.07986445085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-79912.351177589822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-160511.89194734822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-206595.00704920536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605574.21091696527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593641.11639280769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-196431.87167690232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-215518.31409847733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580803.61822151265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-70739.98125398648</v>
      </c>
    </row>
    <row r="11" spans="2:44">
      <c r="B11" s="9" t="s">
        <v>69</v>
      </c>
      <c r="C11" s="9" t="s">
        <v>112</v>
      </c>
      <c r="D11" s="9" t="s">
        <v>171</v>
      </c>
      <c r="E11" s="9">
        <v>1000</v>
      </c>
      <c r="F11" s="9">
        <v>3650.00000142</v>
      </c>
      <c r="G11" s="7">
        <v>43132</v>
      </c>
      <c r="H11" s="7">
        <v>43205.625</v>
      </c>
      <c r="I11" s="7">
        <v>43205.625</v>
      </c>
      <c r="J11" s="9">
        <v>-429999.99489999999</v>
      </c>
      <c r="K11" s="9" t="s">
        <v>7</v>
      </c>
      <c r="L11" s="9" t="s">
        <v>65</v>
      </c>
      <c r="M11" s="9" t="s">
        <v>63</v>
      </c>
      <c r="N11" s="9">
        <v>10000</v>
      </c>
      <c r="O11" s="9">
        <v>3880</v>
      </c>
      <c r="P11" s="9">
        <v>0.18</v>
      </c>
      <c r="Q11" s="9" t="s">
        <v>167</v>
      </c>
      <c r="R11" s="9" t="s">
        <v>168</v>
      </c>
      <c r="S11" s="9" t="s">
        <v>219</v>
      </c>
      <c r="T11" s="9" t="s">
        <v>220</v>
      </c>
      <c r="U11" s="9" t="s">
        <v>169</v>
      </c>
      <c r="V11" s="9" t="s">
        <v>221</v>
      </c>
      <c r="W11" s="9" t="s">
        <v>222</v>
      </c>
      <c r="X11" s="9" t="s">
        <v>223</v>
      </c>
      <c r="Y11" s="9" t="s">
        <v>224</v>
      </c>
      <c r="Z11" s="9" t="s">
        <v>225</v>
      </c>
      <c r="AA11" s="9" t="s">
        <v>226</v>
      </c>
      <c r="AB11" s="9" t="s">
        <v>227</v>
      </c>
      <c r="AC11" s="9" t="s">
        <v>228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0.15833616298811545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-288476.08400689799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-395161.32424372376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-423058.02950281859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-428968.57823503157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11604.095772645902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616332.48904064088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1600119.8657841375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-427213.09249632992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-429715.78481083148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1652531.1460808245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1552173.5454597212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-128999.99841733629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2898388.3615701008</v>
      </c>
    </row>
    <row r="12" spans="2:44">
      <c r="B12" s="9" t="s">
        <v>70</v>
      </c>
      <c r="C12" s="9" t="s">
        <v>112</v>
      </c>
      <c r="D12" s="9" t="s">
        <v>171</v>
      </c>
      <c r="E12" s="9">
        <v>1000</v>
      </c>
      <c r="F12" s="9">
        <v>3650.0000014560001</v>
      </c>
      <c r="G12" s="7">
        <v>43129</v>
      </c>
      <c r="H12" s="7">
        <v>43189.625</v>
      </c>
      <c r="I12" s="7">
        <v>43189.625</v>
      </c>
      <c r="J12" s="9">
        <v>-470000.00880000001</v>
      </c>
      <c r="K12" s="9" t="s">
        <v>7</v>
      </c>
      <c r="L12" s="9" t="s">
        <v>65</v>
      </c>
      <c r="M12" s="9" t="s">
        <v>63</v>
      </c>
      <c r="N12" s="9">
        <v>10000</v>
      </c>
      <c r="O12" s="9">
        <v>3880</v>
      </c>
      <c r="P12" s="9">
        <v>0.18</v>
      </c>
      <c r="Q12" s="9" t="s">
        <v>167</v>
      </c>
      <c r="R12" s="9" t="s">
        <v>168</v>
      </c>
      <c r="S12" s="9" t="s">
        <v>219</v>
      </c>
      <c r="T12" s="9" t="s">
        <v>220</v>
      </c>
      <c r="U12" s="9" t="s">
        <v>169</v>
      </c>
      <c r="V12" s="9" t="s">
        <v>221</v>
      </c>
      <c r="W12" s="9" t="s">
        <v>222</v>
      </c>
      <c r="X12" s="9" t="s">
        <v>223</v>
      </c>
      <c r="Y12" s="9" t="s">
        <v>224</v>
      </c>
      <c r="Z12" s="9" t="s">
        <v>225</v>
      </c>
      <c r="AA12" s="9" t="s">
        <v>226</v>
      </c>
      <c r="AB12" s="9" t="s">
        <v>227</v>
      </c>
      <c r="AC12" s="9" t="s">
        <v>228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0.15096907216494845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-417342.40070999414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-463759.8084345191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-469506.67502917553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-469977.01256700902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-197497.26675255108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394491.8878930037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1457623.2568934832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-469892.43875369319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-469996.97778544854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1487698.1443967496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1431802.8853185221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-141000.00263999996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2889043.6698195771</v>
      </c>
    </row>
    <row r="13" spans="2:44">
      <c r="B13" s="9" t="s">
        <v>9</v>
      </c>
      <c r="C13" s="9" t="s">
        <v>114</v>
      </c>
      <c r="D13" s="9" t="s">
        <v>171</v>
      </c>
      <c r="E13" s="9">
        <v>400</v>
      </c>
      <c r="F13" s="9">
        <v>14500.000004</v>
      </c>
      <c r="G13" s="7">
        <v>43118</v>
      </c>
      <c r="H13" s="7">
        <v>43200.625</v>
      </c>
      <c r="I13" s="7">
        <v>43200.625</v>
      </c>
      <c r="J13" s="9">
        <v>-400000</v>
      </c>
      <c r="K13" s="9" t="s">
        <v>7</v>
      </c>
      <c r="L13" s="9" t="s">
        <v>10</v>
      </c>
      <c r="M13" s="9" t="s">
        <v>11</v>
      </c>
      <c r="N13" s="9">
        <v>2000</v>
      </c>
      <c r="O13" s="9">
        <v>14425</v>
      </c>
      <c r="P13" s="9">
        <v>0.14000000000000001</v>
      </c>
      <c r="Q13" s="9" t="s">
        <v>167</v>
      </c>
      <c r="R13" s="9" t="s">
        <v>189</v>
      </c>
      <c r="S13" s="9" t="s">
        <v>239</v>
      </c>
      <c r="T13" s="9" t="s">
        <v>240</v>
      </c>
      <c r="U13" s="9" t="s">
        <v>190</v>
      </c>
      <c r="V13" s="9" t="s">
        <v>241</v>
      </c>
      <c r="W13" s="9" t="s">
        <v>242</v>
      </c>
      <c r="X13" s="9" t="s">
        <v>243</v>
      </c>
      <c r="Y13" s="9" t="s">
        <v>244</v>
      </c>
      <c r="Z13" s="9" t="s">
        <v>245</v>
      </c>
      <c r="AA13" s="9" t="s">
        <v>246</v>
      </c>
      <c r="AB13" s="9" t="s">
        <v>247</v>
      </c>
      <c r="AC13" s="9" t="s">
        <v>248</v>
      </c>
      <c r="AD13" s="9">
        <v>0.12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0.12959152798789714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170069.90595120878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-77284.204829984752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-235903.55378524266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-328744.44262680446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512473.91323936894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938894.10591379832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1452765.6847711066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-302424.19632847293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-351520.53890406754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1469466.2855998182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1439525.5959058048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-119985.30298964249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1418970.075385801</v>
      </c>
    </row>
    <row r="14" spans="2:44">
      <c r="B14" s="9" t="s">
        <v>71</v>
      </c>
      <c r="C14" s="9" t="s">
        <v>112</v>
      </c>
      <c r="D14" s="9" t="s">
        <v>171</v>
      </c>
      <c r="E14" s="9">
        <v>500</v>
      </c>
      <c r="F14" s="9">
        <v>3550.00000086</v>
      </c>
      <c r="G14" s="7">
        <v>43104</v>
      </c>
      <c r="H14" s="7">
        <v>43167.625</v>
      </c>
      <c r="I14" s="7">
        <v>43167.625</v>
      </c>
      <c r="J14" s="9">
        <v>-315000.00594</v>
      </c>
      <c r="K14" s="9" t="s">
        <v>7</v>
      </c>
      <c r="L14" s="9" t="s">
        <v>65</v>
      </c>
      <c r="M14" s="9" t="s">
        <v>63</v>
      </c>
      <c r="N14" s="9">
        <v>5000</v>
      </c>
      <c r="O14" s="9">
        <v>3880</v>
      </c>
      <c r="P14" s="9">
        <v>0.18</v>
      </c>
      <c r="Q14" s="9" t="s">
        <v>167</v>
      </c>
      <c r="R14" s="9" t="s">
        <v>168</v>
      </c>
      <c r="S14" s="9" t="s">
        <v>219</v>
      </c>
      <c r="T14" s="9" t="s">
        <v>220</v>
      </c>
      <c r="U14" s="9" t="s">
        <v>169</v>
      </c>
      <c r="V14" s="9" t="s">
        <v>221</v>
      </c>
      <c r="W14" s="9" t="s">
        <v>222</v>
      </c>
      <c r="X14" s="9" t="s">
        <v>223</v>
      </c>
      <c r="Y14" s="9" t="s">
        <v>224</v>
      </c>
      <c r="Z14" s="9" t="s">
        <v>225</v>
      </c>
      <c r="AA14" s="9" t="s">
        <v>226</v>
      </c>
      <c r="AB14" s="9" t="s">
        <v>227</v>
      </c>
      <c r="AC14" s="9" t="s">
        <v>228</v>
      </c>
      <c r="AD14" s="9">
        <v>0.125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0.13072691552062868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-314999.99237589433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-315000.00593996083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-315000.00594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-315000.00594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-314861.47057899687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-281317.98607144121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122508.34564709797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-315000.00594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-315000.00594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127705.30236192769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118215.19661785755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-94500.001781999992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1272403.7046623887</v>
      </c>
    </row>
    <row r="15" spans="2:44">
      <c r="B15" s="9" t="s">
        <v>98</v>
      </c>
      <c r="C15" s="9" t="s">
        <v>116</v>
      </c>
      <c r="D15" s="9" t="s">
        <v>171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7</v>
      </c>
      <c r="L15" s="9" t="s">
        <v>108</v>
      </c>
      <c r="M15" s="9" t="s">
        <v>123</v>
      </c>
      <c r="N15" s="9">
        <v>-3000</v>
      </c>
      <c r="O15" s="9">
        <v>1394</v>
      </c>
      <c r="P15" s="9">
        <v>0.36</v>
      </c>
      <c r="Q15" s="9" t="s">
        <v>167</v>
      </c>
      <c r="R15" s="9" t="s">
        <v>168</v>
      </c>
      <c r="S15" s="9" t="s">
        <v>249</v>
      </c>
      <c r="T15" s="9" t="s">
        <v>250</v>
      </c>
      <c r="U15" s="9" t="s">
        <v>169</v>
      </c>
      <c r="V15" s="9" t="s">
        <v>251</v>
      </c>
      <c r="W15" s="9" t="s">
        <v>252</v>
      </c>
      <c r="X15" s="9" t="s">
        <v>253</v>
      </c>
      <c r="Y15" s="9" t="s">
        <v>254</v>
      </c>
      <c r="Z15" s="9" t="s">
        <v>255</v>
      </c>
      <c r="AA15" s="9" t="s">
        <v>256</v>
      </c>
      <c r="AB15" s="9" t="s">
        <v>257</v>
      </c>
      <c r="AC15" s="9" t="s">
        <v>258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-32150.056993467486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-15957.733358470558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-7258.0502428424516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-3168.3838081425101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-60500.236424849267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-107681.69897546877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-175610.92940119209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-5691.5984115224919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-1506.3249429939599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-190539.56349786647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-160702.6309540089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-2.0508606692461404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-288704.57153347018</v>
      </c>
    </row>
    <row r="16" spans="2:44">
      <c r="B16" s="9" t="s">
        <v>99</v>
      </c>
      <c r="C16" s="9" t="s">
        <v>116</v>
      </c>
      <c r="D16" s="9" t="s">
        <v>171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44</v>
      </c>
      <c r="L16" s="9" t="s">
        <v>108</v>
      </c>
      <c r="M16" s="9" t="s">
        <v>123</v>
      </c>
      <c r="N16" s="9">
        <v>-3000</v>
      </c>
      <c r="O16" s="9">
        <v>1394</v>
      </c>
      <c r="P16" s="9">
        <v>0.36</v>
      </c>
      <c r="Q16" s="9" t="s">
        <v>167</v>
      </c>
      <c r="R16" s="9" t="s">
        <v>168</v>
      </c>
      <c r="S16" s="9" t="s">
        <v>249</v>
      </c>
      <c r="T16" s="9" t="s">
        <v>250</v>
      </c>
      <c r="U16" s="9" t="s">
        <v>169</v>
      </c>
      <c r="V16" s="9" t="s">
        <v>251</v>
      </c>
      <c r="W16" s="9" t="s">
        <v>252</v>
      </c>
      <c r="X16" s="9" t="s">
        <v>253</v>
      </c>
      <c r="Y16" s="9" t="s">
        <v>254</v>
      </c>
      <c r="Z16" s="9" t="s">
        <v>255</v>
      </c>
      <c r="AA16" s="9" t="s">
        <v>256</v>
      </c>
      <c r="AB16" s="9" t="s">
        <v>257</v>
      </c>
      <c r="AC16" s="9" t="s">
        <v>258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-439510.61340053094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-573634.33507974027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-719426.14298149094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-865652.52186099684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-317544.74751770619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-210234.71905094734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-127847.90416246415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-868175.73646437703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-863990.46299584862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-142776.53825913812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-112939.60571528118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-533074.0749749525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-48.881263425121858</v>
      </c>
    </row>
    <row r="17" spans="2:44">
      <c r="B17" s="9" t="s">
        <v>100</v>
      </c>
      <c r="C17" s="9" t="s">
        <v>117</v>
      </c>
      <c r="D17" s="9" t="s">
        <v>171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v>43189.625</v>
      </c>
      <c r="J17" s="9">
        <v>-5999999.9280000003</v>
      </c>
      <c r="K17" s="9" t="s">
        <v>7</v>
      </c>
      <c r="L17" s="9" t="s">
        <v>108</v>
      </c>
      <c r="M17" s="9" t="s">
        <v>123</v>
      </c>
      <c r="N17" s="9">
        <v>120000</v>
      </c>
      <c r="O17" s="9">
        <v>1394</v>
      </c>
      <c r="P17" s="9">
        <v>0.36</v>
      </c>
      <c r="Q17" s="9" t="s">
        <v>167</v>
      </c>
      <c r="R17" s="9" t="s">
        <v>168</v>
      </c>
      <c r="S17" s="9" t="s">
        <v>249</v>
      </c>
      <c r="T17" s="9" t="s">
        <v>250</v>
      </c>
      <c r="U17" s="9" t="s">
        <v>169</v>
      </c>
      <c r="V17" s="9" t="s">
        <v>251</v>
      </c>
      <c r="W17" s="9" t="s">
        <v>252</v>
      </c>
      <c r="X17" s="9" t="s">
        <v>253</v>
      </c>
      <c r="Y17" s="9" t="s">
        <v>254</v>
      </c>
      <c r="Z17" s="9" t="s">
        <v>255</v>
      </c>
      <c r="AA17" s="9" t="s">
        <v>256</v>
      </c>
      <c r="AB17" s="9" t="s">
        <v>257</v>
      </c>
      <c r="AC17" s="9" t="s">
        <v>258</v>
      </c>
      <c r="AD17" s="9">
        <v>0.32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0.32933741080530071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-5687034.0695909457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-5879305.8881488545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-5958378.5631249882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-5986324.4631474512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-5256354.3841013173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-4355484.3782876041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-2767809.1180954459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-5966535.0097489711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-5995696.6607396659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-2263267.5538761928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-3265400.320496825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-1799998.7183478198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7665408.6510432987</v>
      </c>
    </row>
    <row r="18" spans="2:44">
      <c r="B18" s="9" t="s">
        <v>101</v>
      </c>
      <c r="C18" s="9" t="s">
        <v>117</v>
      </c>
      <c r="D18" s="9" t="s">
        <v>171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v>43189.625</v>
      </c>
      <c r="J18" s="9">
        <v>-1791000.0179999999</v>
      </c>
      <c r="K18" s="9" t="s">
        <v>7</v>
      </c>
      <c r="L18" s="9" t="s">
        <v>109</v>
      </c>
      <c r="M18" s="9" t="s">
        <v>121</v>
      </c>
      <c r="N18" s="9">
        <v>3000</v>
      </c>
      <c r="O18" s="9">
        <v>12950</v>
      </c>
      <c r="P18" s="9">
        <v>0.36</v>
      </c>
      <c r="Q18" s="9" t="s">
        <v>167</v>
      </c>
      <c r="R18" s="9" t="s">
        <v>259</v>
      </c>
      <c r="S18" s="9" t="s">
        <v>260</v>
      </c>
      <c r="T18" s="9" t="s">
        <v>261</v>
      </c>
      <c r="U18" s="9" t="s">
        <v>262</v>
      </c>
      <c r="V18" s="9" t="s">
        <v>263</v>
      </c>
      <c r="W18" s="9" t="s">
        <v>264</v>
      </c>
      <c r="X18" s="9" t="s">
        <v>265</v>
      </c>
      <c r="Y18" s="9" t="s">
        <v>266</v>
      </c>
      <c r="Z18" s="9" t="s">
        <v>267</v>
      </c>
      <c r="AA18" s="9" t="s">
        <v>268</v>
      </c>
      <c r="AB18" s="9" t="s">
        <v>269</v>
      </c>
      <c r="AC18" s="9" t="s">
        <v>270</v>
      </c>
      <c r="AD18" s="9">
        <v>0.26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0.28110599078341014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-494426.36097650207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-1034818.7483908982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-1386032.6773030597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-1592002.0385916096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256972.24167158687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1206896.9723689884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2311747.4988942277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-1521896.7168915141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-1653374.9966734683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2360924.6858657664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2271056.0176008837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-537136.2725773477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2952103.1173818749</v>
      </c>
    </row>
    <row r="19" spans="2:44">
      <c r="B19" s="9" t="s">
        <v>102</v>
      </c>
      <c r="C19" s="9" t="s">
        <v>116</v>
      </c>
      <c r="D19" s="9" t="s">
        <v>171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7</v>
      </c>
      <c r="L19" s="9" t="s">
        <v>110</v>
      </c>
      <c r="M19" s="9" t="s">
        <v>63</v>
      </c>
      <c r="N19" s="9">
        <v>-5000</v>
      </c>
      <c r="O19" s="9">
        <v>4024</v>
      </c>
      <c r="P19" s="9">
        <v>0.18</v>
      </c>
      <c r="Q19" s="9" t="s">
        <v>167</v>
      </c>
      <c r="R19" s="9" t="s">
        <v>168</v>
      </c>
      <c r="S19" s="9" t="s">
        <v>219</v>
      </c>
      <c r="T19" s="9" t="s">
        <v>220</v>
      </c>
      <c r="U19" s="9" t="s">
        <v>169</v>
      </c>
      <c r="V19" s="9" t="s">
        <v>221</v>
      </c>
      <c r="W19" s="9" t="s">
        <v>222</v>
      </c>
      <c r="X19" s="9" t="s">
        <v>223</v>
      </c>
      <c r="Y19" s="9" t="s">
        <v>224</v>
      </c>
      <c r="Z19" s="9" t="s">
        <v>225</v>
      </c>
      <c r="AA19" s="9" t="s">
        <v>226</v>
      </c>
      <c r="AB19" s="9" t="s">
        <v>227</v>
      </c>
      <c r="AC19" s="9" t="s">
        <v>228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-16246.91447217723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-3381.0031133327188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-599.79612553202435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-83.268733928780406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-62477.695548404976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-185889.28588309407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-456787.40027875727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-303.24905444253875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-15.368835056043533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-500774.9073293921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-412799.64824341174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-7.7674567916413456E-6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-1292497.9368300927</v>
      </c>
    </row>
    <row r="20" spans="2:44">
      <c r="B20" s="9" t="s">
        <v>103</v>
      </c>
      <c r="C20" s="9" t="s">
        <v>116</v>
      </c>
      <c r="D20" s="9" t="s">
        <v>171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44</v>
      </c>
      <c r="L20" s="9" t="s">
        <v>110</v>
      </c>
      <c r="M20" s="9" t="s">
        <v>63</v>
      </c>
      <c r="N20" s="9">
        <v>-5000</v>
      </c>
      <c r="O20" s="9">
        <v>4024</v>
      </c>
      <c r="P20" s="9">
        <v>0.18</v>
      </c>
      <c r="Q20" s="9" t="s">
        <v>167</v>
      </c>
      <c r="R20" s="9" t="s">
        <v>168</v>
      </c>
      <c r="S20" s="9" t="s">
        <v>219</v>
      </c>
      <c r="T20" s="9" t="s">
        <v>220</v>
      </c>
      <c r="U20" s="9" t="s">
        <v>169</v>
      </c>
      <c r="V20" s="9" t="s">
        <v>221</v>
      </c>
      <c r="W20" s="9" t="s">
        <v>222</v>
      </c>
      <c r="X20" s="9" t="s">
        <v>223</v>
      </c>
      <c r="Y20" s="9" t="s">
        <v>224</v>
      </c>
      <c r="Z20" s="9" t="s">
        <v>225</v>
      </c>
      <c r="AA20" s="9" t="s">
        <v>226</v>
      </c>
      <c r="AB20" s="9" t="s">
        <v>227</v>
      </c>
      <c r="AC20" s="9" t="s">
        <v>228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-553219.04440723965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-1029904.8720968465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-1614565.2347712484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-2288487.3195970608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-239463.86278284501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-81390.312010905138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-19158.952388625185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-2301365.4623310282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-2279011.4747293913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-30859.807014878545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-10527.506033195015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-1962930.1602602431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-1.5802817491758181E-5</v>
      </c>
    </row>
    <row r="21" spans="2:44">
      <c r="B21" s="9" t="s">
        <v>104</v>
      </c>
      <c r="C21" s="9" t="s">
        <v>117</v>
      </c>
      <c r="D21" s="9" t="s">
        <v>171</v>
      </c>
      <c r="E21" s="9">
        <v>500</v>
      </c>
      <c r="F21" s="9">
        <v>450</v>
      </c>
      <c r="G21" s="7">
        <v>43048</v>
      </c>
      <c r="H21" s="7">
        <v>43203.625</v>
      </c>
      <c r="I21" s="7">
        <v>43203.625</v>
      </c>
      <c r="J21" s="9">
        <v>-760500</v>
      </c>
      <c r="K21" s="9" t="s">
        <v>7</v>
      </c>
      <c r="L21" s="9" t="s">
        <v>107</v>
      </c>
      <c r="M21" s="9" t="s">
        <v>136</v>
      </c>
      <c r="N21" s="9">
        <v>50000</v>
      </c>
      <c r="O21" s="9">
        <v>539</v>
      </c>
      <c r="P21" s="9">
        <v>0.36</v>
      </c>
      <c r="Q21" s="9" t="s">
        <v>167</v>
      </c>
      <c r="R21" s="9" t="s">
        <v>196</v>
      </c>
      <c r="S21" s="9" t="s">
        <v>229</v>
      </c>
      <c r="T21" s="9" t="s">
        <v>230</v>
      </c>
      <c r="U21" s="9" t="s">
        <v>198</v>
      </c>
      <c r="V21" s="9" t="s">
        <v>231</v>
      </c>
      <c r="W21" s="9" t="s">
        <v>232</v>
      </c>
      <c r="X21" s="9" t="s">
        <v>233</v>
      </c>
      <c r="Y21" s="9" t="s">
        <v>234</v>
      </c>
      <c r="Z21" s="9" t="s">
        <v>235</v>
      </c>
      <c r="AA21" s="9" t="s">
        <v>236</v>
      </c>
      <c r="AB21" s="9" t="s">
        <v>237</v>
      </c>
      <c r="AC21" s="9" t="s">
        <v>238</v>
      </c>
      <c r="AD21" s="9">
        <v>0.27</v>
      </c>
      <c r="AE2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0.29465060240963858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-724529.51858243044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-748203.07357762172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-756541.16418815765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-759355.36017273192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-664975.66645312775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-536303.82211209496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-278472.7493097104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-757371.11051712069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-760189.47276080621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-194957.0263705455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-360197.1112311157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-228149.94310092885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1473159.2663894626</v>
      </c>
    </row>
    <row r="22" spans="2:44">
      <c r="B22" s="9" t="s">
        <v>105</v>
      </c>
      <c r="C22" s="9" t="s">
        <v>117</v>
      </c>
      <c r="D22" s="9" t="s">
        <v>171</v>
      </c>
      <c r="E22" s="9">
        <v>1500</v>
      </c>
      <c r="F22" s="9">
        <v>4000</v>
      </c>
      <c r="G22" s="7">
        <v>43048</v>
      </c>
      <c r="H22" s="7">
        <v>43203.625</v>
      </c>
      <c r="I22" s="7">
        <v>43203.625</v>
      </c>
      <c r="J22" s="9">
        <v>-2317950</v>
      </c>
      <c r="K22" s="9" t="s">
        <v>44</v>
      </c>
      <c r="L22" s="9" t="s">
        <v>110</v>
      </c>
      <c r="M22" s="9" t="s">
        <v>63</v>
      </c>
      <c r="N22" s="9">
        <v>15000</v>
      </c>
      <c r="O22" s="9">
        <v>4024</v>
      </c>
      <c r="P22" s="9">
        <v>0.18</v>
      </c>
      <c r="Q22" s="9" t="s">
        <v>167</v>
      </c>
      <c r="R22" s="9" t="s">
        <v>168</v>
      </c>
      <c r="S22" s="9" t="s">
        <v>219</v>
      </c>
      <c r="T22" s="9" t="s">
        <v>220</v>
      </c>
      <c r="U22" s="9" t="s">
        <v>169</v>
      </c>
      <c r="V22" s="9" t="s">
        <v>221</v>
      </c>
      <c r="W22" s="9" t="s">
        <v>222</v>
      </c>
      <c r="X22" s="9" t="s">
        <v>223</v>
      </c>
      <c r="Y22" s="9" t="s">
        <v>224</v>
      </c>
      <c r="Z22" s="9" t="s">
        <v>225</v>
      </c>
      <c r="AA22" s="9" t="s">
        <v>226</v>
      </c>
      <c r="AB22" s="9" t="s">
        <v>227</v>
      </c>
      <c r="AC22" s="9" t="s">
        <v>228</v>
      </c>
      <c r="AD22" s="9">
        <v>0.255</v>
      </c>
      <c r="AE2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0.23445783132530121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-214437.37227261858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1153109.2194921626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2788941.2066864576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4694512.75325289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-1201977.7861638977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-1803268.2282241075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-2127179.5140196034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4783425.0041689379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4620343.2530171992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-2046776.3822513041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-2194351.7746576974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5193487.6235615015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-695384.75017970335</v>
      </c>
    </row>
    <row r="23" spans="2:44">
      <c r="B23" s="9" t="s">
        <v>106</v>
      </c>
      <c r="C23" s="9" t="s">
        <v>117</v>
      </c>
      <c r="D23" s="9" t="s">
        <v>171</v>
      </c>
      <c r="E23" s="9">
        <v>1500</v>
      </c>
      <c r="F23" s="9">
        <v>3600</v>
      </c>
      <c r="G23" s="7">
        <v>43048</v>
      </c>
      <c r="H23" s="7">
        <v>43203.625</v>
      </c>
      <c r="I23" s="7">
        <v>43203.625</v>
      </c>
      <c r="J23" s="9">
        <v>-2277450</v>
      </c>
      <c r="K23" s="9" t="s">
        <v>7</v>
      </c>
      <c r="L23" s="9" t="s">
        <v>110</v>
      </c>
      <c r="M23" s="9" t="s">
        <v>63</v>
      </c>
      <c r="N23" s="9">
        <v>15000</v>
      </c>
      <c r="O23" s="9">
        <v>4024</v>
      </c>
      <c r="P23" s="9">
        <v>0.18</v>
      </c>
      <c r="Q23" s="9" t="s">
        <v>167</v>
      </c>
      <c r="R23" s="9" t="s">
        <v>168</v>
      </c>
      <c r="S23" s="9" t="s">
        <v>219</v>
      </c>
      <c r="T23" s="9" t="s">
        <v>220</v>
      </c>
      <c r="U23" s="9" t="s">
        <v>169</v>
      </c>
      <c r="V23" s="9" t="s">
        <v>221</v>
      </c>
      <c r="W23" s="9" t="s">
        <v>222</v>
      </c>
      <c r="X23" s="9" t="s">
        <v>223</v>
      </c>
      <c r="Y23" s="9" t="s">
        <v>224</v>
      </c>
      <c r="Z23" s="9" t="s">
        <v>225</v>
      </c>
      <c r="AA23" s="9" t="s">
        <v>226</v>
      </c>
      <c r="AB23" s="9" t="s">
        <v>227</v>
      </c>
      <c r="AC23" s="9" t="s">
        <v>228</v>
      </c>
      <c r="AD23" s="9">
        <v>0.255</v>
      </c>
      <c r="AE2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0.23445783132530121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-2106363.4758216753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-2216191.3880799366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-2257218.5930127925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-2271626.4562764731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-1853495.6502197157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-1367051.7351300404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-507862.2642902669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-2263800.525343806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-2275508.6314123692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-336009.54725259822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-679733.5452258247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-683234.818753022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3194347.186826997</v>
      </c>
    </row>
    <row r="24" spans="2:44">
      <c r="B24" s="9" t="s">
        <v>6</v>
      </c>
      <c r="C24" s="9" t="s">
        <v>128</v>
      </c>
      <c r="D24" s="9" t="s">
        <v>171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7</v>
      </c>
      <c r="L24" s="9" t="s">
        <v>8</v>
      </c>
      <c r="M24" s="9" t="s">
        <v>1</v>
      </c>
      <c r="N24" s="9">
        <v>500</v>
      </c>
      <c r="O24" s="9">
        <v>52540</v>
      </c>
      <c r="P24" s="9">
        <v>0.14000000000000001</v>
      </c>
      <c r="Q24" s="9" t="s">
        <v>167</v>
      </c>
      <c r="R24" s="9" t="s">
        <v>195</v>
      </c>
      <c r="S24" s="9" t="s">
        <v>271</v>
      </c>
      <c r="T24" s="9" t="s">
        <v>192</v>
      </c>
      <c r="U24" s="9" t="s">
        <v>197</v>
      </c>
      <c r="V24" s="9" t="s">
        <v>272</v>
      </c>
      <c r="W24" s="9" t="s">
        <v>194</v>
      </c>
      <c r="X24" s="9" t="s">
        <v>273</v>
      </c>
      <c r="Y24" s="9" t="s">
        <v>274</v>
      </c>
      <c r="Z24" s="9" t="s">
        <v>275</v>
      </c>
      <c r="AA24" s="9" t="s">
        <v>276</v>
      </c>
      <c r="AB24" s="9" t="s">
        <v>277</v>
      </c>
      <c r="AC24" s="9" t="s">
        <v>278</v>
      </c>
      <c r="AD24" s="9">
        <v>0.12</v>
      </c>
      <c r="AE2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0.12746391752577318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-29338.377358542704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-46171.775489081883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-49531.931281966048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-49954.082406243608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31801.625747004815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201804.49358987593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510762.46616889437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-49827.122007967861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-49991.897976376531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538448.34475125314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483829.02871912363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-15000.001199976772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1115749.3157526259</v>
      </c>
    </row>
    <row r="25" spans="2:44">
      <c r="B25" s="9" t="s">
        <v>165</v>
      </c>
      <c r="C25" s="9" t="s">
        <v>117</v>
      </c>
      <c r="D25" s="9" t="s">
        <v>171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v>43154</v>
      </c>
      <c r="J25" s="9">
        <v>-271800</v>
      </c>
      <c r="K25" s="9" t="s">
        <v>44</v>
      </c>
      <c r="L25" s="9" t="s">
        <v>110</v>
      </c>
      <c r="M25" s="9" t="s">
        <v>63</v>
      </c>
      <c r="N25" s="9">
        <v>10000</v>
      </c>
      <c r="O25" s="9">
        <v>4024</v>
      </c>
      <c r="P25" s="9">
        <v>0.18</v>
      </c>
      <c r="Q25" s="9" t="s">
        <v>167</v>
      </c>
      <c r="R25" s="9" t="s">
        <v>168</v>
      </c>
      <c r="S25" s="9" t="s">
        <v>219</v>
      </c>
      <c r="T25" s="9" t="s">
        <v>220</v>
      </c>
      <c r="U25" s="9" t="s">
        <v>169</v>
      </c>
      <c r="V25" s="9" t="s">
        <v>221</v>
      </c>
      <c r="W25" s="9" t="s">
        <v>222</v>
      </c>
      <c r="X25" s="9" t="s">
        <v>223</v>
      </c>
      <c r="Y25" s="9" t="s">
        <v>224</v>
      </c>
      <c r="Z25" s="9" t="s">
        <v>225</v>
      </c>
      <c r="AA25" s="9" t="s">
        <v>226</v>
      </c>
      <c r="AB25" s="9" t="s">
        <v>227</v>
      </c>
      <c r="AC25" s="9" t="s">
        <v>228</v>
      </c>
      <c r="AD25" s="9">
        <v>0.13500000000000001</v>
      </c>
      <c r="AE25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0.16899563318777291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1225990.0750301047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2442305.5736976527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3799866.346743518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5240025.9795634393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417750.3079000194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85520.850605262269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8062.7020755884741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5241064.0900217071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5239610.4006243544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15262.067260436985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3575.4415251805513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4140131.324572756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3.0375751608465248E-14</v>
      </c>
    </row>
    <row r="26" spans="2:44">
      <c r="B26" s="9" t="s">
        <v>166</v>
      </c>
      <c r="C26" s="9" t="s">
        <v>117</v>
      </c>
      <c r="D26" s="9" t="s">
        <v>171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v>43154</v>
      </c>
      <c r="J26" s="9">
        <v>-388800</v>
      </c>
      <c r="K26" s="9" t="s">
        <v>7</v>
      </c>
      <c r="L26" s="9" t="s">
        <v>110</v>
      </c>
      <c r="M26" s="9" t="s">
        <v>63</v>
      </c>
      <c r="N26" s="9">
        <v>10000</v>
      </c>
      <c r="O26" s="9">
        <v>4024</v>
      </c>
      <c r="P26" s="9">
        <v>0.18</v>
      </c>
      <c r="Q26" s="9" t="s">
        <v>167</v>
      </c>
      <c r="R26" s="9" t="s">
        <v>168</v>
      </c>
      <c r="S26" s="9" t="s">
        <v>219</v>
      </c>
      <c r="T26" s="9" t="s">
        <v>220</v>
      </c>
      <c r="U26" s="9" t="s">
        <v>169</v>
      </c>
      <c r="V26" s="9" t="s">
        <v>221</v>
      </c>
      <c r="W26" s="9" t="s">
        <v>222</v>
      </c>
      <c r="X26" s="9" t="s">
        <v>223</v>
      </c>
      <c r="Y26" s="9" t="s">
        <v>224</v>
      </c>
      <c r="Z26" s="9" t="s">
        <v>225</v>
      </c>
      <c r="AA26" s="9" t="s">
        <v>226</v>
      </c>
      <c r="AB26" s="9" t="s">
        <v>227</v>
      </c>
      <c r="AC26" s="9" t="s">
        <v>228</v>
      </c>
      <c r="AD26" s="9">
        <v>0.13500000000000001</v>
      </c>
      <c r="AE2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0.16899563318777291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59897.24089330071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6880.1063946721197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513.30134223855271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21.914293720820588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311456.4815045062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974189.12977601239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2124144.7666116254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103.47866231255739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2.8520431182276522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2150334.7610506183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2102390.6923562451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1.2875299657605597E-11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3187261.0705996933</v>
      </c>
    </row>
    <row r="27" spans="2:44">
      <c r="B27" s="9" t="s">
        <v>185</v>
      </c>
      <c r="C27" s="9" t="s">
        <v>175</v>
      </c>
      <c r="D27" s="9" t="s">
        <v>178</v>
      </c>
      <c r="E27" s="9">
        <v>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199</v>
      </c>
      <c r="L27" s="9" t="s">
        <v>180</v>
      </c>
      <c r="M27" s="9" t="s">
        <v>215</v>
      </c>
      <c r="N27" s="9">
        <v>320000</v>
      </c>
      <c r="O27" s="9">
        <v>16.489999999999998</v>
      </c>
      <c r="P27" s="9">
        <v>0.12</v>
      </c>
      <c r="Q27" s="9" t="s">
        <v>167</v>
      </c>
      <c r="R27" s="9" t="s">
        <v>279</v>
      </c>
      <c r="S27" s="9" t="s">
        <v>280</v>
      </c>
      <c r="T27" s="9" t="s">
        <v>281</v>
      </c>
      <c r="U27" s="9" t="s">
        <v>282</v>
      </c>
      <c r="V27" s="9" t="s">
        <v>283</v>
      </c>
      <c r="W27" s="9" t="s">
        <v>284</v>
      </c>
      <c r="X27" s="9" t="s">
        <v>285</v>
      </c>
      <c r="Y27" s="9" t="s">
        <v>286</v>
      </c>
      <c r="Z27" s="9" t="s">
        <v>287</v>
      </c>
      <c r="AA27" s="9" t="s">
        <v>288</v>
      </c>
      <c r="AB27" s="9" t="s">
        <v>289</v>
      </c>
      <c r="AC27" s="9" t="s">
        <v>290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-17168.050000000298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114751.94999999976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251948.74999999904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383868.75000000023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-149088.05000000037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-286284.85000000073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-418204.85000000027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383868.75000000023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383868.75000000023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-418204.85000000027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-418204.85000000027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357365.74500000011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-367666.57500000001</v>
      </c>
    </row>
    <row r="28" spans="2:44">
      <c r="B28" s="9" t="s">
        <v>182</v>
      </c>
      <c r="C28" s="9" t="s">
        <v>175</v>
      </c>
      <c r="D28" s="9" t="s">
        <v>178</v>
      </c>
      <c r="E28" s="9">
        <v>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201</v>
      </c>
      <c r="L28" s="9" t="s">
        <v>183</v>
      </c>
      <c r="M28" s="9" t="s">
        <v>210</v>
      </c>
      <c r="N28" s="9">
        <v>600</v>
      </c>
      <c r="O28" s="9">
        <v>2148</v>
      </c>
      <c r="P28" s="9">
        <v>0.12</v>
      </c>
      <c r="Q28" s="9" t="s">
        <v>167</v>
      </c>
      <c r="R28" s="9" t="s">
        <v>291</v>
      </c>
      <c r="S28" s="9" t="s">
        <v>191</v>
      </c>
      <c r="T28" s="9" t="s">
        <v>292</v>
      </c>
      <c r="U28" s="9" t="s">
        <v>293</v>
      </c>
      <c r="V28" s="9" t="s">
        <v>193</v>
      </c>
      <c r="W28" s="9" t="s">
        <v>294</v>
      </c>
      <c r="X28" s="9" t="s">
        <v>295</v>
      </c>
      <c r="Y28" s="9" t="s">
        <v>296</v>
      </c>
      <c r="Z28" s="9" t="s">
        <v>297</v>
      </c>
      <c r="AA28" s="9" t="s">
        <v>298</v>
      </c>
      <c r="AB28" s="9" t="s">
        <v>299</v>
      </c>
      <c r="AC28" s="9" t="s">
        <v>300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53202.48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32581.680000000037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11960.880000000074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-8659.920000000162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73823.279999999955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94444.079999999914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115064.88000000002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-8659.920000000162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-8659.920000000162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115064.88000000002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115064.88000000002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-40488.695999999945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72410.183999999994</v>
      </c>
    </row>
    <row r="29" spans="2:44">
      <c r="B29" s="9" t="s">
        <v>205</v>
      </c>
      <c r="C29" s="9" t="s">
        <v>175</v>
      </c>
      <c r="D29" s="9" t="s">
        <v>178</v>
      </c>
      <c r="E29" s="9">
        <v>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199</v>
      </c>
      <c r="L29" s="9" t="s">
        <v>180</v>
      </c>
      <c r="M29" s="9" t="s">
        <v>215</v>
      </c>
      <c r="N29" s="9">
        <v>150000</v>
      </c>
      <c r="O29" s="9">
        <v>16.489999999999998</v>
      </c>
      <c r="P29" s="9">
        <v>0.12</v>
      </c>
      <c r="Q29" s="9" t="s">
        <v>167</v>
      </c>
      <c r="R29" s="9" t="s">
        <v>279</v>
      </c>
      <c r="S29" s="9" t="s">
        <v>280</v>
      </c>
      <c r="T29" s="9" t="s">
        <v>281</v>
      </c>
      <c r="U29" s="9" t="s">
        <v>282</v>
      </c>
      <c r="V29" s="9" t="s">
        <v>283</v>
      </c>
      <c r="W29" s="9" t="s">
        <v>284</v>
      </c>
      <c r="X29" s="9" t="s">
        <v>285</v>
      </c>
      <c r="Y29" s="9" t="s">
        <v>286</v>
      </c>
      <c r="Z29" s="9" t="s">
        <v>287</v>
      </c>
      <c r="AA29" s="9" t="s">
        <v>288</v>
      </c>
      <c r="AB29" s="9" t="s">
        <v>289</v>
      </c>
      <c r="AC29" s="9" t="s">
        <v>290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-32248.050000000363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29589.449999999673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93900.449999999328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155737.9499999999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-94085.550000000396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-158396.55000000057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-220234.05000000034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155737.9499999999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155737.9499999999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-220234.05000000034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-220234.05000000034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160255.03499999997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-179603.86500000008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3"/>
  <sheetViews>
    <sheetView workbookViewId="0">
      <selection activeCell="B31" sqref="B31:L34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204</v>
      </c>
      <c r="C8" s="16" t="s">
        <v>74</v>
      </c>
      <c r="D8" s="16" t="s">
        <v>75</v>
      </c>
      <c r="E8" s="17" t="s">
        <v>76</v>
      </c>
      <c r="F8" s="16" t="s">
        <v>77</v>
      </c>
      <c r="G8" s="16" t="s">
        <v>78</v>
      </c>
      <c r="H8" s="16" t="s">
        <v>79</v>
      </c>
      <c r="I8" s="16" t="s">
        <v>80</v>
      </c>
      <c r="J8" s="16" t="s">
        <v>81</v>
      </c>
      <c r="K8" s="16" t="s">
        <v>170</v>
      </c>
      <c r="L8" s="16" t="s">
        <v>5</v>
      </c>
      <c r="M8" s="16" t="s">
        <v>82</v>
      </c>
      <c r="N8" s="18" t="s">
        <v>92</v>
      </c>
    </row>
    <row r="9" spans="2:14">
      <c r="B9" s="18" t="s">
        <v>67</v>
      </c>
      <c r="C9" s="18">
        <v>500</v>
      </c>
      <c r="D9" s="19">
        <v>43140</v>
      </c>
      <c r="E9" s="19">
        <v>43219.625</v>
      </c>
      <c r="F9" s="19">
        <v>43219</v>
      </c>
      <c r="G9" s="19">
        <v>43219.625</v>
      </c>
      <c r="H9" s="20">
        <v>3699.9999992799999</v>
      </c>
      <c r="I9" s="20">
        <v>-275000.00800000003</v>
      </c>
      <c r="J9" s="18" t="s">
        <v>7</v>
      </c>
      <c r="K9" s="18" t="s">
        <v>95</v>
      </c>
      <c r="L9" s="18" t="s">
        <v>65</v>
      </c>
      <c r="M9" s="18" t="s">
        <v>111</v>
      </c>
      <c r="N9" s="18">
        <v>0.125</v>
      </c>
    </row>
    <row r="10" spans="2:14">
      <c r="B10" s="18" t="s">
        <v>68</v>
      </c>
      <c r="C10" s="18">
        <v>1000</v>
      </c>
      <c r="D10" s="19">
        <v>43140</v>
      </c>
      <c r="E10" s="19">
        <v>43205.625</v>
      </c>
      <c r="F10" s="19">
        <v>43205</v>
      </c>
      <c r="G10" s="19">
        <v>43205.625</v>
      </c>
      <c r="H10" s="20">
        <v>3720.0000015999999</v>
      </c>
      <c r="I10" s="20">
        <v>-499999.99575</v>
      </c>
      <c r="J10" s="18" t="s">
        <v>7</v>
      </c>
      <c r="K10" s="18" t="s">
        <v>95</v>
      </c>
      <c r="L10" s="18" t="s">
        <v>65</v>
      </c>
      <c r="M10" s="18" t="s">
        <v>112</v>
      </c>
      <c r="N10" s="18">
        <v>0.125</v>
      </c>
    </row>
    <row r="11" spans="2:14">
      <c r="B11" s="18" t="s">
        <v>96</v>
      </c>
      <c r="C11" s="18">
        <v>100</v>
      </c>
      <c r="D11" s="19">
        <v>43139</v>
      </c>
      <c r="E11" s="19">
        <v>43201.625</v>
      </c>
      <c r="F11" s="19">
        <v>43201</v>
      </c>
      <c r="G11" s="19">
        <v>43201.625</v>
      </c>
      <c r="H11" s="18">
        <v>524</v>
      </c>
      <c r="I11" s="18">
        <v>-235800</v>
      </c>
      <c r="J11" s="18" t="s">
        <v>7</v>
      </c>
      <c r="K11" s="18" t="s">
        <v>95</v>
      </c>
      <c r="L11" s="18" t="s">
        <v>107</v>
      </c>
      <c r="M11" s="18" t="s">
        <v>113</v>
      </c>
      <c r="N11" s="18">
        <v>0.125</v>
      </c>
    </row>
    <row r="12" spans="2:14">
      <c r="B12" s="18" t="s">
        <v>97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44</v>
      </c>
      <c r="K12" s="18" t="s">
        <v>95</v>
      </c>
      <c r="L12" s="18" t="s">
        <v>107</v>
      </c>
      <c r="M12" s="18" t="s">
        <v>113</v>
      </c>
      <c r="N12" s="18">
        <v>0.125</v>
      </c>
    </row>
    <row r="13" spans="2:14">
      <c r="B13" s="18" t="s">
        <v>69</v>
      </c>
      <c r="C13" s="18">
        <v>1000</v>
      </c>
      <c r="D13" s="19">
        <v>43132</v>
      </c>
      <c r="E13" s="19">
        <v>43205.625</v>
      </c>
      <c r="F13" s="19">
        <v>43205</v>
      </c>
      <c r="G13" s="19">
        <v>43205.625</v>
      </c>
      <c r="H13" s="18">
        <v>3650.00000142</v>
      </c>
      <c r="I13" s="18">
        <v>-429999.99489999999</v>
      </c>
      <c r="J13" s="18" t="s">
        <v>7</v>
      </c>
      <c r="K13" s="18" t="s">
        <v>95</v>
      </c>
      <c r="L13" s="18" t="s">
        <v>65</v>
      </c>
      <c r="M13" s="18" t="s">
        <v>112</v>
      </c>
      <c r="N13" s="18">
        <v>0.125</v>
      </c>
    </row>
    <row r="14" spans="2:14">
      <c r="B14" s="18" t="s">
        <v>70</v>
      </c>
      <c r="C14" s="18">
        <v>1000</v>
      </c>
      <c r="D14" s="19">
        <v>43129</v>
      </c>
      <c r="E14" s="19">
        <v>43189.625</v>
      </c>
      <c r="F14" s="19">
        <v>43189</v>
      </c>
      <c r="G14" s="19">
        <v>43189.625</v>
      </c>
      <c r="H14" s="18">
        <v>3650.0000014560001</v>
      </c>
      <c r="I14" s="18">
        <v>-470000.00880000001</v>
      </c>
      <c r="J14" s="18" t="s">
        <v>7</v>
      </c>
      <c r="K14" s="18" t="s">
        <v>95</v>
      </c>
      <c r="L14" s="18" t="s">
        <v>65</v>
      </c>
      <c r="M14" s="18" t="s">
        <v>112</v>
      </c>
      <c r="N14" s="18">
        <v>0.125</v>
      </c>
    </row>
    <row r="15" spans="2:14">
      <c r="B15" s="18" t="s">
        <v>9</v>
      </c>
      <c r="C15" s="18">
        <v>400</v>
      </c>
      <c r="D15" s="19">
        <v>43118</v>
      </c>
      <c r="E15" s="19">
        <v>43200.625</v>
      </c>
      <c r="F15" s="19">
        <v>43202</v>
      </c>
      <c r="G15" s="19">
        <v>43200.625</v>
      </c>
      <c r="H15" s="18">
        <v>14500.000004</v>
      </c>
      <c r="I15" s="18">
        <v>-400000</v>
      </c>
      <c r="J15" s="18" t="s">
        <v>7</v>
      </c>
      <c r="K15" s="18" t="s">
        <v>95</v>
      </c>
      <c r="L15" s="18" t="s">
        <v>10</v>
      </c>
      <c r="M15" s="18" t="s">
        <v>114</v>
      </c>
      <c r="N15" s="18">
        <v>0.12</v>
      </c>
    </row>
    <row r="16" spans="2:14">
      <c r="B16" s="18" t="s">
        <v>71</v>
      </c>
      <c r="C16" s="18">
        <v>500</v>
      </c>
      <c r="D16" s="19">
        <v>43104</v>
      </c>
      <c r="E16" s="19">
        <v>43167.625</v>
      </c>
      <c r="F16" s="19">
        <v>43167</v>
      </c>
      <c r="G16" s="19">
        <v>43167.625</v>
      </c>
      <c r="H16" s="18">
        <v>3550.00000086</v>
      </c>
      <c r="I16" s="18">
        <v>-315000.00594</v>
      </c>
      <c r="J16" s="18" t="s">
        <v>7</v>
      </c>
      <c r="K16" s="18" t="s">
        <v>95</v>
      </c>
      <c r="L16" s="18" t="s">
        <v>65</v>
      </c>
      <c r="M16" s="18" t="s">
        <v>112</v>
      </c>
      <c r="N16" s="18">
        <v>0.125</v>
      </c>
    </row>
    <row r="17" spans="2:14">
      <c r="B17" s="18" t="s">
        <v>42</v>
      </c>
      <c r="C17" s="18">
        <v>125</v>
      </c>
      <c r="D17" s="19">
        <v>43098</v>
      </c>
      <c r="E17" s="19">
        <v>43159.625</v>
      </c>
      <c r="F17" s="19">
        <v>43279</v>
      </c>
      <c r="G17" s="19">
        <v>43098</v>
      </c>
      <c r="H17" s="18">
        <v>10039.999997630001</v>
      </c>
      <c r="I17" s="18">
        <v>0</v>
      </c>
      <c r="J17" s="18" t="s">
        <v>44</v>
      </c>
      <c r="K17" s="18" t="s">
        <v>95</v>
      </c>
      <c r="L17" s="18" t="s">
        <v>45</v>
      </c>
      <c r="M17" s="18" t="s">
        <v>115</v>
      </c>
      <c r="N17" s="18"/>
    </row>
    <row r="18" spans="2:14">
      <c r="B18" s="18" t="s">
        <v>43</v>
      </c>
      <c r="C18" s="18">
        <v>-125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9500.0000023699995</v>
      </c>
      <c r="I18" s="18">
        <v>9375</v>
      </c>
      <c r="J18" s="18" t="s">
        <v>7</v>
      </c>
      <c r="K18" s="18" t="s">
        <v>95</v>
      </c>
      <c r="L18" s="18" t="s">
        <v>45</v>
      </c>
      <c r="M18" s="18" t="s">
        <v>115</v>
      </c>
      <c r="N18" s="18"/>
    </row>
    <row r="19" spans="2:14">
      <c r="B19" s="18" t="s">
        <v>98</v>
      </c>
      <c r="C19" s="18">
        <v>-50</v>
      </c>
      <c r="D19" s="19">
        <v>43077</v>
      </c>
      <c r="E19" s="19">
        <v>43189.625</v>
      </c>
      <c r="F19" s="19">
        <v>43194</v>
      </c>
      <c r="G19" s="19">
        <v>43076</v>
      </c>
      <c r="H19" s="18">
        <v>1258</v>
      </c>
      <c r="I19" s="18">
        <v>297000</v>
      </c>
      <c r="J19" s="18" t="s">
        <v>7</v>
      </c>
      <c r="K19" s="18" t="s">
        <v>95</v>
      </c>
      <c r="L19" s="18" t="s">
        <v>108</v>
      </c>
      <c r="M19" s="18" t="s">
        <v>116</v>
      </c>
      <c r="N19" s="18"/>
    </row>
    <row r="20" spans="2:14">
      <c r="B20" s="18" t="s">
        <v>99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44</v>
      </c>
      <c r="K20" s="18" t="s">
        <v>95</v>
      </c>
      <c r="L20" s="18" t="s">
        <v>108</v>
      </c>
      <c r="M20" s="18" t="s">
        <v>116</v>
      </c>
      <c r="N20" s="18"/>
    </row>
    <row r="21" spans="2:14">
      <c r="B21" s="18" t="s">
        <v>100</v>
      </c>
      <c r="C21" s="18">
        <v>2000</v>
      </c>
      <c r="D21" s="19">
        <v>43067</v>
      </c>
      <c r="E21" s="19">
        <v>43189.625</v>
      </c>
      <c r="F21" s="19">
        <v>43189</v>
      </c>
      <c r="G21" s="19">
        <v>43189.625</v>
      </c>
      <c r="H21" s="18">
        <v>1199.9999998999999</v>
      </c>
      <c r="I21" s="18">
        <v>-5999999.9280000003</v>
      </c>
      <c r="J21" s="18" t="s">
        <v>7</v>
      </c>
      <c r="K21" s="18" t="s">
        <v>95</v>
      </c>
      <c r="L21" s="18" t="s">
        <v>108</v>
      </c>
      <c r="M21" s="18" t="s">
        <v>117</v>
      </c>
      <c r="N21" s="18">
        <v>0.32</v>
      </c>
    </row>
    <row r="22" spans="2:14">
      <c r="B22" s="18" t="s">
        <v>101</v>
      </c>
      <c r="C22" s="18">
        <v>300</v>
      </c>
      <c r="D22" s="19">
        <v>43054</v>
      </c>
      <c r="E22" s="19">
        <v>43189.625</v>
      </c>
      <c r="F22" s="19">
        <v>43190</v>
      </c>
      <c r="G22" s="19">
        <v>43189.625</v>
      </c>
      <c r="H22" s="18">
        <v>13000.000006799999</v>
      </c>
      <c r="I22" s="18">
        <v>-1791000.0179999999</v>
      </c>
      <c r="J22" s="18" t="s">
        <v>7</v>
      </c>
      <c r="K22" s="18" t="s">
        <v>95</v>
      </c>
      <c r="L22" s="18" t="s">
        <v>109</v>
      </c>
      <c r="M22" s="18" t="s">
        <v>117</v>
      </c>
      <c r="N22" s="18">
        <v>0.26</v>
      </c>
    </row>
    <row r="23" spans="2:14">
      <c r="B23" s="18" t="s">
        <v>102</v>
      </c>
      <c r="C23" s="18">
        <v>-500</v>
      </c>
      <c r="D23" s="19">
        <v>43048</v>
      </c>
      <c r="E23" s="19">
        <v>43203.625</v>
      </c>
      <c r="F23" s="19">
        <v>43203</v>
      </c>
      <c r="G23" s="19">
        <v>43048</v>
      </c>
      <c r="H23" s="18">
        <v>3599.9999997999998</v>
      </c>
      <c r="I23" s="18">
        <v>931199.99399999995</v>
      </c>
      <c r="J23" s="18" t="s">
        <v>7</v>
      </c>
      <c r="K23" s="18" t="s">
        <v>95</v>
      </c>
      <c r="L23" s="18" t="s">
        <v>110</v>
      </c>
      <c r="M23" s="18" t="s">
        <v>116</v>
      </c>
      <c r="N23" s="18"/>
    </row>
    <row r="24" spans="2:14">
      <c r="B24" s="18" t="s">
        <v>103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4000.0000002000002</v>
      </c>
      <c r="I24" s="18">
        <v>1122200.0019999999</v>
      </c>
      <c r="J24" s="18" t="s">
        <v>44</v>
      </c>
      <c r="K24" s="18" t="s">
        <v>95</v>
      </c>
      <c r="L24" s="18" t="s">
        <v>110</v>
      </c>
      <c r="M24" s="18" t="s">
        <v>116</v>
      </c>
      <c r="N24" s="18"/>
    </row>
    <row r="25" spans="2:14">
      <c r="B25" s="18" t="s">
        <v>104</v>
      </c>
      <c r="C25" s="18">
        <v>500</v>
      </c>
      <c r="D25" s="19">
        <v>43048</v>
      </c>
      <c r="E25" s="19">
        <v>43203.625</v>
      </c>
      <c r="F25" s="19">
        <v>43203</v>
      </c>
      <c r="G25" s="19">
        <v>43203.625</v>
      </c>
      <c r="H25" s="18">
        <v>450</v>
      </c>
      <c r="I25" s="18">
        <v>-760500</v>
      </c>
      <c r="J25" s="18" t="s">
        <v>7</v>
      </c>
      <c r="K25" s="18" t="s">
        <v>95</v>
      </c>
      <c r="L25" s="18" t="s">
        <v>107</v>
      </c>
      <c r="M25" s="18" t="s">
        <v>117</v>
      </c>
      <c r="N25" s="18">
        <v>0.27</v>
      </c>
    </row>
    <row r="26" spans="2:14">
      <c r="B26" s="18" t="s">
        <v>105</v>
      </c>
      <c r="C26" s="18">
        <v>1500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4000</v>
      </c>
      <c r="I26" s="18">
        <v>-2317950</v>
      </c>
      <c r="J26" s="18" t="s">
        <v>44</v>
      </c>
      <c r="K26" s="18" t="s">
        <v>95</v>
      </c>
      <c r="L26" s="18" t="s">
        <v>110</v>
      </c>
      <c r="M26" s="18" t="s">
        <v>117</v>
      </c>
      <c r="N26" s="18">
        <v>0.255</v>
      </c>
    </row>
    <row r="27" spans="2:14">
      <c r="B27" s="18" t="s">
        <v>106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3600</v>
      </c>
      <c r="I27" s="18">
        <v>-2277450</v>
      </c>
      <c r="J27" s="18" t="s">
        <v>7</v>
      </c>
      <c r="K27" s="18" t="s">
        <v>95</v>
      </c>
      <c r="L27" s="18" t="s">
        <v>110</v>
      </c>
      <c r="M27" s="18" t="s">
        <v>118</v>
      </c>
      <c r="N27" s="18">
        <v>0.255</v>
      </c>
    </row>
    <row r="28" spans="2:14">
      <c r="B28" s="18" t="s">
        <v>6</v>
      </c>
      <c r="C28" s="18">
        <v>100</v>
      </c>
      <c r="D28" s="19">
        <v>43123</v>
      </c>
      <c r="E28" s="19">
        <v>43183.625</v>
      </c>
      <c r="F28" s="19">
        <v>43183</v>
      </c>
      <c r="G28" s="19">
        <v>43183.625</v>
      </c>
      <c r="H28" s="18">
        <v>50000.000004000001</v>
      </c>
      <c r="I28" s="18">
        <v>-50000.004000000001</v>
      </c>
      <c r="J28" s="18" t="s">
        <v>7</v>
      </c>
      <c r="K28" s="18" t="s">
        <v>95</v>
      </c>
      <c r="L28" s="18" t="s">
        <v>8</v>
      </c>
      <c r="M28" s="18" t="s">
        <v>128</v>
      </c>
      <c r="N28" s="18">
        <v>0.12</v>
      </c>
    </row>
    <row r="29" spans="2:14">
      <c r="B29" s="18" t="s">
        <v>165</v>
      </c>
      <c r="C29" s="18">
        <v>1000</v>
      </c>
      <c r="D29" s="19">
        <v>43154</v>
      </c>
      <c r="E29" s="19">
        <v>43182.625</v>
      </c>
      <c r="F29" s="19">
        <v>43184</v>
      </c>
      <c r="G29" s="19">
        <v>43154</v>
      </c>
      <c r="H29" s="20">
        <v>3929.9999985759996</v>
      </c>
      <c r="I29" s="20">
        <v>-271800</v>
      </c>
      <c r="J29" s="18" t="s">
        <v>44</v>
      </c>
      <c r="K29" s="18" t="s">
        <v>95</v>
      </c>
      <c r="L29" s="18" t="s">
        <v>110</v>
      </c>
      <c r="M29" s="18" t="s">
        <v>117</v>
      </c>
      <c r="N29" s="18">
        <v>0.13500000000000001</v>
      </c>
    </row>
    <row r="30" spans="2:14">
      <c r="B30" s="18" t="s">
        <v>166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3799.999998368</v>
      </c>
      <c r="I30" s="20">
        <v>-388800</v>
      </c>
      <c r="J30" s="18" t="s">
        <v>7</v>
      </c>
      <c r="K30" s="18" t="s">
        <v>95</v>
      </c>
      <c r="L30" s="18" t="s">
        <v>110</v>
      </c>
      <c r="M30" s="18" t="s">
        <v>117</v>
      </c>
      <c r="N30" s="18">
        <v>0.13500000000000001</v>
      </c>
    </row>
    <row r="31" spans="2:14">
      <c r="B31" s="18" t="s">
        <v>177</v>
      </c>
      <c r="C31" s="18">
        <v>-64</v>
      </c>
      <c r="D31" s="19">
        <v>43157</v>
      </c>
      <c r="E31" s="19">
        <v>43217</v>
      </c>
      <c r="F31" s="19">
        <v>43217</v>
      </c>
      <c r="G31" s="19">
        <v>43217</v>
      </c>
      <c r="H31" s="20">
        <v>16.545999999999999</v>
      </c>
      <c r="I31" s="20">
        <v>751.95</v>
      </c>
      <c r="J31" s="18" t="s">
        <v>200</v>
      </c>
      <c r="K31" s="18" t="s">
        <v>179</v>
      </c>
      <c r="L31" s="18" t="s">
        <v>181</v>
      </c>
      <c r="M31" s="18" t="s">
        <v>175</v>
      </c>
      <c r="N31" s="18"/>
    </row>
    <row r="32" spans="2:14">
      <c r="B32" s="18" t="s">
        <v>182</v>
      </c>
      <c r="C32" s="18">
        <v>-24</v>
      </c>
      <c r="D32" s="19">
        <v>43122</v>
      </c>
      <c r="E32" s="19">
        <v>43209</v>
      </c>
      <c r="F32" s="19">
        <v>43209</v>
      </c>
      <c r="G32" s="19">
        <v>43209</v>
      </c>
      <c r="H32" s="20">
        <v>2236</v>
      </c>
      <c r="I32" s="20">
        <v>402.48</v>
      </c>
      <c r="J32" s="18" t="s">
        <v>202</v>
      </c>
      <c r="K32" s="18" t="s">
        <v>179</v>
      </c>
      <c r="L32" s="18" t="s">
        <v>184</v>
      </c>
      <c r="M32" s="18" t="s">
        <v>175</v>
      </c>
      <c r="N32" s="18"/>
    </row>
    <row r="33" spans="2:14">
      <c r="B33" s="18" t="s">
        <v>203</v>
      </c>
      <c r="C33" s="18">
        <v>-30</v>
      </c>
      <c r="D33" s="19">
        <v>43158</v>
      </c>
      <c r="E33" s="19">
        <v>43217</v>
      </c>
      <c r="F33" s="19">
        <v>43217</v>
      </c>
      <c r="G33" s="19">
        <v>43217</v>
      </c>
      <c r="H33" s="20">
        <v>16.71</v>
      </c>
      <c r="I33" s="20">
        <v>751.95</v>
      </c>
      <c r="J33" s="18" t="s">
        <v>206</v>
      </c>
      <c r="K33" s="18" t="s">
        <v>207</v>
      </c>
      <c r="L33" s="18" t="s">
        <v>208</v>
      </c>
      <c r="M33" s="18" t="s">
        <v>175</v>
      </c>
      <c r="N33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18"/>
  <sheetViews>
    <sheetView workbookViewId="0">
      <selection activeCell="F38" sqref="F38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23" t="s">
        <v>18</v>
      </c>
      <c r="C5" s="23"/>
      <c r="D5" s="23"/>
      <c r="E5" s="23"/>
      <c r="F5" s="23"/>
      <c r="G5" s="23"/>
      <c r="H5" s="23"/>
      <c r="I5" s="12"/>
    </row>
    <row r="6" spans="2:10">
      <c r="B6" s="1" t="s">
        <v>17</v>
      </c>
      <c r="C6" s="1" t="s">
        <v>85</v>
      </c>
      <c r="D6" s="1" t="s">
        <v>39</v>
      </c>
      <c r="E6" s="1" t="s">
        <v>87</v>
      </c>
      <c r="F6" s="1" t="s">
        <v>72</v>
      </c>
      <c r="G6" s="1" t="s">
        <v>0</v>
      </c>
      <c r="H6" s="1" t="s">
        <v>16</v>
      </c>
      <c r="I6" s="1" t="s">
        <v>188</v>
      </c>
      <c r="J6" s="1" t="s">
        <v>86</v>
      </c>
    </row>
    <row r="7" spans="2:10">
      <c r="B7" s="1" t="s">
        <v>41</v>
      </c>
      <c r="C7" s="1" t="s">
        <v>2</v>
      </c>
      <c r="D7" s="1" t="s">
        <v>40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43161</v>
      </c>
      <c r="J7" s="14">
        <f ca="1">[1]!s_dq_close(E7,I7,1)</f>
        <v>52540</v>
      </c>
    </row>
    <row r="8" spans="2:10">
      <c r="B8" s="1" t="s">
        <v>33</v>
      </c>
      <c r="C8" s="1" t="s">
        <v>12</v>
      </c>
      <c r="D8" s="1" t="s">
        <v>40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18" ca="1" si="0">TODAY()</f>
        <v>43161</v>
      </c>
      <c r="J8" s="14">
        <f ca="1">[1]!s_dq_close(E8,I8,1)</f>
        <v>14425</v>
      </c>
    </row>
    <row r="9" spans="2:10">
      <c r="B9" s="1" t="s">
        <v>34</v>
      </c>
      <c r="C9" s="1" t="s">
        <v>3</v>
      </c>
      <c r="D9" s="1" t="s">
        <v>40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43161</v>
      </c>
      <c r="J9" s="14">
        <f ca="1">[1]!s_dq_close(E9,I9,1)</f>
        <v>3683</v>
      </c>
    </row>
    <row r="10" spans="2:10">
      <c r="B10" s="1" t="s">
        <v>49</v>
      </c>
      <c r="C10" s="1" t="s">
        <v>47</v>
      </c>
      <c r="D10" s="1" t="s">
        <v>48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43161</v>
      </c>
      <c r="J10" s="14">
        <f ca="1">[1]!s_dq_close(E10,I10,1)</f>
        <v>9625</v>
      </c>
    </row>
    <row r="11" spans="2:10">
      <c r="B11" s="1" t="s">
        <v>66</v>
      </c>
      <c r="C11" s="1" t="s">
        <v>64</v>
      </c>
      <c r="D11" s="1" t="s">
        <v>40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43161</v>
      </c>
      <c r="J11" s="14">
        <f ca="1">[1]!s_dq_close(E11,I11,1)</f>
        <v>3880</v>
      </c>
    </row>
    <row r="12" spans="2:10">
      <c r="B12" s="1" t="s">
        <v>129</v>
      </c>
      <c r="C12" s="1" t="s">
        <v>130</v>
      </c>
      <c r="D12" s="1" t="s">
        <v>127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43161</v>
      </c>
      <c r="J12" s="14">
        <f ca="1">[1]!s_dq_close(E12,I12,1)</f>
        <v>4024</v>
      </c>
    </row>
    <row r="13" spans="2:10">
      <c r="B13" s="1" t="s">
        <v>126</v>
      </c>
      <c r="C13" s="1" t="s">
        <v>88</v>
      </c>
      <c r="D13" s="1" t="s">
        <v>89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43161</v>
      </c>
      <c r="J13" s="14">
        <f ca="1">[1]!s_dq_close(E13,I13,1)</f>
        <v>539</v>
      </c>
    </row>
    <row r="14" spans="2:10">
      <c r="B14" s="1" t="s">
        <v>119</v>
      </c>
      <c r="C14" s="1" t="s">
        <v>122</v>
      </c>
      <c r="D14" s="1" t="s">
        <v>127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43161</v>
      </c>
      <c r="J14" s="14">
        <f ca="1">[1]!s_dq_close(E14,I14,1)</f>
        <v>12950</v>
      </c>
    </row>
    <row r="15" spans="2:10">
      <c r="B15" s="1" t="s">
        <v>120</v>
      </c>
      <c r="C15" s="1" t="s">
        <v>124</v>
      </c>
      <c r="D15" s="1" t="s">
        <v>125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43161</v>
      </c>
      <c r="J15" s="14">
        <f ca="1">[1]!s_dq_close(E15,I15,1)</f>
        <v>1394</v>
      </c>
    </row>
    <row r="16" spans="2:10">
      <c r="B16" s="1" t="s">
        <v>173</v>
      </c>
      <c r="C16" s="1" t="s">
        <v>218</v>
      </c>
      <c r="D16" s="1" t="s">
        <v>172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43161</v>
      </c>
      <c r="J16" s="14">
        <f ca="1">[1]!s_dq_close(E16,I16,1)</f>
        <v>16.41</v>
      </c>
    </row>
    <row r="17" spans="2:10">
      <c r="B17" s="1" t="s">
        <v>174</v>
      </c>
      <c r="C17" s="1" t="s">
        <v>218</v>
      </c>
      <c r="D17" s="1" t="s">
        <v>172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43161</v>
      </c>
      <c r="J17" s="14">
        <f ca="1">[1]!s_dq_close(E17,I17,1)</f>
        <v>16.489999999999998</v>
      </c>
    </row>
    <row r="18" spans="2:10">
      <c r="B18" s="1" t="s">
        <v>186</v>
      </c>
      <c r="C18" s="1" t="s">
        <v>217</v>
      </c>
      <c r="D18" s="1" t="s">
        <v>187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43161</v>
      </c>
      <c r="J18" s="14">
        <f ca="1">[1]!s_dq_close(E18,I18,1)</f>
        <v>2148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O56"/>
  <sheetViews>
    <sheetView workbookViewId="0">
      <selection activeCell="N7" sqref="N7:N14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1">
      <c r="B5" s="24" t="s">
        <v>13</v>
      </c>
      <c r="C5" s="24"/>
      <c r="D5" s="24"/>
      <c r="E5" s="24"/>
      <c r="F5" s="24"/>
    </row>
    <row r="6" spans="2:41">
      <c r="B6" s="9" t="s">
        <v>176</v>
      </c>
      <c r="C6" s="9" t="s">
        <v>15</v>
      </c>
      <c r="D6" s="9" t="s">
        <v>14</v>
      </c>
      <c r="E6" s="9" t="s">
        <v>131</v>
      </c>
      <c r="F6" s="9" t="s">
        <v>11</v>
      </c>
      <c r="G6" s="9" t="s">
        <v>132</v>
      </c>
      <c r="H6" s="9" t="s">
        <v>133</v>
      </c>
      <c r="I6" s="9" t="s">
        <v>1</v>
      </c>
      <c r="J6" s="9" t="s">
        <v>123</v>
      </c>
      <c r="K6" s="9" t="s">
        <v>134</v>
      </c>
      <c r="L6" s="9" t="s">
        <v>135</v>
      </c>
      <c r="M6" s="9" t="s">
        <v>136</v>
      </c>
      <c r="N6" s="9" t="s">
        <v>63</v>
      </c>
      <c r="O6" s="9" t="s">
        <v>137</v>
      </c>
      <c r="P6" s="9" t="s">
        <v>138</v>
      </c>
      <c r="Q6" s="9" t="s">
        <v>139</v>
      </c>
      <c r="R6" s="9" t="s">
        <v>140</v>
      </c>
      <c r="S6" s="9" t="s">
        <v>7</v>
      </c>
      <c r="T6" s="9" t="s">
        <v>141</v>
      </c>
      <c r="U6" s="9" t="s">
        <v>142</v>
      </c>
      <c r="V6" s="9" t="s">
        <v>143</v>
      </c>
      <c r="W6" s="9" t="s">
        <v>144</v>
      </c>
      <c r="X6" s="9" t="s">
        <v>145</v>
      </c>
      <c r="Y6" s="9" t="s">
        <v>146</v>
      </c>
      <c r="Z6" s="9" t="s">
        <v>44</v>
      </c>
      <c r="AA6" s="9" t="s">
        <v>147</v>
      </c>
      <c r="AB6" s="9" t="s">
        <v>148</v>
      </c>
      <c r="AC6" s="9" t="s">
        <v>149</v>
      </c>
      <c r="AD6" s="9" t="s">
        <v>150</v>
      </c>
      <c r="AE6" s="9" t="s">
        <v>151</v>
      </c>
      <c r="AF6" s="9" t="s">
        <v>46</v>
      </c>
      <c r="AG6" s="9" t="s">
        <v>152</v>
      </c>
      <c r="AH6" s="9" t="s">
        <v>121</v>
      </c>
      <c r="AI6" s="9" t="s">
        <v>153</v>
      </c>
      <c r="AJ6" s="9" t="s">
        <v>209</v>
      </c>
      <c r="AK6" s="9" t="s">
        <v>211</v>
      </c>
      <c r="AL6" s="9" t="s">
        <v>212</v>
      </c>
      <c r="AM6" s="9" t="s">
        <v>213</v>
      </c>
      <c r="AN6" s="9" t="s">
        <v>214</v>
      </c>
      <c r="AO6" s="9" t="s">
        <v>216</v>
      </c>
    </row>
    <row r="7" spans="2:41">
      <c r="B7" s="9" t="s">
        <v>116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</row>
    <row r="8" spans="2:41">
      <c r="B8" s="9" t="s">
        <v>115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</row>
    <row r="9" spans="2:41">
      <c r="B9" s="21" t="s">
        <v>114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</row>
    <row r="10" spans="2:41">
      <c r="B10" s="9" t="s">
        <v>113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</row>
    <row r="11" spans="2:41">
      <c r="B11" s="9" t="s">
        <v>112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</row>
    <row r="12" spans="2:41">
      <c r="B12" s="9" t="s">
        <v>117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</row>
    <row r="13" spans="2:41">
      <c r="B13" s="9" t="s">
        <v>128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</row>
    <row r="14" spans="2:41">
      <c r="B14" s="9" t="s">
        <v>175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</row>
    <row r="26" spans="5:7">
      <c r="E26" s="22"/>
    </row>
    <row r="27" spans="5:7">
      <c r="G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C8" sqref="C8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19</v>
      </c>
      <c r="C6" t="s">
        <v>36</v>
      </c>
      <c r="D6" t="s">
        <v>35</v>
      </c>
      <c r="E6" t="s">
        <v>91</v>
      </c>
    </row>
    <row r="7" spans="2:5">
      <c r="B7" t="s">
        <v>38</v>
      </c>
      <c r="C7">
        <v>1</v>
      </c>
      <c r="D7">
        <v>1</v>
      </c>
      <c r="E7">
        <v>1</v>
      </c>
    </row>
    <row r="8" spans="2:5">
      <c r="B8" t="s">
        <v>21</v>
      </c>
      <c r="C8" t="s">
        <v>154</v>
      </c>
      <c r="D8">
        <v>1</v>
      </c>
      <c r="E8">
        <v>1</v>
      </c>
    </row>
    <row r="9" spans="2:5">
      <c r="B9" t="s">
        <v>22</v>
      </c>
      <c r="C9" t="s">
        <v>155</v>
      </c>
      <c r="D9">
        <v>1</v>
      </c>
      <c r="E9">
        <v>1</v>
      </c>
    </row>
    <row r="10" spans="2:5">
      <c r="B10" t="s">
        <v>23</v>
      </c>
      <c r="C10" t="s">
        <v>156</v>
      </c>
      <c r="D10">
        <v>1</v>
      </c>
      <c r="E10">
        <v>1</v>
      </c>
    </row>
    <row r="11" spans="2:5">
      <c r="B11" t="s">
        <v>24</v>
      </c>
      <c r="C11" t="s">
        <v>157</v>
      </c>
      <c r="D11">
        <v>1</v>
      </c>
      <c r="E11">
        <v>1</v>
      </c>
    </row>
    <row r="12" spans="2:5">
      <c r="B12" t="s">
        <v>25</v>
      </c>
      <c r="C12" t="s">
        <v>158</v>
      </c>
      <c r="D12">
        <v>1</v>
      </c>
      <c r="E12">
        <v>1</v>
      </c>
    </row>
    <row r="13" spans="2:5">
      <c r="B13" t="s">
        <v>26</v>
      </c>
      <c r="C13" t="s">
        <v>164</v>
      </c>
      <c r="D13">
        <v>1</v>
      </c>
      <c r="E13">
        <v>1</v>
      </c>
    </row>
    <row r="14" spans="2:5">
      <c r="B14" t="s">
        <v>27</v>
      </c>
      <c r="C14" t="s">
        <v>156</v>
      </c>
      <c r="D14" s="11" t="s">
        <v>162</v>
      </c>
      <c r="E14" s="5">
        <v>1</v>
      </c>
    </row>
    <row r="15" spans="2:5">
      <c r="B15" t="s">
        <v>28</v>
      </c>
      <c r="C15" t="s">
        <v>156</v>
      </c>
      <c r="D15" t="s">
        <v>163</v>
      </c>
      <c r="E15">
        <v>1</v>
      </c>
    </row>
    <row r="16" spans="2:5">
      <c r="B16" t="s">
        <v>29</v>
      </c>
      <c r="C16" t="s">
        <v>159</v>
      </c>
      <c r="D16" s="11" t="s">
        <v>162</v>
      </c>
      <c r="E16" s="5">
        <v>1</v>
      </c>
    </row>
    <row r="17" spans="2:5">
      <c r="B17" t="s">
        <v>30</v>
      </c>
      <c r="C17" t="s">
        <v>159</v>
      </c>
      <c r="D17" t="s">
        <v>163</v>
      </c>
      <c r="E17">
        <v>1</v>
      </c>
    </row>
    <row r="18" spans="2:5">
      <c r="B18" t="s">
        <v>31</v>
      </c>
      <c r="C18" t="s">
        <v>160</v>
      </c>
      <c r="D18">
        <v>1</v>
      </c>
      <c r="E18" s="5">
        <v>0.3</v>
      </c>
    </row>
    <row r="19" spans="2:5">
      <c r="B19" t="s">
        <v>32</v>
      </c>
      <c r="C19" t="s">
        <v>161</v>
      </c>
      <c r="D19">
        <v>1</v>
      </c>
      <c r="E19">
        <v>0.3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2018-03-02T09:20:26Z</dcterms:modified>
</cp:coreProperties>
</file>