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calcPr calcId="152511" calcMode="manual"/>
</workbook>
</file>

<file path=xl/calcChain.xml><?xml version="1.0" encoding="utf-8"?>
<calcChain xmlns="http://schemas.openxmlformats.org/spreadsheetml/2006/main">
  <c r="E12" i="6" l="1"/>
  <c r="B4" i="5"/>
  <c r="AB13" i="5"/>
  <c r="AL8" i="5"/>
  <c r="AH10" i="5"/>
  <c r="AJ14" i="5"/>
  <c r="I12" i="6"/>
  <c r="AF8" i="5"/>
  <c r="AJ12" i="5"/>
  <c r="AK7" i="5"/>
  <c r="AK13" i="5"/>
  <c r="AC14" i="5"/>
  <c r="AD14" i="5"/>
  <c r="AN9" i="5"/>
  <c r="E11" i="6" l="1"/>
  <c r="AE8" i="5"/>
  <c r="AG10" i="5"/>
  <c r="AC7" i="5"/>
  <c r="AG11" i="5"/>
  <c r="AM15" i="5"/>
  <c r="AJ8" i="5"/>
  <c r="AD10" i="5"/>
  <c r="AK10" i="5"/>
  <c r="AF15" i="5"/>
  <c r="AE11" i="5"/>
  <c r="AE12" i="5"/>
  <c r="AG14" i="5"/>
  <c r="AC12" i="5"/>
  <c r="AB8" i="5"/>
  <c r="AN8" i="5"/>
  <c r="AB14" i="5"/>
  <c r="AH12" i="5"/>
  <c r="AL7" i="5"/>
  <c r="AJ13" i="5"/>
  <c r="AF7" i="5"/>
  <c r="AK9" i="5"/>
  <c r="AM10" i="5"/>
  <c r="AL12" i="5"/>
  <c r="AL10" i="5"/>
  <c r="AF12" i="5"/>
  <c r="AG13" i="5"/>
  <c r="AD12" i="5"/>
  <c r="AE14" i="5"/>
  <c r="AM9" i="5"/>
  <c r="AM8" i="5"/>
  <c r="AD8" i="5"/>
  <c r="AI13" i="5"/>
  <c r="AE9" i="5"/>
  <c r="AF13" i="5"/>
  <c r="AH9" i="5"/>
  <c r="AB10" i="5"/>
  <c r="AI7" i="5"/>
  <c r="AJ11" i="5"/>
  <c r="AM11" i="5"/>
  <c r="AN15" i="5"/>
  <c r="AK11" i="5"/>
  <c r="AB15" i="5"/>
  <c r="AI11" i="5"/>
  <c r="AC13" i="5"/>
  <c r="AL15" i="5"/>
  <c r="AE7" i="5"/>
  <c r="AB7" i="5"/>
  <c r="AH15" i="5"/>
  <c r="AD11" i="5"/>
  <c r="AL13" i="5"/>
  <c r="AL11" i="5"/>
  <c r="AD7" i="5"/>
  <c r="AF10" i="5"/>
  <c r="AG8" i="5"/>
  <c r="AC8" i="5"/>
  <c r="AI14" i="5"/>
  <c r="AJ9" i="5"/>
  <c r="AD13" i="5"/>
  <c r="AC15" i="5"/>
  <c r="AG9" i="5"/>
  <c r="AI10" i="5"/>
  <c r="AM12" i="5"/>
  <c r="AK8" i="5"/>
  <c r="AH14" i="5"/>
  <c r="AH11" i="5"/>
  <c r="AK15" i="5"/>
  <c r="AM13" i="5"/>
  <c r="AI9" i="5"/>
  <c r="AG7" i="5"/>
  <c r="AL9" i="5"/>
  <c r="AH13" i="5"/>
  <c r="AD15" i="5"/>
  <c r="AI12" i="5"/>
  <c r="AE15" i="5"/>
  <c r="AF9" i="5"/>
  <c r="AC9" i="5"/>
  <c r="AN14" i="5"/>
  <c r="AN12" i="5"/>
  <c r="AN13" i="5"/>
  <c r="AC10" i="5"/>
  <c r="AH8" i="5"/>
  <c r="AN7" i="5"/>
  <c r="AG12" i="5"/>
  <c r="AE13" i="5"/>
  <c r="AH7" i="5"/>
  <c r="AI8" i="5"/>
  <c r="AF11" i="5"/>
  <c r="I11" i="6"/>
  <c r="AL14" i="5"/>
  <c r="AN10" i="5"/>
  <c r="AJ15" i="5"/>
  <c r="AB11" i="5"/>
  <c r="AD9" i="5"/>
  <c r="AJ10" i="5"/>
  <c r="AM7" i="5"/>
  <c r="AB12" i="5"/>
  <c r="AF14" i="5"/>
  <c r="AJ7" i="5"/>
  <c r="AK12" i="5"/>
  <c r="AE10" i="5"/>
  <c r="AB9" i="5"/>
  <c r="AK14" i="5"/>
  <c r="AN11" i="5"/>
  <c r="AG15" i="5"/>
  <c r="AI15" i="5"/>
  <c r="AM14" i="5"/>
  <c r="AC11" i="5"/>
  <c r="E10" i="6" l="1"/>
  <c r="I10" i="6"/>
  <c r="E7" i="6" l="1"/>
  <c r="E8" i="6"/>
  <c r="E9" i="6"/>
  <c r="I8" i="6"/>
  <c r="I7" i="6"/>
  <c r="I9" i="6"/>
</calcChain>
</file>

<file path=xl/sharedStrings.xml><?xml version="1.0" encoding="utf-8"?>
<sst xmlns="http://schemas.openxmlformats.org/spreadsheetml/2006/main" count="373" uniqueCount="147">
  <si>
    <t>vol</t>
    <phoneticPr fontId="1" type="noConversion"/>
  </si>
  <si>
    <t>product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</si>
  <si>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</si>
  <si>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</si>
  <si>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</si>
  <si>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</si>
  <si>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</si>
  <si>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</si>
  <si>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</si>
  <si>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</si>
  <si>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</si>
  <si>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</si>
  <si>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</si>
  <si>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20180109-CICC-XYWL-AG1806-VAN-P-28</t>
  </si>
  <si>
    <t>ag1806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</si>
  <si>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</si>
  <si>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</si>
  <si>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</si>
  <si>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</si>
  <si>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亨通贸易</t>
  </si>
  <si>
    <t>亨通贸易</t>
    <phoneticPr fontId="1" type="noConversion"/>
  </si>
  <si>
    <t>中天科技</t>
  </si>
  <si>
    <t>中天科技</t>
    <phoneticPr fontId="1" type="noConversion"/>
  </si>
  <si>
    <t>厦门象屿</t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</si>
  <si>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</si>
  <si>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</si>
  <si>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</si>
  <si>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</si>
  <si>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price</t>
    <phoneticPr fontId="1" type="noConversion"/>
  </si>
  <si>
    <t>data: ticker</t>
    <phoneticPr fontId="1" type="noConversion"/>
  </si>
  <si>
    <t>senario#</t>
    <phoneticPr fontId="1" type="noConversion"/>
  </si>
  <si>
    <t>S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</si>
  <si>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</si>
  <si>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</si>
  <si>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</si>
  <si>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</si>
  <si>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</si>
  <si>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</si>
  <si>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</si>
  <si>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</si>
  <si>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</si>
  <si>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</si>
  <si>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</si>
  <si>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</si>
  <si>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</si>
  <si>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</si>
  <si>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</si>
  <si>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</si>
  <si>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</si>
  <si>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</si>
  <si>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</si>
  <si>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</si>
  <si>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</si>
  <si>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</si>
  <si>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wind_ticker</t>
    <phoneticPr fontId="1" type="noConversion"/>
  </si>
  <si>
    <t>20171229-CICC-QCSH-L1805-RR-61-C</t>
  </si>
  <si>
    <t>20171229-CICC-QCSH-L1805-RR-61-P</t>
  </si>
  <si>
    <t>20171128-CICC-XYWL-AG1806-VAN-P-37</t>
  </si>
  <si>
    <t>20171128-CICC-XYWL-AG1806-VAN-C-37</t>
  </si>
  <si>
    <t>c</t>
  </si>
  <si>
    <t>l1805</t>
  </si>
  <si>
    <t>亨通贸易</t>
    <phoneticPr fontId="1" type="noConversion"/>
  </si>
  <si>
    <t>中天科技</t>
    <phoneticPr fontId="1" type="noConversion"/>
  </si>
  <si>
    <t>厦门象屿</t>
    <phoneticPr fontId="1" type="noConversion"/>
  </si>
  <si>
    <t>前程石化</t>
  </si>
  <si>
    <t>前程石化</t>
    <phoneticPr fontId="1" type="noConversion"/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</si>
  <si>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</si>
  <si>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</si>
  <si>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</si>
  <si>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</si>
  <si>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</si>
  <si>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</si>
  <si>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</si>
  <si>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</si>
  <si>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</si>
  <si>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</si>
  <si>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</si>
  <si>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</si>
  <si>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</si>
  <si>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</si>
  <si>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</si>
  <si>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</si>
  <si>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</si>
  <si>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9440|.1</t>
  </si>
  <si>
    <t>天物国际</t>
  </si>
  <si>
    <t>天物国际</t>
    <phoneticPr fontId="1" type="noConversion"/>
  </si>
  <si>
    <t>rb1805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</si>
  <si>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</si>
  <si>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</si>
  <si>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</si>
  <si>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</si>
  <si>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</si>
  <si>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</si>
  <si>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</si>
  <si>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</si>
  <si>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</si>
  <si>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20171218-CICC-TWGJ-RB1810-VAN-P-53</t>
  </si>
  <si>
    <t>20171214-CICC-TWGJ-RB1810-VAN-P-57</t>
  </si>
  <si>
    <t>20171204-CICC-TWGJ-I1801-VAN-C-11</t>
  </si>
  <si>
    <t>20171116-CICC-TWGJ-RB1805-VAN-P-43</t>
  </si>
  <si>
    <t>i1801</t>
  </si>
  <si>
    <t>multiplier</t>
    <phoneticPr fontId="1" type="noConversion"/>
  </si>
  <si>
    <t>S+S*(1/3*VR+X)</t>
    <phoneticPr fontId="1" type="noConversion"/>
  </si>
  <si>
    <t>S+S*(VR+X)</t>
    <phoneticPr fontId="1" type="noConversion"/>
  </si>
  <si>
    <t>vol*(1-k)</t>
    <phoneticPr fontId="1" type="noConversion"/>
  </si>
  <si>
    <r>
      <t>vol</t>
    </r>
    <r>
      <rPr>
        <sz val="11"/>
        <rFont val="宋体"/>
        <family val="3"/>
        <charset val="134"/>
        <scheme val="minor"/>
      </rPr>
      <t>*(1+k)</t>
    </r>
    <phoneticPr fontId="1" type="noConversion"/>
  </si>
  <si>
    <t>S-S*(VR+X)</t>
    <phoneticPr fontId="1" type="noConversion"/>
  </si>
  <si>
    <t>S+S*(3*VR+X)</t>
    <phoneticPr fontId="1" type="noConversion"/>
  </si>
  <si>
    <t>S-S*(3*VR+X)</t>
    <phoneticPr fontId="1" type="noConversion"/>
  </si>
  <si>
    <t>14550|.2</t>
  </si>
  <si>
    <t>14550|.24</t>
  </si>
  <si>
    <t>14550|.16</t>
  </si>
  <si>
    <t>S+S*(2/3*VR+X)</t>
    <phoneticPr fontId="1" type="noConversion"/>
  </si>
  <si>
    <t>S-S*(1/3*VR+X)</t>
    <phoneticPr fontId="1" type="noConversion"/>
  </si>
  <si>
    <t>S-S*(2/3*VR+X)</t>
    <phoneticPr fontId="1" type="noConversion"/>
  </si>
  <si>
    <t>52020|.2</t>
  </si>
  <si>
    <t>52020|.24</t>
  </si>
  <si>
    <t>52020|.16</t>
  </si>
  <si>
    <t>9440|.12</t>
  </si>
  <si>
    <t>9440|.08</t>
  </si>
  <si>
    <t>3787|.18</t>
  </si>
  <si>
    <t>3891.774|.18</t>
  </si>
  <si>
    <t>3996.547|.18</t>
  </si>
  <si>
    <t>4101.321|.18</t>
  </si>
  <si>
    <t>3682.226|.18</t>
  </si>
  <si>
    <t>3577.453|.18</t>
  </si>
  <si>
    <t>4101.321|.198</t>
  </si>
  <si>
    <t>4101.321|.162</t>
  </si>
  <si>
    <t>3472.679|.198</t>
  </si>
  <si>
    <t>3472.679|.162</t>
  </si>
  <si>
    <t>4729.963|.18</t>
  </si>
  <si>
    <t>2844.037|.18</t>
  </si>
  <si>
    <t>I1805</t>
    <phoneticPr fontId="1" type="noConversion"/>
  </si>
  <si>
    <t xml:space="preserve"> </t>
    <phoneticPr fontId="1" type="noConversion"/>
  </si>
  <si>
    <t>qty</t>
    <phoneticPr fontId="1" type="noConversion"/>
  </si>
  <si>
    <t>coefficient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</si>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</sst>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409]d\-mmm\-yy;@"/>
    <numFmt numFmtId="177" formatCode="###,###,##0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4" fillId="0" borderId="0" xfId="0" applyFont="1"/>
    <xf numFmtId="14" fontId="4" fillId="0" borderId="0" xfId="0" applyNumberFormat="1" applyFont="1"/>
    <xf numFmtId="0" fontId="3" fillId="0" borderId="0" xfId="0" applyFont="1"/>
    <xf numFmtId="0" fontId="3" fillId="0" borderId="0" xfId="0" applyNumberFormat="1" applyFont="1"/>
    <xf numFmtId="14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0" borderId="0" xfId="0" applyNumberFormat="1" applyFont="1"/>
    <xf numFmtId="1" fontId="3" fillId="0" borderId="0" xfId="0" applyNumberFormat="1" applyFont="1"/>
    <xf numFmtId="1" fontId="4" fillId="3" borderId="0" xfId="0" applyNumberFormat="1" applyFont="1" applyFill="1"/>
    <xf numFmtId="0" fontId="5" fillId="0" borderId="0" xfId="0" applyFont="1"/>
    <xf numFmtId="0" fontId="4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11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I1805.</stp>
        <stp>LastPrice</stp>
        <tr r="I12" s="6"/>
      </tp>
      <tp t="e">
        <v>#N/A</v>
        <stp/>
        <stp>cu1805.shf</stp>
        <stp>LastPrice</stp>
        <tr r="I7" s="6"/>
      </tp>
      <tp t="e">
        <v>#N/A</v>
        <stp/>
        <stp>al1805.shf</stp>
        <stp>LastPrice</stp>
        <tr r="I8" s="6"/>
      </tp>
      <tp t="e">
        <v>#N/A</v>
        <stp/>
        <stp>l1805.dce</stp>
        <stp>LastPrice</stp>
        <tr r="I10" s="6"/>
      </tp>
      <tp t="e">
        <v>#N/A</v>
        <stp/>
        <stp>rb1810.shf</stp>
        <stp>LastPrice</stp>
        <tr r="I11" s="6"/>
      </tp>
      <tp t="e">
        <v>#N/A</v>
        <stp/>
        <stp>ag1806.shf</stp>
        <stp>LastPrice</stp>
        <tr r="I9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N15" totalsRowShown="0" headerRowDxfId="110" dataDxfId="109">
  <autoFilter ref="B6:AN15"/>
  <tableColumns count="39">
    <tableColumn id="1" name="ID" dataDxfId="108" totalsRowDxfId="107"/>
    <tableColumn id="2" name="cpty" dataDxfId="106" totalsRowDxfId="105"/>
    <tableColumn id="3" name="volume" dataDxfId="104" totalsRowDxfId="103"/>
    <tableColumn id="4" name="k" dataDxfId="102" totalsRowDxfId="101"/>
    <tableColumn id="5" name="exp_date" dataDxfId="100" totalsRowDxfId="99"/>
    <tableColumn id="42" name="prem_date" dataDxfId="98" totalsRowDxfId="97"/>
    <tableColumn id="6" name="prem" dataDxfId="96" totalsRowDxfId="95"/>
    <tableColumn id="7" name="type" dataDxfId="94" totalsRowDxfId="93"/>
    <tableColumn id="8" name="underlying" dataDxfId="92" totalsRowDxfId="91"/>
    <tableColumn id="9" name="prod" dataDxfId="90" totalsRowDxfId="89"/>
    <tableColumn id="38" name="qty" dataDxfId="88" totalsRowDxfId="87"/>
    <tableColumn id="10" name="price_st" dataDxfId="86" totalsRowDxfId="85"/>
    <tableColumn id="11" name="vol" dataDxfId="84" totalsRowDxfId="83"/>
    <tableColumn id="12" name="param_senario1" dataDxfId="82" totalsRowDxfId="81"/>
    <tableColumn id="13" name="param_senario2" dataDxfId="80" totalsRowDxfId="79"/>
    <tableColumn id="14" name="param_senario3" dataDxfId="78" totalsRowDxfId="77"/>
    <tableColumn id="15" name="param_senario4" dataDxfId="76" totalsRowDxfId="75"/>
    <tableColumn id="16" name="param_senario5" dataDxfId="74" totalsRowDxfId="73"/>
    <tableColumn id="17" name="param_senario6" dataDxfId="72" totalsRowDxfId="71"/>
    <tableColumn id="18" name="param_senario7" dataDxfId="70" totalsRowDxfId="69"/>
    <tableColumn id="19" name="param_senario8" dataDxfId="68" totalsRowDxfId="67"/>
    <tableColumn id="20" name="param_senario9" dataDxfId="66" totalsRowDxfId="65"/>
    <tableColumn id="21" name="param_senario10" dataDxfId="64" totalsRowDxfId="63"/>
    <tableColumn id="22" name="param_senario11" dataDxfId="62" totalsRowDxfId="61"/>
    <tableColumn id="23" name="param_senario12" dataDxfId="60" totalsRowDxfId="59"/>
    <tableColumn id="24" name="param_senario13" dataDxfId="58" totalsRowDxfId="57"/>
    <tableColumn id="25" name="senario1" dataDxfId="56" totalsRowDxfId="55">
      <calculatedColumnFormula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calculatedColumnFormula>
    </tableColumn>
    <tableColumn id="26" name="senario2" dataDxfId="54" totalsRowDxfId="53">
      <calculatedColumnFormula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calculatedColumnFormula>
    </tableColumn>
    <tableColumn id="27" name="senario3" dataDxfId="52" totalsRowDxfId="51">
      <calculatedColumnFormula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calculatedColumnFormula>
    </tableColumn>
    <tableColumn id="28" name="senario4" dataDxfId="50" totalsRowDxfId="49">
      <calculatedColumnFormula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calculatedColumnFormula>
    </tableColumn>
    <tableColumn id="29" name="senario5" dataDxfId="48" totalsRowDxfId="47">
      <calculatedColumnFormula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calculatedColumnFormula>
    </tableColumn>
    <tableColumn id="30" name="senario6" dataDxfId="46" totalsRowDxfId="45">
      <calculatedColumnFormula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calculatedColumnFormula>
    </tableColumn>
    <tableColumn id="31" name="senario7" dataDxfId="44" totalsRowDxfId="43">
      <calculatedColumnFormula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calculatedColumnFormula>
    </tableColumn>
    <tableColumn id="32" name="senario8" dataDxfId="42" totalsRowDxfId="41">
      <calculatedColumnFormula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calculatedColumnFormula>
    </tableColumn>
    <tableColumn id="33" name="senario9" dataDxfId="40" totalsRowDxfId="39">
      <calculatedColumnFormula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calculatedColumnFormula>
    </tableColumn>
    <tableColumn id="34" name="senario10" dataDxfId="38" totalsRowDxfId="37">
      <calculatedColumnFormula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calculatedColumnFormula>
    </tableColumn>
    <tableColumn id="35" name="senario11" dataDxfId="36" totalsRowDxfId="35">
      <calculatedColumnFormula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calculatedColumnFormula>
    </tableColumn>
    <tableColumn id="36" name="senario12" dataDxfId="34" totalsRowDxfId="33">
      <calculatedColumnFormula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calculatedColumnFormula>
    </tableColumn>
    <tableColumn id="37" name="senario13" dataDxfId="32" totalsRowDxfId="31">
      <calculatedColumnFormula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M24" totalsRowShown="0">
  <autoFilter ref="B8:M24"/>
  <tableColumns count="12">
    <tableColumn id="1" name="ID" dataDxfId="30"/>
    <tableColumn id="2" name="volume" dataDxfId="29"/>
    <tableColumn id="3" name="trade_date" dataDxfId="28"/>
    <tableColumn id="4" name="exp_date" dataDxfId="27"/>
    <tableColumn id="5" name="settle_date" dataDxfId="26"/>
    <tableColumn id="6" name="prem_date" dataDxfId="25"/>
    <tableColumn id="7" name="k" dataDxfId="24"/>
    <tableColumn id="10" name="prem" dataDxfId="23"/>
    <tableColumn id="11" name="type" dataDxfId="22"/>
    <tableColumn id="12" name="opt type" dataDxfId="21"/>
    <tableColumn id="13" name="underlying" dataDxfId="20"/>
    <tableColumn id="14" name="cpty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I12" totalsRowShown="0" headerRowDxfId="18" dataDxfId="17">
  <autoFilter ref="B6:I12"/>
  <tableColumns count="8">
    <tableColumn id="1" name="ticker" dataDxfId="16"/>
    <tableColumn id="2" name="product" dataDxfId="15"/>
    <tableColumn id="6" name="exchange" dataDxfId="14"/>
    <tableColumn id="7" name="wind_ticker" dataDxfId="13">
      <calculatedColumnFormula>tbl_ticker[[#This Row],[ticker]]&amp;"."&amp;tbl_ticker[[#This Row],[exchange]]</calculatedColumnFormula>
    </tableColumn>
    <tableColumn id="9" name="multiplier" dataDxfId="12"/>
    <tableColumn id="3" name="vol" dataDxfId="11"/>
    <tableColumn id="4" name="carry" dataDxfId="10"/>
    <tableColumn id="5" name="price" dataDxfId="9">
      <calculatedColumnFormula>RTD("wdf.rtq",,tbl_ticker[[#This Row],[wind_ticker]],"LastPrice")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H11" totalsRowShown="0" headerRowDxfId="8" dataDxfId="7">
  <autoFilter ref="B6:H11"/>
  <tableColumns count="7">
    <tableColumn id="1" name="client" dataDxfId="6"/>
    <tableColumn id="7" name="x" dataDxfId="5"/>
    <tableColumn id="6" name="k" dataDxfId="4"/>
    <tableColumn id="2" name="cu" dataDxfId="3"/>
    <tableColumn id="3" name="ag" dataDxfId="2"/>
    <tableColumn id="4" name="l" dataDxfId="1"/>
    <tableColumn id="8" name="rb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coeffici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E29" sqref="E29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3"/>
      <c r="B4" s="14"/>
      <c r="C4" s="14"/>
    </row>
    <row r="5" spans="1:3">
      <c r="A5" s="13"/>
      <c r="B5" s="14"/>
      <c r="C5" s="14"/>
    </row>
    <row r="6" spans="1:3">
      <c r="A6" s="13"/>
      <c r="B6" s="14"/>
      <c r="C6" s="14"/>
    </row>
    <row r="7" spans="1:3">
      <c r="A7" s="13"/>
      <c r="B7" s="14"/>
      <c r="C7" s="1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N38"/>
  <sheetViews>
    <sheetView tabSelected="1" zoomScaleNormal="100" workbookViewId="0">
      <selection activeCell="F30" sqref="F30"/>
    </sheetView>
  </sheetViews>
  <sheetFormatPr defaultRowHeight="12"/>
  <cols>
    <col min="1" max="1" width="9" style="6"/>
    <col min="2" max="2" width="19.75" style="6" customWidth="1"/>
    <col min="3" max="3" width="9" style="6"/>
    <col min="4" max="4" width="9.125" style="6" bestFit="1" customWidth="1"/>
    <col min="5" max="5" width="9.375" style="6" bestFit="1" customWidth="1"/>
    <col min="6" max="6" width="11.625" style="6" customWidth="1"/>
    <col min="7" max="7" width="8.75" style="6" customWidth="1"/>
    <col min="8" max="8" width="9" style="6"/>
    <col min="9" max="9" width="11.625" style="6" customWidth="1"/>
    <col min="10" max="10" width="12.75" style="6" customWidth="1"/>
    <col min="11" max="12" width="9.75" style="6" customWidth="1"/>
    <col min="13" max="13" width="9.125" style="6" bestFit="1" customWidth="1"/>
    <col min="14" max="14" width="9" style="6"/>
    <col min="15" max="23" width="16.75" style="6" hidden="1" customWidth="1"/>
    <col min="24" max="27" width="17.75" style="6" hidden="1" customWidth="1"/>
    <col min="28" max="28" width="16.375" style="6" customWidth="1"/>
    <col min="29" max="40" width="14.125" style="6" bestFit="1" customWidth="1"/>
    <col min="41" max="16384" width="9" style="6"/>
  </cols>
  <sheetData>
    <row r="3" spans="2:40">
      <c r="B3" s="6" t="s">
        <v>49</v>
      </c>
    </row>
    <row r="4" spans="2:40">
      <c r="B4" s="7">
        <f ca="1">TODAY()</f>
        <v>43144</v>
      </c>
      <c r="AB4" s="15"/>
    </row>
    <row r="6" spans="2:40">
      <c r="B6" s="6" t="s">
        <v>5</v>
      </c>
      <c r="C6" s="6" t="s">
        <v>144</v>
      </c>
      <c r="D6" s="6" t="s">
        <v>136</v>
      </c>
      <c r="E6" s="6" t="s">
        <v>24</v>
      </c>
      <c r="F6" s="6" t="s">
        <v>138</v>
      </c>
      <c r="G6" s="1" t="s">
        <v>140</v>
      </c>
      <c r="H6" s="6" t="s">
        <v>142</v>
      </c>
      <c r="I6" s="6" t="s">
        <v>143</v>
      </c>
      <c r="J6" s="6" t="s">
        <v>7</v>
      </c>
      <c r="K6" s="6" t="s">
        <v>145</v>
      </c>
      <c r="L6" s="6" t="s">
        <v>134</v>
      </c>
      <c r="M6" s="6" t="s">
        <v>146</v>
      </c>
      <c r="N6" s="6" t="s">
        <v>0</v>
      </c>
      <c r="O6" s="6" t="s">
        <v>70</v>
      </c>
      <c r="P6" s="6" t="s">
        <v>71</v>
      </c>
      <c r="Q6" s="6" t="s">
        <v>72</v>
      </c>
      <c r="R6" s="6" t="s">
        <v>73</v>
      </c>
      <c r="S6" s="6" t="s">
        <v>74</v>
      </c>
      <c r="T6" s="6" t="s">
        <v>75</v>
      </c>
      <c r="U6" s="6" t="s">
        <v>76</v>
      </c>
      <c r="V6" s="6" t="s">
        <v>77</v>
      </c>
      <c r="W6" s="6" t="s">
        <v>78</v>
      </c>
      <c r="X6" s="6" t="s">
        <v>79</v>
      </c>
      <c r="Y6" s="6" t="s">
        <v>80</v>
      </c>
      <c r="Z6" s="6" t="s">
        <v>81</v>
      </c>
      <c r="AA6" s="6" t="s">
        <v>82</v>
      </c>
      <c r="AB6" s="6" t="s">
        <v>50</v>
      </c>
      <c r="AC6" s="6" t="s">
        <v>32</v>
      </c>
      <c r="AD6" s="6" t="s">
        <v>34</v>
      </c>
      <c r="AE6" s="6" t="s">
        <v>35</v>
      </c>
      <c r="AF6" s="6" t="s">
        <v>36</v>
      </c>
      <c r="AG6" s="6" t="s">
        <v>37</v>
      </c>
      <c r="AH6" s="6" t="s">
        <v>38</v>
      </c>
      <c r="AI6" s="6" t="s">
        <v>39</v>
      </c>
      <c r="AJ6" s="6" t="s">
        <v>40</v>
      </c>
      <c r="AK6" s="6" t="s">
        <v>41</v>
      </c>
      <c r="AL6" s="6" t="s">
        <v>42</v>
      </c>
      <c r="AM6" s="6" t="s">
        <v>43</v>
      </c>
      <c r="AN6" s="6" t="s">
        <v>44</v>
      </c>
    </row>
    <row r="7" spans="2:40" ht="15" customHeight="1">
      <c r="B7" s="6" t="s">
        <v>8</v>
      </c>
      <c r="C7" s="8" t="s">
        <v>19</v>
      </c>
      <c r="D7" s="6">
        <v>100</v>
      </c>
      <c r="E7" s="6">
        <v>50000.000004000001</v>
      </c>
      <c r="F7" s="7">
        <v>43183.625</v>
      </c>
      <c r="G7" s="7"/>
      <c r="H7" s="6">
        <v>-50000.004000000001</v>
      </c>
      <c r="I7" s="6" t="s">
        <v>9</v>
      </c>
      <c r="J7" s="6" t="s">
        <v>10</v>
      </c>
      <c r="K7" s="6" t="s">
        <v>2</v>
      </c>
      <c r="L7" s="6">
        <v>10</v>
      </c>
      <c r="M7" s="6">
        <v>52020</v>
      </c>
      <c r="N7" s="6">
        <v>0.2</v>
      </c>
      <c r="O7" s="6" t="s">
        <v>115</v>
      </c>
      <c r="P7" s="6" t="s">
        <v>115</v>
      </c>
      <c r="Q7" s="6" t="s">
        <v>115</v>
      </c>
      <c r="R7" s="6" t="s">
        <v>115</v>
      </c>
      <c r="S7" s="6" t="s">
        <v>115</v>
      </c>
      <c r="T7" s="6" t="s">
        <v>115</v>
      </c>
      <c r="U7" s="6" t="s">
        <v>115</v>
      </c>
      <c r="V7" s="6" t="s">
        <v>116</v>
      </c>
      <c r="W7" s="6" t="s">
        <v>117</v>
      </c>
      <c r="X7" s="6" t="s">
        <v>116</v>
      </c>
      <c r="Y7" s="6" t="s">
        <v>117</v>
      </c>
      <c r="Z7" s="6" t="s">
        <v>115</v>
      </c>
      <c r="AA7" s="6" t="s">
        <v>115</v>
      </c>
      <c r="AB7" s="15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564543.09048918285</v>
      </c>
      <c r="AC7" s="15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564543.09048918285</v>
      </c>
      <c r="AD7" s="15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564543.09048918285</v>
      </c>
      <c r="AE7" s="15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564543.09048918285</v>
      </c>
      <c r="AF7" s="15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564543.09048918285</v>
      </c>
      <c r="AG7" s="15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564543.09048918285</v>
      </c>
      <c r="AH7" s="15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564543.09048918285</v>
      </c>
      <c r="AI7" s="15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794601.98590864125</v>
      </c>
      <c r="AJ7" s="15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351051.75979353825</v>
      </c>
      <c r="AK7" s="15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794601.98590864125</v>
      </c>
      <c r="AL7" s="15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351051.75979353825</v>
      </c>
      <c r="AM7" s="15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564543.09048918285</v>
      </c>
      <c r="AN7" s="15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564543.09048918285</v>
      </c>
    </row>
    <row r="8" spans="2:40">
      <c r="B8" s="8" t="s">
        <v>11</v>
      </c>
      <c r="C8" s="8" t="s">
        <v>21</v>
      </c>
      <c r="D8" s="8">
        <v>400</v>
      </c>
      <c r="E8" s="8">
        <v>14500.000004</v>
      </c>
      <c r="F8" s="10">
        <v>43200.625</v>
      </c>
      <c r="G8" s="10"/>
      <c r="H8" s="8">
        <v>-400000</v>
      </c>
      <c r="I8" s="8" t="s">
        <v>9</v>
      </c>
      <c r="J8" s="8" t="s">
        <v>12</v>
      </c>
      <c r="K8" s="8" t="s">
        <v>16</v>
      </c>
      <c r="L8" s="8">
        <v>10</v>
      </c>
      <c r="M8" s="8">
        <v>14550</v>
      </c>
      <c r="N8" s="8">
        <v>0.2</v>
      </c>
      <c r="O8" s="8" t="s">
        <v>109</v>
      </c>
      <c r="P8" s="8" t="s">
        <v>109</v>
      </c>
      <c r="Q8" s="8" t="s">
        <v>109</v>
      </c>
      <c r="R8" s="8" t="s">
        <v>109</v>
      </c>
      <c r="S8" s="8" t="s">
        <v>109</v>
      </c>
      <c r="T8" s="8" t="s">
        <v>109</v>
      </c>
      <c r="U8" s="8" t="s">
        <v>109</v>
      </c>
      <c r="V8" s="8" t="s">
        <v>110</v>
      </c>
      <c r="W8" s="8" t="s">
        <v>111</v>
      </c>
      <c r="X8" s="8" t="s">
        <v>110</v>
      </c>
      <c r="Y8" s="8" t="s">
        <v>111</v>
      </c>
      <c r="Z8" s="8" t="s">
        <v>109</v>
      </c>
      <c r="AA8" s="8" t="s">
        <v>109</v>
      </c>
      <c r="AB8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1721805.9751034481</v>
      </c>
      <c r="AC8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1721805.9751034481</v>
      </c>
      <c r="AD8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1721805.9751034481</v>
      </c>
      <c r="AE8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1721805.9751034481</v>
      </c>
      <c r="AF8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1721805.9751034481</v>
      </c>
      <c r="AG8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1721805.9751034481</v>
      </c>
      <c r="AH8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1721805.9751034481</v>
      </c>
      <c r="AI8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2085219.7878806605</v>
      </c>
      <c r="AJ8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1358423.9771837594</v>
      </c>
      <c r="AK8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2085219.7878806605</v>
      </c>
      <c r="AL8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1358423.9771837594</v>
      </c>
      <c r="AM8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1721805.9751034481</v>
      </c>
      <c r="AN8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1721805.9751034481</v>
      </c>
    </row>
    <row r="9" spans="2:40">
      <c r="B9" s="8" t="s">
        <v>55</v>
      </c>
      <c r="C9" s="8" t="s">
        <v>64</v>
      </c>
      <c r="D9" s="8">
        <v>125</v>
      </c>
      <c r="E9" s="8">
        <v>10039.999997630001</v>
      </c>
      <c r="F9" s="10">
        <v>43159.625</v>
      </c>
      <c r="G9" s="10"/>
      <c r="H9" s="8">
        <v>0</v>
      </c>
      <c r="I9" s="8" t="s">
        <v>59</v>
      </c>
      <c r="J9" s="8" t="s">
        <v>60</v>
      </c>
      <c r="K9" s="8" t="s">
        <v>66</v>
      </c>
      <c r="L9" s="8">
        <v>5</v>
      </c>
      <c r="M9" s="8">
        <v>9440</v>
      </c>
      <c r="N9" s="8">
        <v>0.1</v>
      </c>
      <c r="O9" s="8" t="s">
        <v>83</v>
      </c>
      <c r="P9" s="8" t="s">
        <v>83</v>
      </c>
      <c r="Q9" s="8" t="s">
        <v>83</v>
      </c>
      <c r="R9" s="8" t="s">
        <v>83</v>
      </c>
      <c r="S9" s="8" t="s">
        <v>83</v>
      </c>
      <c r="T9" s="8" t="s">
        <v>83</v>
      </c>
      <c r="U9" s="8" t="s">
        <v>83</v>
      </c>
      <c r="V9" s="8" t="s">
        <v>118</v>
      </c>
      <c r="W9" s="8" t="s">
        <v>119</v>
      </c>
      <c r="X9" s="8" t="s">
        <v>118</v>
      </c>
      <c r="Y9" s="8" t="s">
        <v>119</v>
      </c>
      <c r="Z9" s="8" t="s">
        <v>83</v>
      </c>
      <c r="AA9" s="8" t="s">
        <v>83</v>
      </c>
      <c r="AB9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51.888030979082679</v>
      </c>
      <c r="AC9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51.888030979082679</v>
      </c>
      <c r="AD9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51.888030979082679</v>
      </c>
      <c r="AE9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51.888030979082679</v>
      </c>
      <c r="AF9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51.888030979082679</v>
      </c>
      <c r="AG9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51.888030979082679</v>
      </c>
      <c r="AH9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51.888030979082679</v>
      </c>
      <c r="AI9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319.8867230413681</v>
      </c>
      <c r="AJ9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2.3712401084034176</v>
      </c>
      <c r="AK9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319.8867230413681</v>
      </c>
      <c r="AL9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2.3712401084034176</v>
      </c>
      <c r="AM9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51.888030979082679</v>
      </c>
      <c r="AN9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51.888030979082679</v>
      </c>
    </row>
    <row r="10" spans="2:40">
      <c r="B10" s="8" t="s">
        <v>56</v>
      </c>
      <c r="C10" s="8" t="s">
        <v>64</v>
      </c>
      <c r="D10" s="8">
        <v>-125</v>
      </c>
      <c r="E10" s="8">
        <v>9500.0000023699995</v>
      </c>
      <c r="F10" s="10">
        <v>43159.625</v>
      </c>
      <c r="G10" s="10"/>
      <c r="H10" s="8">
        <v>9375</v>
      </c>
      <c r="I10" s="8" t="s">
        <v>9</v>
      </c>
      <c r="J10" s="8" t="s">
        <v>60</v>
      </c>
      <c r="K10" s="8" t="s">
        <v>66</v>
      </c>
      <c r="L10" s="8">
        <v>5</v>
      </c>
      <c r="M10" s="8">
        <v>9440</v>
      </c>
      <c r="N10" s="8">
        <v>0.1</v>
      </c>
      <c r="O10" s="8" t="s">
        <v>83</v>
      </c>
      <c r="P10" s="8" t="s">
        <v>83</v>
      </c>
      <c r="Q10" s="8" t="s">
        <v>83</v>
      </c>
      <c r="R10" s="8" t="s">
        <v>83</v>
      </c>
      <c r="S10" s="8" t="s">
        <v>83</v>
      </c>
      <c r="T10" s="8" t="s">
        <v>83</v>
      </c>
      <c r="U10" s="8" t="s">
        <v>83</v>
      </c>
      <c r="V10" s="8" t="s">
        <v>118</v>
      </c>
      <c r="W10" s="8" t="s">
        <v>119</v>
      </c>
      <c r="X10" s="8" t="s">
        <v>118</v>
      </c>
      <c r="Y10" s="8" t="s">
        <v>119</v>
      </c>
      <c r="Z10" s="8" t="s">
        <v>83</v>
      </c>
      <c r="AA10" s="8" t="s">
        <v>83</v>
      </c>
      <c r="AB10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-69816.474585323333</v>
      </c>
      <c r="AC10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-69816.474585323333</v>
      </c>
      <c r="AD10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-69816.474585323333</v>
      </c>
      <c r="AE10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-69816.474585323333</v>
      </c>
      <c r="AF10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-69816.474585323333</v>
      </c>
      <c r="AG10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-69816.474585323333</v>
      </c>
      <c r="AH10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-69816.474585323333</v>
      </c>
      <c r="AI10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-79204.327902609104</v>
      </c>
      <c r="AJ10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-60609.860875780068</v>
      </c>
      <c r="AK10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-79204.327902609104</v>
      </c>
      <c r="AL10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-60609.860875780068</v>
      </c>
      <c r="AM10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-69816.474585323333</v>
      </c>
      <c r="AN10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-69816.474585323333</v>
      </c>
    </row>
    <row r="11" spans="2:40">
      <c r="B11" s="8" t="s">
        <v>91</v>
      </c>
      <c r="C11" s="8" t="s">
        <v>84</v>
      </c>
      <c r="D11" s="8">
        <v>500</v>
      </c>
      <c r="E11" s="8">
        <v>3699.9999992799999</v>
      </c>
      <c r="F11" s="10">
        <v>43219.625</v>
      </c>
      <c r="G11" s="10"/>
      <c r="H11" s="8">
        <v>-275000.00800000003</v>
      </c>
      <c r="I11" s="8" t="s">
        <v>9</v>
      </c>
      <c r="J11" s="8" t="s">
        <v>89</v>
      </c>
      <c r="K11" s="8" t="s">
        <v>87</v>
      </c>
      <c r="L11" s="8">
        <v>10</v>
      </c>
      <c r="M11" s="8">
        <v>3787</v>
      </c>
      <c r="N11" s="8">
        <v>0.18</v>
      </c>
      <c r="O11" s="8" t="s">
        <v>120</v>
      </c>
      <c r="P11" s="8" t="s">
        <v>121</v>
      </c>
      <c r="Q11" s="8" t="s">
        <v>122</v>
      </c>
      <c r="R11" s="8" t="s">
        <v>123</v>
      </c>
      <c r="S11" s="8" t="s">
        <v>124</v>
      </c>
      <c r="T11" s="8" t="s">
        <v>125</v>
      </c>
      <c r="U11" s="8" t="s">
        <v>123</v>
      </c>
      <c r="V11" s="8" t="s">
        <v>126</v>
      </c>
      <c r="W11" s="8" t="s">
        <v>127</v>
      </c>
      <c r="X11" s="8" t="s">
        <v>128</v>
      </c>
      <c r="Y11" s="8" t="s">
        <v>129</v>
      </c>
      <c r="Z11" s="8" t="s">
        <v>130</v>
      </c>
      <c r="AA11" s="8" t="s">
        <v>131</v>
      </c>
      <c r="AB11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416837.06010020908</v>
      </c>
      <c r="AC11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253969.2961941837</v>
      </c>
      <c r="AD11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145992.7816887229</v>
      </c>
      <c r="AE11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79208.671210429078</v>
      </c>
      <c r="AF11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645873.43501803279</v>
      </c>
      <c r="AG11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946463.75712516415</v>
      </c>
      <c r="AH11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79208.671210429078</v>
      </c>
      <c r="AI11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110126.37187676526</v>
      </c>
      <c r="AJ11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52829.359378796355</v>
      </c>
      <c r="AK11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1360242.4353490465</v>
      </c>
      <c r="AL11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1274035.855081239</v>
      </c>
      <c r="AM11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657.80172672721358</v>
      </c>
      <c r="AN11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4262351.7834239053</v>
      </c>
    </row>
    <row r="12" spans="2:40">
      <c r="B12" s="8" t="s">
        <v>92</v>
      </c>
      <c r="C12" s="8" t="s">
        <v>84</v>
      </c>
      <c r="D12" s="8">
        <v>1000</v>
      </c>
      <c r="E12" s="8">
        <v>3720.0000015999999</v>
      </c>
      <c r="F12" s="10">
        <v>43205.625</v>
      </c>
      <c r="G12" s="10"/>
      <c r="H12" s="8">
        <v>-499999.99575</v>
      </c>
      <c r="I12" s="8" t="s">
        <v>9</v>
      </c>
      <c r="J12" s="8" t="s">
        <v>89</v>
      </c>
      <c r="K12" s="8" t="s">
        <v>87</v>
      </c>
      <c r="L12" s="8">
        <v>10</v>
      </c>
      <c r="M12" s="8">
        <v>3787</v>
      </c>
      <c r="N12" s="8">
        <v>0.18</v>
      </c>
      <c r="O12" s="8" t="s">
        <v>120</v>
      </c>
      <c r="P12" s="8" t="s">
        <v>121</v>
      </c>
      <c r="Q12" s="8" t="s">
        <v>122</v>
      </c>
      <c r="R12" s="8" t="s">
        <v>123</v>
      </c>
      <c r="S12" s="8" t="s">
        <v>124</v>
      </c>
      <c r="T12" s="8" t="s">
        <v>125</v>
      </c>
      <c r="U12" s="8" t="s">
        <v>123</v>
      </c>
      <c r="V12" s="8" t="s">
        <v>126</v>
      </c>
      <c r="W12" s="8" t="s">
        <v>127</v>
      </c>
      <c r="X12" s="8" t="s">
        <v>128</v>
      </c>
      <c r="Y12" s="8" t="s">
        <v>129</v>
      </c>
      <c r="Z12" s="8" t="s">
        <v>130</v>
      </c>
      <c r="AA12" s="8" t="s">
        <v>131</v>
      </c>
      <c r="AB12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801632.17880978039</v>
      </c>
      <c r="AC12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464998.47512248927</v>
      </c>
      <c r="AD12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250756.29604614462</v>
      </c>
      <c r="AE12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125706.09315851396</v>
      </c>
      <c r="AF12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1286704.1145929815</v>
      </c>
      <c r="AG12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1929276.8885091012</v>
      </c>
      <c r="AH12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125706.09315851396</v>
      </c>
      <c r="AI12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177778.70714907211</v>
      </c>
      <c r="AJ12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81990.149473045065</v>
      </c>
      <c r="AK12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2787734.9649000484</v>
      </c>
      <c r="AL12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2651101.4021218931</v>
      </c>
      <c r="AM12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479.37580666100632</v>
      </c>
      <c r="AN12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8730183.9730125368</v>
      </c>
    </row>
    <row r="13" spans="2:40">
      <c r="B13" s="8" t="s">
        <v>93</v>
      </c>
      <c r="C13" s="8" t="s">
        <v>84</v>
      </c>
      <c r="D13" s="8">
        <v>1000</v>
      </c>
      <c r="E13" s="8">
        <v>3650.00000142</v>
      </c>
      <c r="F13" s="10">
        <v>43205.625</v>
      </c>
      <c r="G13" s="10"/>
      <c r="H13" s="8">
        <v>-429999.99489999999</v>
      </c>
      <c r="I13" s="8" t="s">
        <v>9</v>
      </c>
      <c r="J13" s="8" t="s">
        <v>89</v>
      </c>
      <c r="K13" s="8" t="s">
        <v>87</v>
      </c>
      <c r="L13" s="8">
        <v>10</v>
      </c>
      <c r="M13" s="8">
        <v>3787</v>
      </c>
      <c r="N13" s="8">
        <v>0.18</v>
      </c>
      <c r="O13" s="8" t="s">
        <v>120</v>
      </c>
      <c r="P13" s="8" t="s">
        <v>121</v>
      </c>
      <c r="Q13" s="8" t="s">
        <v>122</v>
      </c>
      <c r="R13" s="8" t="s">
        <v>123</v>
      </c>
      <c r="S13" s="8" t="s">
        <v>124</v>
      </c>
      <c r="T13" s="8" t="s">
        <v>125</v>
      </c>
      <c r="U13" s="8" t="s">
        <v>123</v>
      </c>
      <c r="V13" s="8" t="s">
        <v>126</v>
      </c>
      <c r="W13" s="8" t="s">
        <v>127</v>
      </c>
      <c r="X13" s="8" t="s">
        <v>128</v>
      </c>
      <c r="Y13" s="8" t="s">
        <v>129</v>
      </c>
      <c r="Z13" s="8" t="s">
        <v>130</v>
      </c>
      <c r="AA13" s="8" t="s">
        <v>131</v>
      </c>
      <c r="AB13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543404.78550132178</v>
      </c>
      <c r="AC13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296075.11969159538</v>
      </c>
      <c r="AD13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149523.45628390895</v>
      </c>
      <c r="AE13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70051.599546124708</v>
      </c>
      <c r="AF13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924854.83102462965</v>
      </c>
      <c r="AG13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1462834.4991021729</v>
      </c>
      <c r="AH13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70051.599546124708</v>
      </c>
      <c r="AI13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106872.28039917159</v>
      </c>
      <c r="AJ13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41353.952558567195</v>
      </c>
      <c r="AK13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2244406.9352237536</v>
      </c>
      <c r="AL13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2077925.4225769574</v>
      </c>
      <c r="AM13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175.89458778573535</v>
      </c>
      <c r="AN13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8032688.8655152936</v>
      </c>
    </row>
    <row r="14" spans="2:40">
      <c r="B14" s="8" t="s">
        <v>94</v>
      </c>
      <c r="C14" s="8" t="s">
        <v>84</v>
      </c>
      <c r="D14" s="8">
        <v>1000</v>
      </c>
      <c r="E14" s="8">
        <v>3650.0000014560001</v>
      </c>
      <c r="F14" s="10">
        <v>43189.625</v>
      </c>
      <c r="G14" s="10"/>
      <c r="H14" s="8">
        <v>-470000.00880000001</v>
      </c>
      <c r="I14" s="8" t="s">
        <v>9</v>
      </c>
      <c r="J14" s="8" t="s">
        <v>89</v>
      </c>
      <c r="K14" s="8" t="s">
        <v>87</v>
      </c>
      <c r="L14" s="8">
        <v>10</v>
      </c>
      <c r="M14" s="8">
        <v>3787</v>
      </c>
      <c r="N14" s="8">
        <v>0.18</v>
      </c>
      <c r="O14" s="8" t="s">
        <v>120</v>
      </c>
      <c r="P14" s="8" t="s">
        <v>121</v>
      </c>
      <c r="Q14" s="8" t="s">
        <v>122</v>
      </c>
      <c r="R14" s="8" t="s">
        <v>123</v>
      </c>
      <c r="S14" s="8" t="s">
        <v>124</v>
      </c>
      <c r="T14" s="8" t="s">
        <v>125</v>
      </c>
      <c r="U14" s="8" t="s">
        <v>123</v>
      </c>
      <c r="V14" s="8" t="s">
        <v>126</v>
      </c>
      <c r="W14" s="8" t="s">
        <v>127</v>
      </c>
      <c r="X14" s="8" t="s">
        <v>128</v>
      </c>
      <c r="Y14" s="8" t="s">
        <v>129</v>
      </c>
      <c r="Z14" s="8" t="s">
        <v>130</v>
      </c>
      <c r="AA14" s="8" t="s">
        <v>131</v>
      </c>
      <c r="AB14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411749.02163474174</v>
      </c>
      <c r="AC14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196319.01778152655</v>
      </c>
      <c r="AD14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84040.251818462057</v>
      </c>
      <c r="AE14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32330.961354951294</v>
      </c>
      <c r="AF14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776402.14768944774</v>
      </c>
      <c r="AG14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1321996.0661607988</v>
      </c>
      <c r="AH14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32330.961354951294</v>
      </c>
      <c r="AI14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53708.991277804758</v>
      </c>
      <c r="AJ14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17053.561896121366</v>
      </c>
      <c r="AK14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2117059.6918536881</v>
      </c>
      <c r="AL14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1984686.7608064367</v>
      </c>
      <c r="AM14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13.610520192357603</v>
      </c>
      <c r="AN14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8039526.8181721224</v>
      </c>
    </row>
    <row r="15" spans="2:40">
      <c r="B15" s="8" t="s">
        <v>95</v>
      </c>
      <c r="C15" s="8" t="s">
        <v>84</v>
      </c>
      <c r="D15" s="8">
        <v>500</v>
      </c>
      <c r="E15" s="8">
        <v>3550.00000086</v>
      </c>
      <c r="F15" s="10">
        <v>43167.625</v>
      </c>
      <c r="G15" s="10"/>
      <c r="H15" s="8">
        <v>-315000.00594</v>
      </c>
      <c r="I15" s="8" t="s">
        <v>9</v>
      </c>
      <c r="J15" s="8" t="s">
        <v>89</v>
      </c>
      <c r="K15" s="8" t="s">
        <v>87</v>
      </c>
      <c r="L15" s="8">
        <v>10</v>
      </c>
      <c r="M15" s="8">
        <v>3787</v>
      </c>
      <c r="N15" s="8">
        <v>0.18</v>
      </c>
      <c r="O15" s="8" t="s">
        <v>120</v>
      </c>
      <c r="P15" s="8" t="s">
        <v>121</v>
      </c>
      <c r="Q15" s="8" t="s">
        <v>122</v>
      </c>
      <c r="R15" s="8" t="s">
        <v>123</v>
      </c>
      <c r="S15" s="8" t="s">
        <v>124</v>
      </c>
      <c r="T15" s="8" t="s">
        <v>125</v>
      </c>
      <c r="U15" s="8" t="s">
        <v>123</v>
      </c>
      <c r="V15" s="8" t="s">
        <v>126</v>
      </c>
      <c r="W15" s="8" t="s">
        <v>127</v>
      </c>
      <c r="X15" s="8" t="s">
        <v>128</v>
      </c>
      <c r="Y15" s="8" t="s">
        <v>129</v>
      </c>
      <c r="Z15" s="8" t="s">
        <v>130</v>
      </c>
      <c r="AA15" s="8" t="s">
        <v>131</v>
      </c>
      <c r="AB15" s="16">
        <f ca="1">tbl_senario[[#This Row],[volume]]*tbl_senario[[#This Row],[qty]]*GBlackScholesNGreeks("p", tbl_senario[[#This Row],[type]], StrSplit(tbl_senario[[#This Row],[param_senario1]],"|",0), tbl_senario[[#This Row],[k]], (tbl_senario[[#This Row],[exp_date]]-$B$4)/365, 0.02, 0, StrSplit(tbl_senario[[#This Row],[param_senario1]],"|",1), 0.01)</f>
        <v>29986.370090183082</v>
      </c>
      <c r="AC15" s="16">
        <f ca="1">tbl_senario[[#This Row],[volume]]*tbl_senario[[#This Row],[qty]]*GBlackScholesNGreeks("p", tbl_senario[[#This Row],[type]], StrSplit(tbl_senario[[#This Row],[param_senario2]],"|",0), tbl_senario[[#This Row],[k]], (tbl_senario[[#This Row],[exp_date]]-$B$4)/365, 0.02, 0, StrSplit(tbl_senario[[#This Row],[param_senario2]],"|",1), 0.01)</f>
        <v>7077.800492497222</v>
      </c>
      <c r="AD15" s="16">
        <f ca="1">tbl_senario[[#This Row],[volume]]*tbl_senario[[#This Row],[qty]]*GBlackScholesNGreeks("p", tbl_senario[[#This Row],[type]], StrSplit(tbl_senario[[#This Row],[param_senario3]],"|",0), tbl_senario[[#This Row],[k]], (tbl_senario[[#This Row],[exp_date]]-$B$4)/365, 0.02, 0, StrSplit(tbl_senario[[#This Row],[param_senario3]],"|",1), 0.01)</f>
        <v>1312.6138289544028</v>
      </c>
      <c r="AE15" s="16">
        <f ca="1">tbl_senario[[#This Row],[volume]]*tbl_senario[[#This Row],[qty]]*GBlackScholesNGreeks("p", tbl_senario[[#This Row],[type]], StrSplit(tbl_senario[[#This Row],[param_senario4]],"|",0), tbl_senario[[#This Row],[k]], (tbl_senario[[#This Row],[exp_date]]-$B$4)/365, 0.02, 0, StrSplit(tbl_senario[[#This Row],[param_senario4]],"|",1), 0.01)</f>
        <v>192.62469908546677</v>
      </c>
      <c r="AF15" s="16">
        <f ca="1">tbl_senario[[#This Row],[volume]]*tbl_senario[[#This Row],[qty]]*GBlackScholesNGreeks("p", tbl_senario[[#This Row],[type]], StrSplit(tbl_senario[[#This Row],[param_senario5]],"|",0), tbl_senario[[#This Row],[k]], (tbl_senario[[#This Row],[exp_date]]-$B$4)/365, 0.02, 0, StrSplit(tbl_senario[[#This Row],[param_senario5]],"|",1), 0.01)</f>
        <v>99620.63116656692</v>
      </c>
      <c r="AG15" s="16">
        <f ca="1">tbl_senario[[#This Row],[volume]]*tbl_senario[[#This Row],[qty]]*GBlackScholesNGreeks("p", tbl_senario[[#This Row],[type]], StrSplit(tbl_senario[[#This Row],[param_senario6]],"|",0), tbl_senario[[#This Row],[k]], (tbl_senario[[#This Row],[exp_date]]-$B$4)/365, 0.02, 0, StrSplit(tbl_senario[[#This Row],[param_senario6]],"|",1), 0.01)</f>
        <v>261128.72082350223</v>
      </c>
      <c r="AH15" s="16">
        <f ca="1">tbl_senario[[#This Row],[volume]]*tbl_senario[[#This Row],[qty]]*GBlackScholesNGreeks("p", tbl_senario[[#This Row],[type]], StrSplit(tbl_senario[[#This Row],[param_senario7]],"|",0), tbl_senario[[#This Row],[k]], (tbl_senario[[#This Row],[exp_date]]-$B$4)/365, 0.02, 0, StrSplit(tbl_senario[[#This Row],[param_senario7]],"|",1), 0.01)</f>
        <v>192.62469908546677</v>
      </c>
      <c r="AI15" s="16">
        <f ca="1">tbl_senario[[#This Row],[volume]]*tbl_senario[[#This Row],[qty]]*GBlackScholesNGreeks("p", tbl_senario[[#This Row],[type]], StrSplit(tbl_senario[[#This Row],[param_senario8]],"|",0), tbl_senario[[#This Row],[k]], (tbl_senario[[#This Row],[exp_date]]-$B$4)/365, 0.02, 0, StrSplit(tbl_senario[[#This Row],[param_senario8]],"|",1), 0.01)</f>
        <v>584.43817630925355</v>
      </c>
      <c r="AJ15" s="16">
        <f ca="1">tbl_senario[[#This Row],[volume]]*tbl_senario[[#This Row],[qty]]*GBlackScholesNGreeks("p", tbl_senario[[#This Row],[type]], StrSplit(tbl_senario[[#This Row],[param_senario9]],"|",0), tbl_senario[[#This Row],[k]], (tbl_senario[[#This Row],[exp_date]]-$B$4)/365, 0.02, 0, StrSplit(tbl_senario[[#This Row],[param_senario9]],"|",1), 0.01)</f>
        <v>45.434764401967882</v>
      </c>
      <c r="AK15" s="16">
        <f ca="1">tbl_senario[[#This Row],[volume]]*tbl_senario[[#This Row],[qty]]*GBlackScholesNGreeks("p", tbl_senario[[#This Row],[type]], StrSplit(tbl_senario[[#This Row],[param_senario10]],"|",0), tbl_senario[[#This Row],[k]], (tbl_senario[[#This Row],[exp_date]]-$B$4)/365, 0.02, 0, StrSplit(tbl_senario[[#This Row],[param_senario10]],"|",1), 0.01)</f>
        <v>578513.75556067319</v>
      </c>
      <c r="AL15" s="16">
        <f ca="1">tbl_senario[[#This Row],[volume]]*tbl_senario[[#This Row],[qty]]*GBlackScholesNGreeks("p", tbl_senario[[#This Row],[type]], StrSplit(tbl_senario[[#This Row],[param_senario11]],"|",0), tbl_senario[[#This Row],[k]], (tbl_senario[[#This Row],[exp_date]]-$B$4)/365, 0.02, 0, StrSplit(tbl_senario[[#This Row],[param_senario11]],"|",1), 0.01)</f>
        <v>521522.03696318797</v>
      </c>
      <c r="AM15" s="16">
        <f ca="1">tbl_senario[[#This Row],[volume]]*tbl_senario[[#This Row],[qty]]*GBlackScholesNGreeks("p", tbl_senario[[#This Row],[type]], StrSplit(tbl_senario[[#This Row],[param_senario12]],"|",0), tbl_senario[[#This Row],[k]], (tbl_senario[[#This Row],[exp_date]]-$B$4)/365, 0.02, 0, StrSplit(tbl_senario[[#This Row],[param_senario12]],"|",1), 0.01)</f>
        <v>2.6348979512730263E-5</v>
      </c>
      <c r="AN15" s="16">
        <f ca="1">tbl_senario[[#This Row],[volume]]*tbl_senario[[#This Row],[qty]]*GBlackScholesNGreeks("p", tbl_senario[[#This Row],[type]], StrSplit(tbl_senario[[#This Row],[param_senario13]],"|",0), tbl_senario[[#This Row],[k]], (tbl_senario[[#This Row],[exp_date]]-$B$4)/365, 0.02, 0, StrSplit(tbl_senario[[#This Row],[param_senario13]],"|",1), 0.01)</f>
        <v>3525248.6322585433</v>
      </c>
    </row>
    <row r="16" spans="2:40"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</row>
    <row r="38" spans="36:36">
      <c r="AJ38" s="6" t="s">
        <v>133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M24"/>
  <sheetViews>
    <sheetView workbookViewId="0">
      <selection activeCell="G24" sqref="G24"/>
    </sheetView>
  </sheetViews>
  <sheetFormatPr defaultRowHeight="12"/>
  <cols>
    <col min="1" max="1" width="9" style="8"/>
    <col min="2" max="2" width="34.25" style="8" customWidth="1"/>
    <col min="3" max="3" width="9.5" style="8" customWidth="1"/>
    <col min="4" max="4" width="14" style="8" customWidth="1"/>
    <col min="5" max="5" width="15.125" style="8" customWidth="1"/>
    <col min="6" max="6" width="14" style="8" customWidth="1"/>
    <col min="7" max="7" width="12.875" style="8" customWidth="1"/>
    <col min="8" max="8" width="9" style="8"/>
    <col min="9" max="9" width="14" style="8" customWidth="1"/>
    <col min="10" max="10" width="10.625" style="8" customWidth="1"/>
    <col min="11" max="11" width="9.5" style="8" customWidth="1"/>
    <col min="12" max="16384" width="9" style="8"/>
  </cols>
  <sheetData>
    <row r="8" spans="2:13">
      <c r="B8" s="11" t="s">
        <v>5</v>
      </c>
      <c r="C8" s="1" t="s">
        <v>136</v>
      </c>
      <c r="D8" s="1" t="s">
        <v>137</v>
      </c>
      <c r="E8" s="2" t="s">
        <v>138</v>
      </c>
      <c r="F8" s="1" t="s">
        <v>139</v>
      </c>
      <c r="G8" s="1" t="s">
        <v>140</v>
      </c>
      <c r="H8" s="1" t="s">
        <v>141</v>
      </c>
      <c r="I8" s="1" t="s">
        <v>142</v>
      </c>
      <c r="J8" s="1" t="s">
        <v>143</v>
      </c>
      <c r="K8" s="1" t="s">
        <v>6</v>
      </c>
      <c r="L8" s="1" t="s">
        <v>7</v>
      </c>
      <c r="M8" s="1" t="s">
        <v>144</v>
      </c>
    </row>
    <row r="9" spans="2:13">
      <c r="B9" s="5" t="s">
        <v>8</v>
      </c>
      <c r="C9" s="5">
        <v>100</v>
      </c>
      <c r="D9" s="4">
        <v>43123</v>
      </c>
      <c r="E9" s="4">
        <v>43183.625</v>
      </c>
      <c r="F9" s="4">
        <v>43183</v>
      </c>
      <c r="G9" s="4">
        <v>43123</v>
      </c>
      <c r="H9" s="5">
        <v>50000.000004000001</v>
      </c>
      <c r="I9" s="5">
        <v>-50000.004000000001</v>
      </c>
      <c r="J9" s="5" t="s">
        <v>9</v>
      </c>
      <c r="K9" s="5">
        <v>1</v>
      </c>
      <c r="L9" s="5" t="s">
        <v>10</v>
      </c>
      <c r="M9" s="5" t="s">
        <v>61</v>
      </c>
    </row>
    <row r="10" spans="2:13">
      <c r="B10" s="5" t="s">
        <v>11</v>
      </c>
      <c r="C10" s="5">
        <v>400</v>
      </c>
      <c r="D10" s="4">
        <v>43118</v>
      </c>
      <c r="E10" s="4">
        <v>43200.625</v>
      </c>
      <c r="F10" s="4">
        <v>43202</v>
      </c>
      <c r="G10" s="4">
        <v>43118</v>
      </c>
      <c r="H10" s="5">
        <v>14500.000004</v>
      </c>
      <c r="I10" s="5">
        <v>-400000</v>
      </c>
      <c r="J10" s="5" t="s">
        <v>9</v>
      </c>
      <c r="K10" s="5">
        <v>1</v>
      </c>
      <c r="L10" s="5" t="s">
        <v>12</v>
      </c>
      <c r="M10" s="5" t="s">
        <v>62</v>
      </c>
    </row>
    <row r="11" spans="2:13">
      <c r="B11" s="5" t="s">
        <v>13</v>
      </c>
      <c r="C11" s="5">
        <v>-100</v>
      </c>
      <c r="D11" s="4">
        <v>43109</v>
      </c>
      <c r="E11" s="4">
        <v>43137.625</v>
      </c>
      <c r="F11" s="4">
        <v>43137</v>
      </c>
      <c r="G11" s="4">
        <v>43109</v>
      </c>
      <c r="H11" s="5">
        <v>3749.9999986319999</v>
      </c>
      <c r="I11" s="5">
        <v>14999.99934</v>
      </c>
      <c r="J11" s="5" t="s">
        <v>9</v>
      </c>
      <c r="K11" s="5">
        <v>1</v>
      </c>
      <c r="L11" s="5" t="s">
        <v>14</v>
      </c>
      <c r="M11" s="5" t="s">
        <v>63</v>
      </c>
    </row>
    <row r="12" spans="2:13">
      <c r="B12" s="5" t="s">
        <v>55</v>
      </c>
      <c r="C12" s="5">
        <v>125</v>
      </c>
      <c r="D12" s="4">
        <v>43098</v>
      </c>
      <c r="E12" s="4">
        <v>43159.625</v>
      </c>
      <c r="F12" s="4">
        <v>43279</v>
      </c>
      <c r="G12" s="4">
        <v>43098</v>
      </c>
      <c r="H12" s="5">
        <v>10039.999997630001</v>
      </c>
      <c r="I12" s="5">
        <v>0</v>
      </c>
      <c r="J12" s="5" t="s">
        <v>59</v>
      </c>
      <c r="K12" s="5">
        <v>1</v>
      </c>
      <c r="L12" s="8" t="s">
        <v>60</v>
      </c>
      <c r="M12" s="8" t="s">
        <v>65</v>
      </c>
    </row>
    <row r="13" spans="2:13">
      <c r="B13" s="5" t="s">
        <v>56</v>
      </c>
      <c r="C13" s="5">
        <v>-125</v>
      </c>
      <c r="D13" s="4">
        <v>43098</v>
      </c>
      <c r="E13" s="4">
        <v>43159.625</v>
      </c>
      <c r="F13" s="4">
        <v>43279</v>
      </c>
      <c r="G13" s="4">
        <v>43098</v>
      </c>
      <c r="H13" s="5">
        <v>9500.0000023699995</v>
      </c>
      <c r="I13" s="5">
        <v>9375</v>
      </c>
      <c r="J13" s="5" t="s">
        <v>9</v>
      </c>
      <c r="K13" s="5">
        <v>1</v>
      </c>
      <c r="L13" s="8" t="s">
        <v>60</v>
      </c>
      <c r="M13" s="8" t="s">
        <v>65</v>
      </c>
    </row>
    <row r="14" spans="2:13">
      <c r="B14" s="5" t="s">
        <v>57</v>
      </c>
      <c r="C14" s="5">
        <v>35</v>
      </c>
      <c r="D14" s="4">
        <v>43067</v>
      </c>
      <c r="E14" s="4">
        <v>43104.625</v>
      </c>
      <c r="F14" s="4">
        <v>43105</v>
      </c>
      <c r="G14" s="4">
        <v>43067</v>
      </c>
      <c r="H14" s="5">
        <v>3824.9999984749998</v>
      </c>
      <c r="I14" s="5">
        <v>-3071.2499606250003</v>
      </c>
      <c r="J14" s="5" t="s">
        <v>9</v>
      </c>
      <c r="K14" s="5">
        <v>1</v>
      </c>
      <c r="L14" s="8" t="s">
        <v>14</v>
      </c>
      <c r="M14" s="8" t="s">
        <v>63</v>
      </c>
    </row>
    <row r="15" spans="2:13">
      <c r="B15" s="5" t="s">
        <v>58</v>
      </c>
      <c r="C15" s="5">
        <v>35</v>
      </c>
      <c r="D15" s="4">
        <v>43067</v>
      </c>
      <c r="E15" s="4">
        <v>43104.625</v>
      </c>
      <c r="F15" s="4">
        <v>43105</v>
      </c>
      <c r="G15" s="4">
        <v>43067</v>
      </c>
      <c r="H15" s="5">
        <v>4105</v>
      </c>
      <c r="I15" s="5">
        <v>-6427.0079999999998</v>
      </c>
      <c r="J15" s="5" t="s">
        <v>59</v>
      </c>
      <c r="K15" s="5">
        <v>1</v>
      </c>
      <c r="L15" s="8" t="s">
        <v>14</v>
      </c>
      <c r="M15" s="8" t="s">
        <v>63</v>
      </c>
    </row>
    <row r="16" spans="2:13">
      <c r="B16" s="5" t="s">
        <v>91</v>
      </c>
      <c r="C16" s="3">
        <v>500</v>
      </c>
      <c r="D16" s="4">
        <v>43140</v>
      </c>
      <c r="E16" s="4">
        <v>43219.625</v>
      </c>
      <c r="F16" s="4">
        <v>43219</v>
      </c>
      <c r="G16" s="4">
        <v>43140</v>
      </c>
      <c r="H16" s="17">
        <v>3699.9999992799999</v>
      </c>
      <c r="I16" s="17">
        <v>-275000.00800000003</v>
      </c>
      <c r="J16" s="3" t="s">
        <v>9</v>
      </c>
      <c r="K16" s="5">
        <v>1</v>
      </c>
      <c r="L16" s="3" t="s">
        <v>89</v>
      </c>
      <c r="M16" s="8" t="s">
        <v>85</v>
      </c>
    </row>
    <row r="17" spans="2:13">
      <c r="B17" s="5" t="s">
        <v>92</v>
      </c>
      <c r="C17" s="3">
        <v>1000</v>
      </c>
      <c r="D17" s="4">
        <v>43140</v>
      </c>
      <c r="E17" s="4">
        <v>43205.625</v>
      </c>
      <c r="F17" s="4">
        <v>43205</v>
      </c>
      <c r="G17" s="4">
        <v>43140</v>
      </c>
      <c r="H17" s="17">
        <v>3720.0000015999999</v>
      </c>
      <c r="I17" s="17">
        <v>-499999.99575</v>
      </c>
      <c r="J17" s="3" t="s">
        <v>9</v>
      </c>
      <c r="K17" s="5">
        <v>1</v>
      </c>
      <c r="L17" s="3" t="s">
        <v>89</v>
      </c>
      <c r="M17" s="8" t="s">
        <v>85</v>
      </c>
    </row>
    <row r="18" spans="2:13">
      <c r="B18" s="5" t="s">
        <v>93</v>
      </c>
      <c r="C18" s="3">
        <v>1000</v>
      </c>
      <c r="D18" s="4">
        <v>43132</v>
      </c>
      <c r="E18" s="4">
        <v>43205.625</v>
      </c>
      <c r="F18" s="4">
        <v>43205</v>
      </c>
      <c r="G18" s="4">
        <v>43132</v>
      </c>
      <c r="H18" s="3">
        <v>3650.00000142</v>
      </c>
      <c r="I18" s="3">
        <v>-429999.99489999999</v>
      </c>
      <c r="J18" s="3" t="s">
        <v>9</v>
      </c>
      <c r="K18" s="5">
        <v>1</v>
      </c>
      <c r="L18" s="3" t="s">
        <v>89</v>
      </c>
      <c r="M18" s="8" t="s">
        <v>85</v>
      </c>
    </row>
    <row r="19" spans="2:13">
      <c r="B19" s="5" t="s">
        <v>94</v>
      </c>
      <c r="C19" s="3">
        <v>1000</v>
      </c>
      <c r="D19" s="4">
        <v>43129</v>
      </c>
      <c r="E19" s="4">
        <v>43189.625</v>
      </c>
      <c r="F19" s="4">
        <v>43189</v>
      </c>
      <c r="G19" s="4">
        <v>43129</v>
      </c>
      <c r="H19" s="3">
        <v>3650.0000014560001</v>
      </c>
      <c r="I19" s="3">
        <v>-470000.00880000001</v>
      </c>
      <c r="J19" s="3" t="s">
        <v>9</v>
      </c>
      <c r="K19" s="5">
        <v>1</v>
      </c>
      <c r="L19" s="3" t="s">
        <v>89</v>
      </c>
      <c r="M19" s="8" t="s">
        <v>85</v>
      </c>
    </row>
    <row r="20" spans="2:13">
      <c r="B20" s="5" t="s">
        <v>95</v>
      </c>
      <c r="C20" s="3">
        <v>500</v>
      </c>
      <c r="D20" s="4">
        <v>43104</v>
      </c>
      <c r="E20" s="4">
        <v>43167.625</v>
      </c>
      <c r="F20" s="4">
        <v>43167</v>
      </c>
      <c r="G20" s="4">
        <v>43104</v>
      </c>
      <c r="H20" s="3">
        <v>3550.00000086</v>
      </c>
      <c r="I20" s="3">
        <v>-315000.00594</v>
      </c>
      <c r="J20" s="3" t="s">
        <v>9</v>
      </c>
      <c r="K20" s="5">
        <v>1</v>
      </c>
      <c r="L20" s="3" t="s">
        <v>89</v>
      </c>
      <c r="M20" s="8" t="s">
        <v>85</v>
      </c>
    </row>
    <row r="21" spans="2:13">
      <c r="B21" s="5" t="s">
        <v>96</v>
      </c>
      <c r="C21" s="3">
        <v>1000</v>
      </c>
      <c r="D21" s="4">
        <v>43087</v>
      </c>
      <c r="E21" s="4">
        <v>43140.625</v>
      </c>
      <c r="F21" s="4">
        <v>43141</v>
      </c>
      <c r="G21" s="4">
        <v>43087</v>
      </c>
      <c r="H21" s="3">
        <v>3649.9999999999995</v>
      </c>
      <c r="I21" s="3">
        <v>-1272284.92604</v>
      </c>
      <c r="J21" s="3" t="s">
        <v>9</v>
      </c>
      <c r="K21" s="5">
        <v>1</v>
      </c>
      <c r="L21" s="3" t="s">
        <v>89</v>
      </c>
      <c r="M21" s="8" t="s">
        <v>85</v>
      </c>
    </row>
    <row r="22" spans="2:13">
      <c r="B22" s="5" t="s">
        <v>97</v>
      </c>
      <c r="C22" s="3">
        <v>500</v>
      </c>
      <c r="D22" s="4">
        <v>43083</v>
      </c>
      <c r="E22" s="4">
        <v>43140.625</v>
      </c>
      <c r="F22" s="4">
        <v>43141</v>
      </c>
      <c r="G22" s="4">
        <v>43083</v>
      </c>
      <c r="H22" s="3">
        <v>3600</v>
      </c>
      <c r="I22" s="3">
        <v>-730000</v>
      </c>
      <c r="J22" s="3" t="s">
        <v>9</v>
      </c>
      <c r="K22" s="5">
        <v>1</v>
      </c>
      <c r="L22" s="3" t="s">
        <v>89</v>
      </c>
      <c r="M22" s="8" t="s">
        <v>85</v>
      </c>
    </row>
    <row r="23" spans="2:13">
      <c r="B23" s="5" t="s">
        <v>98</v>
      </c>
      <c r="C23" s="3">
        <v>300</v>
      </c>
      <c r="D23" s="4">
        <v>43073</v>
      </c>
      <c r="E23" s="4">
        <v>43084.625</v>
      </c>
      <c r="F23" s="4">
        <v>43084</v>
      </c>
      <c r="G23" s="4">
        <v>43073</v>
      </c>
      <c r="H23" s="3">
        <v>540.00000014400007</v>
      </c>
      <c r="I23" s="3">
        <v>-150000.00047999999</v>
      </c>
      <c r="J23" s="3" t="s">
        <v>59</v>
      </c>
      <c r="K23" s="8">
        <v>1</v>
      </c>
      <c r="L23" s="3" t="s">
        <v>100</v>
      </c>
      <c r="M23" s="8" t="s">
        <v>85</v>
      </c>
    </row>
    <row r="24" spans="2:13">
      <c r="B24" s="5" t="s">
        <v>99</v>
      </c>
      <c r="C24" s="3">
        <v>500</v>
      </c>
      <c r="D24" s="4">
        <v>43055</v>
      </c>
      <c r="E24" s="4">
        <v>43098.625</v>
      </c>
      <c r="F24" s="4">
        <v>43100</v>
      </c>
      <c r="G24" s="4">
        <v>43055</v>
      </c>
      <c r="H24" s="3">
        <v>3400.0000006259997</v>
      </c>
      <c r="I24" s="3">
        <v>-140000.00706999999</v>
      </c>
      <c r="J24" s="3" t="s">
        <v>9</v>
      </c>
      <c r="K24" s="8">
        <v>1</v>
      </c>
      <c r="L24" s="3" t="s">
        <v>86</v>
      </c>
      <c r="M24" s="8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2"/>
  <sheetViews>
    <sheetView workbookViewId="0">
      <selection activeCell="E22" sqref="E22"/>
    </sheetView>
  </sheetViews>
  <sheetFormatPr defaultRowHeight="12"/>
  <cols>
    <col min="1" max="1" width="9" style="8"/>
    <col min="2" max="2" width="9.5" style="8" customWidth="1"/>
    <col min="3" max="5" width="10.625" style="8" customWidth="1"/>
    <col min="6" max="7" width="9" style="8"/>
    <col min="8" max="8" width="14.125" style="8" customWidth="1"/>
    <col min="9" max="16384" width="9" style="8"/>
  </cols>
  <sheetData>
    <row r="5" spans="2:9">
      <c r="B5" s="19" t="s">
        <v>29</v>
      </c>
      <c r="C5" s="19"/>
      <c r="D5" s="19"/>
      <c r="E5" s="19"/>
      <c r="F5" s="19"/>
      <c r="G5" s="19"/>
      <c r="H5" s="19"/>
    </row>
    <row r="6" spans="2:9">
      <c r="B6" s="8" t="s">
        <v>27</v>
      </c>
      <c r="C6" s="8" t="s">
        <v>1</v>
      </c>
      <c r="D6" s="8" t="s">
        <v>51</v>
      </c>
      <c r="E6" s="8" t="s">
        <v>54</v>
      </c>
      <c r="F6" s="8" t="s">
        <v>101</v>
      </c>
      <c r="G6" s="8" t="s">
        <v>0</v>
      </c>
      <c r="H6" s="8" t="s">
        <v>26</v>
      </c>
      <c r="I6" s="8" t="s">
        <v>28</v>
      </c>
    </row>
    <row r="7" spans="2:9">
      <c r="B7" s="8" t="s">
        <v>53</v>
      </c>
      <c r="C7" s="8" t="s">
        <v>3</v>
      </c>
      <c r="D7" s="8" t="s">
        <v>52</v>
      </c>
      <c r="E7" s="8" t="str">
        <f>tbl_ticker[[#This Row],[ticker]]&amp;"."&amp;tbl_ticker[[#This Row],[exchange]]</f>
        <v>cu1805.shf</v>
      </c>
      <c r="F7" s="8">
        <v>10</v>
      </c>
      <c r="G7" s="8">
        <v>0.2</v>
      </c>
      <c r="H7" s="8">
        <v>0</v>
      </c>
      <c r="I7" s="12" t="e">
        <f>RTD("wdf.rtq",,tbl_ticker[[#This Row],[wind_ticker]],"LastPrice")</f>
        <v>#N/A</v>
      </c>
    </row>
    <row r="8" spans="2:9">
      <c r="B8" s="8" t="s">
        <v>45</v>
      </c>
      <c r="C8" s="8" t="s">
        <v>17</v>
      </c>
      <c r="D8" s="8" t="s">
        <v>52</v>
      </c>
      <c r="E8" s="8" t="str">
        <f>tbl_ticker[[#This Row],[ticker]]&amp;"."&amp;tbl_ticker[[#This Row],[exchange]]</f>
        <v>al1805.shf</v>
      </c>
      <c r="F8" s="8">
        <v>10</v>
      </c>
      <c r="G8" s="8">
        <v>0.2</v>
      </c>
      <c r="H8" s="8">
        <v>0</v>
      </c>
      <c r="I8" s="12" t="e">
        <f>RTD("wdf.rtq",,tbl_ticker[[#This Row],[wind_ticker]],"LastPrice")</f>
        <v>#N/A</v>
      </c>
    </row>
    <row r="9" spans="2:9">
      <c r="B9" s="8" t="s">
        <v>46</v>
      </c>
      <c r="C9" s="8" t="s">
        <v>4</v>
      </c>
      <c r="D9" s="8" t="s">
        <v>52</v>
      </c>
      <c r="E9" s="8" t="str">
        <f>tbl_ticker[[#This Row],[ticker]]&amp;"."&amp;tbl_ticker[[#This Row],[exchange]]</f>
        <v>ag1806.shf</v>
      </c>
      <c r="F9" s="8">
        <v>10</v>
      </c>
      <c r="G9" s="8">
        <v>0.2</v>
      </c>
      <c r="H9" s="8">
        <v>0</v>
      </c>
      <c r="I9" s="12" t="e">
        <f>RTD("wdf.rtq",,tbl_ticker[[#This Row],[wind_ticker]],"LastPrice")</f>
        <v>#N/A</v>
      </c>
    </row>
    <row r="10" spans="2:9">
      <c r="B10" s="8" t="s">
        <v>69</v>
      </c>
      <c r="C10" s="8" t="s">
        <v>67</v>
      </c>
      <c r="D10" s="8" t="s">
        <v>68</v>
      </c>
      <c r="E10" s="9" t="str">
        <f>tbl_ticker[[#This Row],[ticker]]&amp;"."&amp;tbl_ticker[[#This Row],[exchange]]</f>
        <v>l1805.dce</v>
      </c>
      <c r="F10" s="9">
        <v>5</v>
      </c>
      <c r="G10" s="8">
        <v>0.1</v>
      </c>
      <c r="H10" s="8">
        <v>0</v>
      </c>
      <c r="I10" s="12" t="e">
        <f>RTD("wdf.rtq",,tbl_ticker[[#This Row],[wind_ticker]],"LastPrice")</f>
        <v>#N/A</v>
      </c>
    </row>
    <row r="11" spans="2:9">
      <c r="B11" s="8" t="s">
        <v>90</v>
      </c>
      <c r="C11" s="8" t="s">
        <v>88</v>
      </c>
      <c r="D11" s="8" t="s">
        <v>52</v>
      </c>
      <c r="E11" s="9" t="str">
        <f>tbl_ticker[[#This Row],[ticker]]&amp;"."&amp;tbl_ticker[[#This Row],[exchange]]</f>
        <v>rb1810.shf</v>
      </c>
      <c r="F11" s="9">
        <v>10</v>
      </c>
      <c r="G11" s="8">
        <v>0.18</v>
      </c>
      <c r="H11" s="8">
        <v>0</v>
      </c>
      <c r="I11" s="12" t="e">
        <f>RTD("wdf.rtq",,tbl_ticker[[#This Row],[wind_ticker]],"LastPrice")</f>
        <v>#N/A</v>
      </c>
    </row>
    <row r="12" spans="2:9">
      <c r="B12" s="8" t="s">
        <v>132</v>
      </c>
      <c r="E12" s="9" t="str">
        <f>tbl_ticker[[#This Row],[ticker]]&amp;"."&amp;tbl_ticker[[#This Row],[exchange]]</f>
        <v>I1805.</v>
      </c>
      <c r="I12" s="12" t="e">
        <f>RTD("wdf.rtq",,tbl_ticker[[#This Row],[wind_ticker]],"LastPrice")</f>
        <v>#N/A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H11"/>
  <sheetViews>
    <sheetView workbookViewId="0">
      <selection activeCell="E19" sqref="E19"/>
    </sheetView>
  </sheetViews>
  <sheetFormatPr defaultRowHeight="12"/>
  <cols>
    <col min="1" max="1" width="3.375" style="8" customWidth="1"/>
    <col min="2" max="2" width="10.625" style="8" customWidth="1"/>
    <col min="3" max="4" width="9" style="8" customWidth="1"/>
    <col min="5" max="16384" width="9" style="8"/>
  </cols>
  <sheetData>
    <row r="5" spans="2:8">
      <c r="B5" s="19" t="s">
        <v>18</v>
      </c>
      <c r="C5" s="19"/>
      <c r="D5" s="19"/>
      <c r="E5" s="19"/>
      <c r="F5" s="19"/>
    </row>
    <row r="6" spans="2:8">
      <c r="B6" s="8" t="s">
        <v>15</v>
      </c>
      <c r="C6" s="8" t="s">
        <v>25</v>
      </c>
      <c r="D6" s="8" t="s">
        <v>24</v>
      </c>
      <c r="E6" s="8" t="s">
        <v>3</v>
      </c>
      <c r="F6" s="8" t="s">
        <v>4</v>
      </c>
      <c r="G6" s="8" t="s">
        <v>67</v>
      </c>
      <c r="H6" s="8" t="s">
        <v>88</v>
      </c>
    </row>
    <row r="7" spans="2:8">
      <c r="B7" s="8" t="s">
        <v>20</v>
      </c>
      <c r="C7" s="8">
        <v>0</v>
      </c>
      <c r="D7" s="8">
        <v>0.2</v>
      </c>
      <c r="E7" s="8">
        <v>0</v>
      </c>
      <c r="F7" s="8">
        <v>0</v>
      </c>
      <c r="G7" s="8">
        <v>0</v>
      </c>
    </row>
    <row r="8" spans="2:8">
      <c r="B8" s="8" t="s">
        <v>22</v>
      </c>
      <c r="C8" s="8">
        <v>0</v>
      </c>
      <c r="D8" s="8">
        <v>0.2</v>
      </c>
      <c r="E8" s="8">
        <v>0</v>
      </c>
      <c r="F8" s="8">
        <v>0</v>
      </c>
      <c r="G8" s="8">
        <v>0</v>
      </c>
    </row>
    <row r="9" spans="2:8">
      <c r="B9" s="5" t="s">
        <v>23</v>
      </c>
      <c r="C9" s="8">
        <v>0</v>
      </c>
      <c r="D9" s="8">
        <v>0.2</v>
      </c>
      <c r="E9" s="8">
        <v>0</v>
      </c>
      <c r="F9" s="8">
        <v>0</v>
      </c>
      <c r="G9" s="8">
        <v>0</v>
      </c>
    </row>
    <row r="10" spans="2:8">
      <c r="B10" s="8" t="s">
        <v>65</v>
      </c>
      <c r="C10" s="8">
        <v>0</v>
      </c>
      <c r="D10" s="8">
        <v>0.2</v>
      </c>
      <c r="E10" s="8">
        <v>0</v>
      </c>
      <c r="F10" s="8">
        <v>0</v>
      </c>
      <c r="G10" s="8">
        <v>0</v>
      </c>
    </row>
    <row r="11" spans="2:8">
      <c r="B11" s="8" t="s">
        <v>85</v>
      </c>
      <c r="C11" s="8">
        <v>0</v>
      </c>
      <c r="D11" s="8">
        <v>0.1</v>
      </c>
      <c r="E11" s="8">
        <v>0</v>
      </c>
      <c r="F11" s="8">
        <v>0</v>
      </c>
      <c r="G11" s="8">
        <v>0</v>
      </c>
      <c r="H11" s="8">
        <v>8.3000000000000004E-2</v>
      </c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C15" sqref="C15"/>
    </sheetView>
  </sheetViews>
  <sheetFormatPr defaultRowHeight="13.5"/>
  <cols>
    <col min="2" max="2" width="11.75" customWidth="1"/>
    <col min="3" max="3" width="21.75" customWidth="1"/>
    <col min="4" max="4" width="20.5" customWidth="1"/>
    <col min="5" max="5" width="14.875" customWidth="1"/>
  </cols>
  <sheetData>
    <row r="6" spans="2:5">
      <c r="B6" t="s">
        <v>30</v>
      </c>
      <c r="C6" t="s">
        <v>48</v>
      </c>
      <c r="D6" t="s">
        <v>47</v>
      </c>
      <c r="E6" t="s">
        <v>135</v>
      </c>
    </row>
    <row r="7" spans="2:5">
      <c r="B7" t="s">
        <v>50</v>
      </c>
      <c r="C7" t="s">
        <v>31</v>
      </c>
      <c r="D7" t="s">
        <v>0</v>
      </c>
      <c r="E7" t="s">
        <v>0</v>
      </c>
    </row>
    <row r="8" spans="2:5">
      <c r="B8" t="s">
        <v>33</v>
      </c>
      <c r="C8" t="s">
        <v>102</v>
      </c>
      <c r="D8" t="s">
        <v>0</v>
      </c>
      <c r="E8" t="s">
        <v>0</v>
      </c>
    </row>
    <row r="9" spans="2:5">
      <c r="B9" t="s">
        <v>34</v>
      </c>
      <c r="C9" t="s">
        <v>112</v>
      </c>
      <c r="D9" t="s">
        <v>0</v>
      </c>
      <c r="E9" t="s">
        <v>0</v>
      </c>
    </row>
    <row r="10" spans="2:5">
      <c r="B10" t="s">
        <v>35</v>
      </c>
      <c r="C10" t="s">
        <v>103</v>
      </c>
      <c r="D10" t="s">
        <v>0</v>
      </c>
      <c r="E10" t="s">
        <v>0</v>
      </c>
    </row>
    <row r="11" spans="2:5">
      <c r="B11" t="s">
        <v>36</v>
      </c>
      <c r="C11" t="s">
        <v>113</v>
      </c>
      <c r="D11" t="s">
        <v>0</v>
      </c>
      <c r="E11" t="s">
        <v>0</v>
      </c>
    </row>
    <row r="12" spans="2:5">
      <c r="B12" t="s">
        <v>37</v>
      </c>
      <c r="C12" t="s">
        <v>114</v>
      </c>
      <c r="D12" t="s">
        <v>0</v>
      </c>
      <c r="E12" t="s">
        <v>0</v>
      </c>
    </row>
    <row r="13" spans="2:5">
      <c r="B13" t="s">
        <v>38</v>
      </c>
      <c r="C13" t="s">
        <v>103</v>
      </c>
      <c r="D13" t="s">
        <v>0</v>
      </c>
      <c r="E13" t="s">
        <v>0</v>
      </c>
    </row>
    <row r="14" spans="2:5">
      <c r="B14" t="s">
        <v>39</v>
      </c>
      <c r="C14" t="s">
        <v>103</v>
      </c>
      <c r="D14" s="18" t="s">
        <v>105</v>
      </c>
      <c r="E14" s="18" t="s">
        <v>105</v>
      </c>
    </row>
    <row r="15" spans="2:5">
      <c r="B15" t="s">
        <v>40</v>
      </c>
      <c r="C15" t="s">
        <v>103</v>
      </c>
      <c r="D15" t="s">
        <v>104</v>
      </c>
      <c r="E15" t="s">
        <v>104</v>
      </c>
    </row>
    <row r="16" spans="2:5">
      <c r="B16" t="s">
        <v>41</v>
      </c>
      <c r="C16" t="s">
        <v>106</v>
      </c>
      <c r="D16" s="18" t="s">
        <v>105</v>
      </c>
      <c r="E16" s="18" t="s">
        <v>105</v>
      </c>
    </row>
    <row r="17" spans="2:5">
      <c r="B17" t="s">
        <v>42</v>
      </c>
      <c r="C17" t="s">
        <v>106</v>
      </c>
      <c r="D17" t="s">
        <v>104</v>
      </c>
      <c r="E17" t="s">
        <v>104</v>
      </c>
    </row>
    <row r="18" spans="2:5">
      <c r="B18" t="s">
        <v>43</v>
      </c>
      <c r="C18" t="s">
        <v>107</v>
      </c>
      <c r="D18" t="s">
        <v>0</v>
      </c>
      <c r="E18" t="s">
        <v>0</v>
      </c>
    </row>
    <row r="19" spans="2:5">
      <c r="B19" t="s">
        <v>44</v>
      </c>
      <c r="C19" t="s">
        <v>108</v>
      </c>
      <c r="D19" t="s">
        <v>0</v>
      </c>
      <c r="E19" t="s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2018-02-13T10:50:29Z</dcterms:modified>
</cp:coreProperties>
</file>