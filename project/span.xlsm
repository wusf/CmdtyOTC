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E15" i="5" l="1"/>
  <c r="AE16" i="5"/>
  <c r="AE17" i="5"/>
  <c r="AE18" i="5"/>
  <c r="AE21" i="5"/>
  <c r="AE22" i="5"/>
  <c r="E12" i="6"/>
  <c r="I12" i="6"/>
  <c r="B4" i="5" l="1"/>
  <c r="AE11" i="5" l="1"/>
  <c r="AE19" i="5"/>
  <c r="AE27" i="5"/>
  <c r="AE12" i="5"/>
  <c r="AE20" i="5"/>
  <c r="AE28" i="5"/>
  <c r="AE13" i="5"/>
  <c r="AE14" i="5"/>
  <c r="AE7" i="5"/>
  <c r="AE23" i="5"/>
  <c r="AE8" i="5"/>
  <c r="AE24" i="5"/>
  <c r="AE9" i="5"/>
  <c r="AE25" i="5"/>
  <c r="AE10" i="5"/>
  <c r="AE26" i="5"/>
  <c r="E15" i="6"/>
  <c r="E14" i="6"/>
  <c r="I15" i="6"/>
  <c r="I14" i="6"/>
  <c r="E13" i="6" l="1"/>
  <c r="I13" i="6"/>
  <c r="E11" i="6" l="1"/>
  <c r="I11" i="6"/>
  <c r="E10" i="6" l="1"/>
  <c r="I10" i="6"/>
  <c r="E7" i="6" l="1"/>
  <c r="E8" i="6"/>
  <c r="E9" i="6"/>
  <c r="I7" i="6"/>
  <c r="I8" i="6"/>
  <c r="I9" i="6"/>
</calcChain>
</file>

<file path=xl/sharedStrings.xml><?xml version="1.0" encoding="utf-8"?>
<sst xmlns="http://schemas.openxmlformats.org/spreadsheetml/2006/main" count="696" uniqueCount="257">
  <si>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</si>
  <si>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</si>
  <si>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</si>
  <si>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</si>
  <si>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</si>
  <si>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</si>
  <si>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</si>
  <si>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</si>
  <si>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</si>
  <si>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</si>
  <si>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</si>
  <si>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</si>
  <si>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</si>
  <si>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</si>
  <si>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</si>
  <si>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</si>
  <si>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</si>
  <si>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</si>
  <si>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</si>
  <si>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</si>
  <si>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</si>
  <si>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</si>
  <si>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</si>
  <si>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</si>
  <si>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</si>
  <si>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</si>
  <si>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</si>
  <si>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</si>
  <si>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</si>
  <si>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</si>
  <si>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</si>
  <si>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</si>
  <si>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</si>
  <si>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</si>
  <si>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</si>
  <si>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</si>
  <si>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</si>
  <si>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</si>
  <si>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</si>
  <si>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</si>
  <si>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</si>
  <si>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</si>
  <si>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</si>
  <si>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</si>
  <si>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</si>
  <si>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</si>
  <si>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</si>
  <si>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</si>
  <si>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</si>
  <si>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</si>
  <si>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</si>
  <si>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</si>
  <si>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</si>
  <si>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</si>
  <si>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</si>
  <si>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</si>
  <si>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</si>
  <si>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</si>
  <si>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</si>
  <si>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</si>
  <si>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</si>
  <si>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</si>
  <si>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</si>
  <si>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</si>
  <si>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</si>
  <si>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</si>
  <si>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</si>
  <si>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</si>
  <si>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</si>
  <si>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</si>
  <si>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</si>
  <si>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</si>
  <si>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</si>
  <si>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</si>
  <si>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</si>
  <si>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</si>
  <si>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</si>
  <si>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</si>
  <si>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</si>
  <si>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</si>
  <si>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</si>
  <si>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</si>
  <si>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</si>
  <si>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</si>
  <si>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</si>
  <si>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</si>
  <si>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</si>
  <si>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</si>
  <si>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</si>
  <si>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</si>
  <si>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</si>
  <si>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</si>
  <si>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</si>
  <si>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</si>
  <si>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</si>
  <si>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</si>
  <si>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</si>
  <si>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</si>
  <si>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</si>
  <si>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</si>
  <si>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</si>
  <si>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</si>
  <si>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</si>
  <si>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</si>
  <si>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</si>
  <si>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</si>
  <si>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</si>
  <si>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</si>
  <si>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</si>
  <si>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</si>
  <si>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</si>
  <si>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</si>
  <si>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</si>
  <si>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</si>
  <si>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</si>
  <si>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</si>
  <si>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</si>
  <si>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</si>
  <si>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</si>
  <si>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</si>
  <si>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</si>
  <si>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</si>
  <si>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</si>
  <si>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</si>
  <si>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</si>
  <si>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</si>
  <si>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</si>
  <si>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</si>
  <si>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</si>
  <si>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</si>
  <si>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</si>
  <si>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</si>
  <si>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</si>
  <si>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</si>
  <si>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</si>
  <si>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</si>
  <si>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</si>
  <si>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</si>
  <si>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</si>
  <si>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</si>
  <si>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</si>
  <si>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</si>
  <si>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</si>
  <si>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</si>
  <si>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</si>
  <si>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</si>
  <si>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</si>
  <si>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</si>
  <si>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</si>
  <si>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</si>
  <si>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</si>
  <si>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</si>
  <si>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</si>
  <si>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</si>
  <si>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</si>
  <si>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</si>
  <si>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</si>
  <si>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</si>
  <si>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</si>
  <si>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</si>
  <si>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</si>
  <si>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</si>
  <si>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</si>
  <si>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</si>
  <si>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</si>
  <si>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</si>
  <si>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</si>
  <si>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</si>
  <si>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</si>
  <si>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1.033|1|1</t>
  </si>
  <si>
    <t>1.067|1|1</t>
  </si>
  <si>
    <t>1.1|1|1</t>
  </si>
  <si>
    <t>.967|1|1</t>
  </si>
  <si>
    <t>.933|1|1</t>
  </si>
  <si>
    <t>.9|1|1</t>
  </si>
  <si>
    <t>1.1|1.1|1</t>
  </si>
  <si>
    <t>1.1|.9|1</t>
  </si>
  <si>
    <t>.9|1.1|1</t>
  </si>
  <si>
    <t>.9|.9|1</t>
  </si>
  <si>
    <t>1.3|1|.3</t>
  </si>
  <si>
    <t>.7|1|.3</t>
  </si>
  <si>
    <t>1.038|1|1</t>
  </si>
  <si>
    <t>1.077|1|1</t>
  </si>
  <si>
    <t>1.115|1|1</t>
  </si>
  <si>
    <t>.962|1|1</t>
  </si>
  <si>
    <t>.923|1|1</t>
  </si>
  <si>
    <t>.885|1|1</t>
  </si>
  <si>
    <t>1.115|1.1|1</t>
  </si>
  <si>
    <t>1.115|.9|1</t>
  </si>
  <si>
    <t>.885|1.1|1</t>
  </si>
  <si>
    <t>.885|.9|1</t>
  </si>
  <si>
    <t>1.345|1|.3</t>
  </si>
  <si>
    <t>.655|1|.3</t>
  </si>
  <si>
    <t>1.018|1|1</t>
  </si>
  <si>
    <t>1.037|1|1</t>
  </si>
  <si>
    <t>1.055|1|1</t>
  </si>
  <si>
    <t>.982|1|1</t>
  </si>
  <si>
    <t>.963|1|1</t>
  </si>
  <si>
    <t>.945|1|1</t>
  </si>
  <si>
    <t>1.055|1.1|1</t>
  </si>
  <si>
    <t>1.055|.9|1</t>
  </si>
  <si>
    <t>.945|1.1|1</t>
  </si>
  <si>
    <t>.945|.9|1</t>
  </si>
  <si>
    <t>1.165|1|.3</t>
  </si>
  <si>
    <t>.835|1|.3</t>
  </si>
  <si>
    <t>1.021|1|1</t>
  </si>
  <si>
    <t>1.043|1|1</t>
  </si>
  <si>
    <t>1.064|1|1</t>
  </si>
  <si>
    <t>.979|1|1</t>
  </si>
  <si>
    <t>.957|1|1</t>
  </si>
  <si>
    <t>.936|1|1</t>
  </si>
  <si>
    <t>1.064|1.1|1</t>
  </si>
  <si>
    <t>1.064|.9|1</t>
  </si>
  <si>
    <t>.936|1.1|1</t>
  </si>
  <si>
    <t>.936|.9|1</t>
  </si>
  <si>
    <t>1.192|1|.3</t>
  </si>
  <si>
    <t>.808|1|.3</t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</si>
  <si>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</si>
  <si>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</si>
  <si>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</si>
  <si>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</si>
  <si>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</si>
  <si>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</si>
  <si>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</si>
  <si>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</si>
  <si>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</si>
  <si>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</si>
  <si>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1.321|1|.3</t>
  </si>
  <si>
    <t>.679|1|.3</t>
  </si>
  <si>
    <t>1.029|1|1</t>
  </si>
  <si>
    <t>1.059|1|1</t>
  </si>
  <si>
    <t>1.088|1|1</t>
  </si>
  <si>
    <t>.971|1|1</t>
  </si>
  <si>
    <t>.941|1|1</t>
  </si>
  <si>
    <t>.912|1|1</t>
  </si>
  <si>
    <t>1.088|1.1|1</t>
  </si>
  <si>
    <t>1.088|.9|1</t>
  </si>
  <si>
    <t>.912|1.1|1</t>
  </si>
  <si>
    <t>.912|.9|1</t>
  </si>
  <si>
    <t>1.264|1|.3</t>
  </si>
  <si>
    <t>.736|1|.3</t>
  </si>
  <si>
    <t>1.02|1|1</t>
  </si>
  <si>
    <t>1.041|1|1</t>
  </si>
  <si>
    <t>1.061|1|1</t>
  </si>
  <si>
    <t>.98|1|1</t>
  </si>
  <si>
    <t>.959|1|1</t>
  </si>
  <si>
    <t>.939|1|1</t>
  </si>
  <si>
    <t>1.061|1.1|1</t>
  </si>
  <si>
    <t>1.061|.9|1</t>
  </si>
  <si>
    <t>.939|1.1|1</t>
  </si>
  <si>
    <t>.939|.9|1</t>
  </si>
  <si>
    <t>1.183|1|.3</t>
  </si>
  <si>
    <t>.817|1|.3</t>
  </si>
  <si>
    <t>van</t>
    <phoneticPr fontId="1" type="noConversion"/>
  </si>
  <si>
    <t>opt_type</t>
    <phoneticPr fontId="1" type="noConversion"/>
  </si>
  <si>
    <t>opt_type</t>
    <phoneticPr fontId="1" type="noConversion"/>
  </si>
  <si>
    <t>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</si>
</sst>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[$-409]d\-mmm\-yy;@"/>
    <numFmt numFmtId="177" formatCode="###,###,##0"/>
    <numFmt numFmtId="178" formatCode="0.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3" fontId="9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8" fontId="8" fillId="0" borderId="0" xfId="0" applyNumberFormat="1" applyFont="1"/>
    <xf numFmtId="43" fontId="7" fillId="0" borderId="0" xfId="2" applyFont="1" applyAlignment="1"/>
    <xf numFmtId="9" fontId="3" fillId="0" borderId="0" xfId="0" applyNumberFormat="1" applyFont="1"/>
    <xf numFmtId="178" fontId="3" fillId="0" borderId="0" xfId="0" applyNumberFormat="1" applyFont="1"/>
    <xf numFmtId="10" fontId="3" fillId="0" borderId="0" xfId="0" applyNumberFormat="1" applyFont="1"/>
    <xf numFmtId="0" fontId="6" fillId="0" borderId="0" xfId="0" applyFont="1"/>
    <xf numFmtId="1" fontId="3" fillId="3" borderId="0" xfId="0" applyNumberFormat="1" applyFont="1" applyFill="1"/>
    <xf numFmtId="0" fontId="4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12885</v>
        <stp/>
        <stp>ru1805.shf</stp>
        <stp>LastPrice</stp>
        <tr r="I14" s="6"/>
      </tp>
      <tp>
        <v>53560</v>
        <stp/>
        <stp>cu1805.shf</stp>
        <stp>LastPrice</stp>
        <tr r="I7" s="6"/>
      </tp>
      <tp>
        <v>1428.5</v>
        <stp/>
        <stp>jm1805.dce</stp>
        <stp>LastPrice</stp>
        <tr r="I15" s="6"/>
      </tp>
      <tp>
        <v>14370</v>
        <stp/>
        <stp>al1805.shf</stp>
        <stp>LastPrice</stp>
        <tr r="I8" s="6"/>
      </tp>
      <tp>
        <v>546.5</v>
        <stp/>
        <stp>i1805.dce</stp>
        <stp>LastPrice</stp>
        <tr r="I13" s="6"/>
      </tp>
      <tp>
        <v>9485</v>
        <stp/>
        <stp>l1805.dce</stp>
        <stp>LastPrice</stp>
        <tr r="I10" s="6"/>
      </tp>
      <tp>
        <v>3883</v>
        <stp/>
        <stp>rb1810.shf</stp>
        <stp>LastPrice</stp>
        <tr r="I11" s="6"/>
      </tp>
      <tp>
        <v>3719</v>
        <stp/>
        <stp>ag1806.shf</stp>
        <stp>LastPrice</stp>
        <tr r="I9" s="6"/>
      </tp>
      <tp>
        <v>4035</v>
        <stp/>
        <stp>rb1805.shf</stp>
        <stp>LastPrice</stp>
        <tr r="I12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R28" totalsRowShown="0" headerRowDxfId="116" dataDxfId="115">
  <tableColumns count="43">
    <tableColumn id="1" name="ID" dataDxfId="114"/>
    <tableColumn id="2" name="cpty" dataDxfId="113"/>
    <tableColumn id="43" name="opt_type" dataDxfId="0"/>
    <tableColumn id="3" name="volume" dataDxfId="112"/>
    <tableColumn id="4" name="k" dataDxfId="111"/>
    <tableColumn id="41" name="trade_date" dataDxfId="110"/>
    <tableColumn id="5" name="exp_date" dataDxfId="109"/>
    <tableColumn id="42" name="prem_date" dataDxfId="108"/>
    <tableColumn id="6" name="prem" dataDxfId="107"/>
    <tableColumn id="7" name="type" dataDxfId="106"/>
    <tableColumn id="8" name="underlying" dataDxfId="105"/>
    <tableColumn id="9" name="prod" dataDxfId="104"/>
    <tableColumn id="38" name="qty" dataDxfId="103"/>
    <tableColumn id="10" name="price_st" dataDxfId="102"/>
    <tableColumn id="11" name="vol" dataDxfId="101"/>
    <tableColumn id="12" name="param_senario1" dataDxfId="100"/>
    <tableColumn id="13" name="param_senario2" dataDxfId="99"/>
    <tableColumn id="14" name="param_senario3" dataDxfId="98"/>
    <tableColumn id="15" name="param_senario4" dataDxfId="97"/>
    <tableColumn id="16" name="param_senario5" dataDxfId="96"/>
    <tableColumn id="17" name="param_senario6" dataDxfId="95"/>
    <tableColumn id="18" name="param_senario7" dataDxfId="94"/>
    <tableColumn id="19" name="param_senario8" dataDxfId="93"/>
    <tableColumn id="20" name="param_senario9" dataDxfId="92"/>
    <tableColumn id="21" name="param_senario10" dataDxfId="91"/>
    <tableColumn id="22" name="param_senario11" dataDxfId="90"/>
    <tableColumn id="23" name="param_senario12" dataDxfId="89"/>
    <tableColumn id="24" name="param_senario13" dataDxfId="88"/>
    <tableColumn id="39" name="vol_ref" dataDxfId="87"/>
    <tableColumn id="40" name="vol_adj" dataDxfId="86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85" totalsRowDxfId="84"/>
    <tableColumn id="26" name="senario2" dataDxfId="83" totalsRowDxfId="82"/>
    <tableColumn id="27" name="senario3" dataDxfId="81" totalsRowDxfId="80"/>
    <tableColumn id="28" name="senario4" dataDxfId="79" totalsRowDxfId="78"/>
    <tableColumn id="29" name="senario5" dataDxfId="77" totalsRowDxfId="76"/>
    <tableColumn id="30" name="senario6" dataDxfId="75" totalsRowDxfId="74"/>
    <tableColumn id="31" name="senario7" dataDxfId="73" totalsRowDxfId="72"/>
    <tableColumn id="32" name="senario8" dataDxfId="71" totalsRowDxfId="70"/>
    <tableColumn id="33" name="senario9" dataDxfId="69" totalsRowDxfId="68"/>
    <tableColumn id="34" name="senario10" dataDxfId="67" totalsRowDxfId="66"/>
    <tableColumn id="35" name="senario11" dataDxfId="65" totalsRowDxfId="64"/>
    <tableColumn id="36" name="senario12" dataDxfId="63" totalsRowDxfId="62"/>
    <tableColumn id="37" name="senario13" dataDxfId="61" totalsRow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0" totalsRowShown="0">
  <autoFilter ref="B8:N30"/>
  <tableColumns count="13">
    <tableColumn id="1" name="ID" dataDxfId="59"/>
    <tableColumn id="2" name="volume" dataDxfId="58"/>
    <tableColumn id="3" name="trade_date" dataDxfId="57"/>
    <tableColumn id="4" name="exp_date" dataDxfId="56"/>
    <tableColumn id="5" name="settle_date" dataDxfId="55"/>
    <tableColumn id="6" name="prem_date" dataDxfId="54"/>
    <tableColumn id="7" name="k" dataDxfId="53"/>
    <tableColumn id="10" name="prem" dataDxfId="52"/>
    <tableColumn id="11" name="type" dataDxfId="51"/>
    <tableColumn id="12" name="opt_type" dataDxfId="50"/>
    <tableColumn id="13" name="underlying" dataDxfId="49"/>
    <tableColumn id="14" name="cpty" dataDxfId="48"/>
    <tableColumn id="8" name="vol_ref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I15" totalsRowShown="0" headerRowDxfId="46" dataDxfId="45">
  <autoFilter ref="B6:I15"/>
  <tableColumns count="8">
    <tableColumn id="1" name="ticker" dataDxfId="44"/>
    <tableColumn id="2" name="prod" dataDxfId="43"/>
    <tableColumn id="6" name="exchange" dataDxfId="42"/>
    <tableColumn id="7" name="w_ticker" dataDxfId="41">
      <calculatedColumnFormula>tbl_ticker[[#This Row],[ticker]]&amp;"."&amp;tbl_ticker[[#This Row],[exchange]]</calculatedColumnFormula>
    </tableColumn>
    <tableColumn id="9" name="multiplier" dataDxfId="40"/>
    <tableColumn id="3" name="vol" dataDxfId="39"/>
    <tableColumn id="4" name="carry" dataDxfId="38"/>
    <tableColumn id="5" name="price_st" dataDxfId="37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I13" totalsRowShown="0" headerRowDxfId="36" dataDxfId="35">
  <autoFilter ref="B6:AI13"/>
  <tableColumns count="34">
    <tableColumn id="1" name="client" dataDxfId="34"/>
    <tableColumn id="7" name="x" dataDxfId="33"/>
    <tableColumn id="6" name="k" dataDxfId="32"/>
    <tableColumn id="2" name="zn" dataDxfId="31"/>
    <tableColumn id="3" name="al" dataDxfId="30"/>
    <tableColumn id="4" name="sn" dataDxfId="29"/>
    <tableColumn id="8" name="ni" dataDxfId="28"/>
    <tableColumn id="5" name="cu" dataDxfId="27"/>
    <tableColumn id="9" name="jm" dataDxfId="26"/>
    <tableColumn id="10" name="j" dataDxfId="25"/>
    <tableColumn id="11" name="hc" dataDxfId="24"/>
    <tableColumn id="12" name="i" dataDxfId="23"/>
    <tableColumn id="13" name="rb" dataDxfId="22"/>
    <tableColumn id="14" name="au" dataDxfId="21"/>
    <tableColumn id="15" name="ag" dataDxfId="20"/>
    <tableColumn id="16" name="cs" dataDxfId="19"/>
    <tableColumn id="17" name="jd" dataDxfId="18"/>
    <tableColumn id="18" name="p" dataDxfId="17"/>
    <tableColumn id="19" name="oi" dataDxfId="16"/>
    <tableColumn id="20" name="rm" dataDxfId="15"/>
    <tableColumn id="21" name="cf" dataDxfId="14"/>
    <tableColumn id="22" name="a" dataDxfId="13"/>
    <tableColumn id="23" name="y" dataDxfId="12"/>
    <tableColumn id="24" name="m" dataDxfId="11"/>
    <tableColumn id="25" name="c" dataDxfId="10"/>
    <tableColumn id="26" name="sr" dataDxfId="9"/>
    <tableColumn id="27" name="zc" dataDxfId="8"/>
    <tableColumn id="28" name="bu" dataDxfId="7"/>
    <tableColumn id="29" name="ma" dataDxfId="6"/>
    <tableColumn id="30" name="pp" dataDxfId="5"/>
    <tableColumn id="31" name="l" dataDxfId="4"/>
    <tableColumn id="32" name="fg" dataDxfId="3"/>
    <tableColumn id="33" name="ru" dataDxfId="2"/>
    <tableColumn id="34" name="ta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H5" sqref="H5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28"/>
  <sheetViews>
    <sheetView tabSelected="1" zoomScaleNormal="100" workbookViewId="0">
      <selection activeCell="M7" sqref="L6:M7"/>
    </sheetView>
  </sheetViews>
  <sheetFormatPr defaultRowHeight="11.25"/>
  <cols>
    <col min="1" max="1" width="9" style="14"/>
    <col min="2" max="2" width="14.25" style="14" customWidth="1"/>
    <col min="3" max="3" width="7" style="14" customWidth="1"/>
    <col min="4" max="4" width="8.75" style="14" customWidth="1"/>
    <col min="5" max="5" width="4.375" style="14" customWidth="1"/>
    <col min="6" max="6" width="12.25" style="14" customWidth="1"/>
    <col min="7" max="7" width="10.5" style="14" customWidth="1"/>
    <col min="8" max="8" width="11.375" style="14" bestFit="1" customWidth="1"/>
    <col min="9" max="9" width="9.25" style="14" customWidth="1"/>
    <col min="10" max="10" width="7" style="14" customWidth="1"/>
    <col min="11" max="11" width="12.25" style="14" customWidth="1"/>
    <col min="12" max="12" width="7" style="14" customWidth="1"/>
    <col min="13" max="13" width="6.125" style="14" customWidth="1"/>
    <col min="14" max="14" width="10.5" style="14" bestFit="1" customWidth="1"/>
    <col min="15" max="15" width="6.125" style="14" customWidth="1"/>
    <col min="16" max="24" width="16.125" style="14" hidden="1" customWidth="1"/>
    <col min="25" max="28" width="17.125" style="14" hidden="1" customWidth="1"/>
    <col min="29" max="30" width="9.625" style="14" customWidth="1"/>
    <col min="31" max="39" width="10.5" style="14" customWidth="1"/>
    <col min="40" max="43" width="11.375" style="14" customWidth="1"/>
    <col min="44" max="44" width="13" style="14" bestFit="1" customWidth="1"/>
    <col min="45" max="16384" width="9" style="14"/>
  </cols>
  <sheetData>
    <row r="3" spans="2:44">
      <c r="B3" s="14" t="s">
        <v>38</v>
      </c>
    </row>
    <row r="4" spans="2:44">
      <c r="B4" s="15">
        <f ca="1">TODAY()</f>
        <v>43158</v>
      </c>
      <c r="AD4" s="16"/>
    </row>
    <row r="5" spans="2:44">
      <c r="AR5" s="19"/>
    </row>
    <row r="6" spans="2:44">
      <c r="B6" s="14" t="s">
        <v>4</v>
      </c>
      <c r="C6" s="14" t="s">
        <v>83</v>
      </c>
      <c r="D6" s="14" t="s">
        <v>254</v>
      </c>
      <c r="E6" s="14" t="s">
        <v>75</v>
      </c>
      <c r="F6" s="14" t="s">
        <v>15</v>
      </c>
      <c r="G6" s="14" t="s">
        <v>95</v>
      </c>
      <c r="H6" s="14" t="s">
        <v>77</v>
      </c>
      <c r="I6" s="14" t="s">
        <v>91</v>
      </c>
      <c r="J6" s="14" t="s">
        <v>81</v>
      </c>
      <c r="K6" s="14" t="s">
        <v>82</v>
      </c>
      <c r="L6" s="14" t="s">
        <v>5</v>
      </c>
      <c r="M6" s="14" t="s">
        <v>84</v>
      </c>
      <c r="N6" s="14" t="s">
        <v>74</v>
      </c>
      <c r="O6" s="14" t="s">
        <v>85</v>
      </c>
      <c r="P6" s="14" t="s">
        <v>0</v>
      </c>
      <c r="Q6" s="14" t="s">
        <v>51</v>
      </c>
      <c r="R6" s="14" t="s">
        <v>52</v>
      </c>
      <c r="S6" s="14" t="s">
        <v>53</v>
      </c>
      <c r="T6" s="14" t="s">
        <v>54</v>
      </c>
      <c r="U6" s="14" t="s">
        <v>55</v>
      </c>
      <c r="V6" s="14" t="s">
        <v>56</v>
      </c>
      <c r="W6" s="14" t="s">
        <v>57</v>
      </c>
      <c r="X6" s="14" t="s">
        <v>58</v>
      </c>
      <c r="Y6" s="14" t="s">
        <v>59</v>
      </c>
      <c r="Z6" s="14" t="s">
        <v>60</v>
      </c>
      <c r="AA6" s="14" t="s">
        <v>61</v>
      </c>
      <c r="AB6" s="14" t="s">
        <v>62</v>
      </c>
      <c r="AC6" s="14" t="s">
        <v>63</v>
      </c>
      <c r="AD6" s="14" t="s">
        <v>93</v>
      </c>
      <c r="AE6" s="14" t="s">
        <v>94</v>
      </c>
      <c r="AF6" s="14" t="s">
        <v>39</v>
      </c>
      <c r="AG6" s="14" t="s">
        <v>21</v>
      </c>
      <c r="AH6" s="14" t="s">
        <v>23</v>
      </c>
      <c r="AI6" s="14" t="s">
        <v>24</v>
      </c>
      <c r="AJ6" s="14" t="s">
        <v>25</v>
      </c>
      <c r="AK6" s="14" t="s">
        <v>26</v>
      </c>
      <c r="AL6" s="14" t="s">
        <v>27</v>
      </c>
      <c r="AM6" s="14" t="s">
        <v>28</v>
      </c>
      <c r="AN6" s="14" t="s">
        <v>29</v>
      </c>
      <c r="AO6" s="14" t="s">
        <v>30</v>
      </c>
      <c r="AP6" s="14" t="s">
        <v>31</v>
      </c>
      <c r="AQ6" s="14" t="s">
        <v>32</v>
      </c>
      <c r="AR6" s="14" t="s">
        <v>33</v>
      </c>
    </row>
    <row r="7" spans="2:44" ht="15" customHeight="1">
      <c r="B7" s="17" t="s">
        <v>68</v>
      </c>
      <c r="C7" s="17" t="s">
        <v>113</v>
      </c>
      <c r="D7" s="17" t="s">
        <v>256</v>
      </c>
      <c r="E7" s="17">
        <v>500</v>
      </c>
      <c r="F7" s="17">
        <v>3699.9999992799999</v>
      </c>
      <c r="G7" s="15">
        <v>43140</v>
      </c>
      <c r="H7" s="15">
        <v>43219.625</v>
      </c>
      <c r="I7" s="15">
        <v>43140</v>
      </c>
      <c r="J7" s="17">
        <v>-275000.00800000003</v>
      </c>
      <c r="K7" s="17" t="s">
        <v>7</v>
      </c>
      <c r="L7" s="17" t="s">
        <v>66</v>
      </c>
      <c r="M7" s="17" t="s">
        <v>64</v>
      </c>
      <c r="N7" s="17">
        <v>5000</v>
      </c>
      <c r="O7" s="17">
        <v>3883</v>
      </c>
      <c r="P7" s="17">
        <v>0.18</v>
      </c>
      <c r="Q7" s="17" t="s">
        <v>168</v>
      </c>
      <c r="R7" s="17" t="s">
        <v>169</v>
      </c>
      <c r="S7" s="17" t="s">
        <v>170</v>
      </c>
      <c r="T7" s="17" t="s">
        <v>171</v>
      </c>
      <c r="U7" s="17" t="s">
        <v>172</v>
      </c>
      <c r="V7" s="17" t="s">
        <v>173</v>
      </c>
      <c r="W7" s="17" t="s">
        <v>174</v>
      </c>
      <c r="X7" s="17" t="s">
        <v>175</v>
      </c>
      <c r="Y7" s="17" t="s">
        <v>176</v>
      </c>
      <c r="Z7" s="17" t="s">
        <v>177</v>
      </c>
      <c r="AA7" s="17" t="s">
        <v>178</v>
      </c>
      <c r="AB7" s="17" t="s">
        <v>179</v>
      </c>
      <c r="AC7" s="17" t="s">
        <v>180</v>
      </c>
      <c r="AD7" s="17">
        <v>0.125</v>
      </c>
      <c r="AE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0.16756671899529041</v>
      </c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2:44">
      <c r="B8" s="17" t="s">
        <v>69</v>
      </c>
      <c r="C8" s="17" t="s">
        <v>113</v>
      </c>
      <c r="D8" s="17" t="s">
        <v>256</v>
      </c>
      <c r="E8" s="17">
        <v>1000</v>
      </c>
      <c r="F8" s="17">
        <v>3720.0000015999999</v>
      </c>
      <c r="G8" s="15">
        <v>43140</v>
      </c>
      <c r="H8" s="15">
        <v>43205.625</v>
      </c>
      <c r="I8" s="15">
        <v>43140</v>
      </c>
      <c r="J8" s="17">
        <v>-499999.99575</v>
      </c>
      <c r="K8" s="17" t="s">
        <v>7</v>
      </c>
      <c r="L8" s="17" t="s">
        <v>66</v>
      </c>
      <c r="M8" s="17" t="s">
        <v>64</v>
      </c>
      <c r="N8" s="17">
        <v>10000</v>
      </c>
      <c r="O8" s="17">
        <v>3883</v>
      </c>
      <c r="P8" s="17">
        <v>0.18</v>
      </c>
      <c r="Q8" s="17" t="s">
        <v>168</v>
      </c>
      <c r="R8" s="17" t="s">
        <v>169</v>
      </c>
      <c r="S8" s="17" t="s">
        <v>170</v>
      </c>
      <c r="T8" s="17" t="s">
        <v>171</v>
      </c>
      <c r="U8" s="17" t="s">
        <v>172</v>
      </c>
      <c r="V8" s="17" t="s">
        <v>173</v>
      </c>
      <c r="W8" s="17" t="s">
        <v>174</v>
      </c>
      <c r="X8" s="17" t="s">
        <v>175</v>
      </c>
      <c r="Y8" s="17" t="s">
        <v>176</v>
      </c>
      <c r="Z8" s="17" t="s">
        <v>177</v>
      </c>
      <c r="AA8" s="17" t="s">
        <v>178</v>
      </c>
      <c r="AB8" s="17" t="s">
        <v>179</v>
      </c>
      <c r="AC8" s="17" t="s">
        <v>180</v>
      </c>
      <c r="AD8" s="17">
        <v>0.125</v>
      </c>
      <c r="AE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0.16491428571428571</v>
      </c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2:44">
      <c r="B9" s="17" t="s">
        <v>97</v>
      </c>
      <c r="C9" s="17" t="s">
        <v>114</v>
      </c>
      <c r="D9" s="17" t="s">
        <v>256</v>
      </c>
      <c r="E9" s="17">
        <v>100</v>
      </c>
      <c r="F9" s="17">
        <v>524</v>
      </c>
      <c r="G9" s="15">
        <v>43139</v>
      </c>
      <c r="H9" s="15">
        <v>43201.625</v>
      </c>
      <c r="I9" s="15">
        <v>43139</v>
      </c>
      <c r="J9" s="17">
        <v>-235800</v>
      </c>
      <c r="K9" s="17" t="s">
        <v>7</v>
      </c>
      <c r="L9" s="17" t="s">
        <v>108</v>
      </c>
      <c r="M9" s="17" t="s">
        <v>137</v>
      </c>
      <c r="N9" s="17">
        <v>10000</v>
      </c>
      <c r="O9" s="17">
        <v>546.5</v>
      </c>
      <c r="P9" s="17">
        <v>0.36</v>
      </c>
      <c r="Q9" s="17" t="s">
        <v>168</v>
      </c>
      <c r="R9" s="17" t="s">
        <v>181</v>
      </c>
      <c r="S9" s="17" t="s">
        <v>182</v>
      </c>
      <c r="T9" s="17" t="s">
        <v>183</v>
      </c>
      <c r="U9" s="17" t="s">
        <v>184</v>
      </c>
      <c r="V9" s="17" t="s">
        <v>185</v>
      </c>
      <c r="W9" s="17" t="s">
        <v>186</v>
      </c>
      <c r="X9" s="17" t="s">
        <v>187</v>
      </c>
      <c r="Y9" s="17" t="s">
        <v>188</v>
      </c>
      <c r="Z9" s="17" t="s">
        <v>189</v>
      </c>
      <c r="AA9" s="17" t="s">
        <v>190</v>
      </c>
      <c r="AB9" s="17" t="s">
        <v>191</v>
      </c>
      <c r="AC9" s="17" t="s">
        <v>192</v>
      </c>
      <c r="AD9" s="17">
        <v>0.125</v>
      </c>
      <c r="AE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0.28870259481037919</v>
      </c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2:44">
      <c r="B10" s="17" t="s">
        <v>98</v>
      </c>
      <c r="C10" s="17" t="s">
        <v>114</v>
      </c>
      <c r="D10" s="17" t="s">
        <v>256</v>
      </c>
      <c r="E10" s="17">
        <v>100</v>
      </c>
      <c r="F10" s="17">
        <v>524</v>
      </c>
      <c r="G10" s="15">
        <v>43139</v>
      </c>
      <c r="H10" s="15">
        <v>43201.625</v>
      </c>
      <c r="I10" s="15">
        <v>43139</v>
      </c>
      <c r="J10" s="17">
        <v>-235800</v>
      </c>
      <c r="K10" s="17" t="s">
        <v>45</v>
      </c>
      <c r="L10" s="17" t="s">
        <v>108</v>
      </c>
      <c r="M10" s="17" t="s">
        <v>137</v>
      </c>
      <c r="N10" s="17">
        <v>10000</v>
      </c>
      <c r="O10" s="17">
        <v>546.5</v>
      </c>
      <c r="P10" s="17">
        <v>0.36</v>
      </c>
      <c r="Q10" s="17" t="s">
        <v>168</v>
      </c>
      <c r="R10" s="17" t="s">
        <v>181</v>
      </c>
      <c r="S10" s="17" t="s">
        <v>182</v>
      </c>
      <c r="T10" s="17" t="s">
        <v>183</v>
      </c>
      <c r="U10" s="17" t="s">
        <v>184</v>
      </c>
      <c r="V10" s="17" t="s">
        <v>185</v>
      </c>
      <c r="W10" s="17" t="s">
        <v>186</v>
      </c>
      <c r="X10" s="17" t="s">
        <v>187</v>
      </c>
      <c r="Y10" s="17" t="s">
        <v>188</v>
      </c>
      <c r="Z10" s="17" t="s">
        <v>189</v>
      </c>
      <c r="AA10" s="17" t="s">
        <v>190</v>
      </c>
      <c r="AB10" s="17" t="s">
        <v>191</v>
      </c>
      <c r="AC10" s="17" t="s">
        <v>192</v>
      </c>
      <c r="AD10" s="17">
        <v>0.125</v>
      </c>
      <c r="AE1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0.28870259481037919</v>
      </c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2:44">
      <c r="B11" s="17" t="s">
        <v>70</v>
      </c>
      <c r="C11" s="17" t="s">
        <v>113</v>
      </c>
      <c r="D11" s="17" t="s">
        <v>256</v>
      </c>
      <c r="E11" s="17">
        <v>1000</v>
      </c>
      <c r="F11" s="17">
        <v>3650.00000142</v>
      </c>
      <c r="G11" s="15">
        <v>43132</v>
      </c>
      <c r="H11" s="15">
        <v>43205.625</v>
      </c>
      <c r="I11" s="15">
        <v>43132</v>
      </c>
      <c r="J11" s="17">
        <v>-429999.99489999999</v>
      </c>
      <c r="K11" s="17" t="s">
        <v>7</v>
      </c>
      <c r="L11" s="17" t="s">
        <v>66</v>
      </c>
      <c r="M11" s="17" t="s">
        <v>64</v>
      </c>
      <c r="N11" s="17">
        <v>10000</v>
      </c>
      <c r="O11" s="17">
        <v>3883</v>
      </c>
      <c r="P11" s="17">
        <v>0.18</v>
      </c>
      <c r="Q11" s="17" t="s">
        <v>168</v>
      </c>
      <c r="R11" s="17" t="s">
        <v>169</v>
      </c>
      <c r="S11" s="17" t="s">
        <v>170</v>
      </c>
      <c r="T11" s="17" t="s">
        <v>171</v>
      </c>
      <c r="U11" s="17" t="s">
        <v>172</v>
      </c>
      <c r="V11" s="17" t="s">
        <v>173</v>
      </c>
      <c r="W11" s="17" t="s">
        <v>174</v>
      </c>
      <c r="X11" s="17" t="s">
        <v>175</v>
      </c>
      <c r="Y11" s="17" t="s">
        <v>176</v>
      </c>
      <c r="Z11" s="17" t="s">
        <v>177</v>
      </c>
      <c r="AA11" s="17" t="s">
        <v>178</v>
      </c>
      <c r="AB11" s="17" t="s">
        <v>179</v>
      </c>
      <c r="AC11" s="17" t="s">
        <v>180</v>
      </c>
      <c r="AD11" s="17">
        <v>0.125</v>
      </c>
      <c r="AE1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0.16057724957555178</v>
      </c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2:44">
      <c r="B12" s="17" t="s">
        <v>71</v>
      </c>
      <c r="C12" s="17" t="s">
        <v>113</v>
      </c>
      <c r="D12" s="17" t="s">
        <v>256</v>
      </c>
      <c r="E12" s="17">
        <v>1000</v>
      </c>
      <c r="F12" s="17">
        <v>3650.0000014560001</v>
      </c>
      <c r="G12" s="15">
        <v>43129</v>
      </c>
      <c r="H12" s="15">
        <v>43189.625</v>
      </c>
      <c r="I12" s="15">
        <v>43129</v>
      </c>
      <c r="J12" s="17">
        <v>-470000.00880000001</v>
      </c>
      <c r="K12" s="17" t="s">
        <v>7</v>
      </c>
      <c r="L12" s="17" t="s">
        <v>66</v>
      </c>
      <c r="M12" s="17" t="s">
        <v>64</v>
      </c>
      <c r="N12" s="17">
        <v>10000</v>
      </c>
      <c r="O12" s="17">
        <v>3883</v>
      </c>
      <c r="P12" s="17">
        <v>0.18</v>
      </c>
      <c r="Q12" s="17" t="s">
        <v>168</v>
      </c>
      <c r="R12" s="17" t="s">
        <v>169</v>
      </c>
      <c r="S12" s="17" t="s">
        <v>170</v>
      </c>
      <c r="T12" s="17" t="s">
        <v>171</v>
      </c>
      <c r="U12" s="17" t="s">
        <v>172</v>
      </c>
      <c r="V12" s="17" t="s">
        <v>173</v>
      </c>
      <c r="W12" s="17" t="s">
        <v>174</v>
      </c>
      <c r="X12" s="17" t="s">
        <v>175</v>
      </c>
      <c r="Y12" s="17" t="s">
        <v>176</v>
      </c>
      <c r="Z12" s="17" t="s">
        <v>177</v>
      </c>
      <c r="AA12" s="17" t="s">
        <v>178</v>
      </c>
      <c r="AB12" s="17" t="s">
        <v>179</v>
      </c>
      <c r="AC12" s="17" t="s">
        <v>180</v>
      </c>
      <c r="AD12" s="17">
        <v>0.125</v>
      </c>
      <c r="AE1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0.15369072164948452</v>
      </c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2:44">
      <c r="B13" s="17" t="s">
        <v>9</v>
      </c>
      <c r="C13" s="17" t="s">
        <v>115</v>
      </c>
      <c r="D13" s="17" t="s">
        <v>256</v>
      </c>
      <c r="E13" s="17">
        <v>400</v>
      </c>
      <c r="F13" s="17">
        <v>14500.000004</v>
      </c>
      <c r="G13" s="15">
        <v>43118</v>
      </c>
      <c r="H13" s="15">
        <v>43200.625</v>
      </c>
      <c r="I13" s="15">
        <v>43118</v>
      </c>
      <c r="J13" s="17">
        <v>-400000</v>
      </c>
      <c r="K13" s="17" t="s">
        <v>7</v>
      </c>
      <c r="L13" s="17" t="s">
        <v>10</v>
      </c>
      <c r="M13" s="17" t="s">
        <v>12</v>
      </c>
      <c r="N13" s="17">
        <v>2000</v>
      </c>
      <c r="O13" s="17">
        <v>14370</v>
      </c>
      <c r="P13" s="17">
        <v>0.14000000000000001</v>
      </c>
      <c r="Q13" s="17" t="s">
        <v>168</v>
      </c>
      <c r="R13" s="17" t="s">
        <v>193</v>
      </c>
      <c r="S13" s="17" t="s">
        <v>194</v>
      </c>
      <c r="T13" s="17" t="s">
        <v>195</v>
      </c>
      <c r="U13" s="17" t="s">
        <v>196</v>
      </c>
      <c r="V13" s="17" t="s">
        <v>197</v>
      </c>
      <c r="W13" s="17" t="s">
        <v>198</v>
      </c>
      <c r="X13" s="17" t="s">
        <v>199</v>
      </c>
      <c r="Y13" s="17" t="s">
        <v>200</v>
      </c>
      <c r="Z13" s="17" t="s">
        <v>201</v>
      </c>
      <c r="AA13" s="17" t="s">
        <v>202</v>
      </c>
      <c r="AB13" s="17" t="s">
        <v>203</v>
      </c>
      <c r="AC13" s="17" t="s">
        <v>204</v>
      </c>
      <c r="AD13" s="17">
        <v>0.12</v>
      </c>
      <c r="AE1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0.13031770045385779</v>
      </c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2:44">
      <c r="B14" s="17" t="s">
        <v>72</v>
      </c>
      <c r="C14" s="17" t="s">
        <v>113</v>
      </c>
      <c r="D14" s="17" t="s">
        <v>256</v>
      </c>
      <c r="E14" s="17">
        <v>500</v>
      </c>
      <c r="F14" s="17">
        <v>3550.00000086</v>
      </c>
      <c r="G14" s="15">
        <v>43104</v>
      </c>
      <c r="H14" s="15">
        <v>43167.625</v>
      </c>
      <c r="I14" s="15">
        <v>43104</v>
      </c>
      <c r="J14" s="17">
        <v>-315000.00594</v>
      </c>
      <c r="K14" s="17" t="s">
        <v>7</v>
      </c>
      <c r="L14" s="17" t="s">
        <v>66</v>
      </c>
      <c r="M14" s="17" t="s">
        <v>64</v>
      </c>
      <c r="N14" s="17">
        <v>5000</v>
      </c>
      <c r="O14" s="17">
        <v>3883</v>
      </c>
      <c r="P14" s="17">
        <v>0.18</v>
      </c>
      <c r="Q14" s="17" t="s">
        <v>168</v>
      </c>
      <c r="R14" s="17" t="s">
        <v>169</v>
      </c>
      <c r="S14" s="17" t="s">
        <v>170</v>
      </c>
      <c r="T14" s="17" t="s">
        <v>171</v>
      </c>
      <c r="U14" s="17" t="s">
        <v>172</v>
      </c>
      <c r="V14" s="17" t="s">
        <v>173</v>
      </c>
      <c r="W14" s="17" t="s">
        <v>174</v>
      </c>
      <c r="X14" s="17" t="s">
        <v>175</v>
      </c>
      <c r="Y14" s="17" t="s">
        <v>176</v>
      </c>
      <c r="Z14" s="17" t="s">
        <v>177</v>
      </c>
      <c r="AA14" s="17" t="s">
        <v>178</v>
      </c>
      <c r="AB14" s="17" t="s">
        <v>179</v>
      </c>
      <c r="AC14" s="17" t="s">
        <v>180</v>
      </c>
      <c r="AD14" s="17">
        <v>0.125</v>
      </c>
      <c r="AE1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0.13332023575638507</v>
      </c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2:44">
      <c r="B15" s="17" t="s">
        <v>43</v>
      </c>
      <c r="C15" s="17" t="s">
        <v>116</v>
      </c>
      <c r="D15" s="17" t="s">
        <v>256</v>
      </c>
      <c r="E15" s="17">
        <v>125</v>
      </c>
      <c r="F15" s="17">
        <v>10039.999997630001</v>
      </c>
      <c r="G15" s="15">
        <v>43098</v>
      </c>
      <c r="H15" s="15">
        <v>43159.625</v>
      </c>
      <c r="I15" s="15">
        <v>43098</v>
      </c>
      <c r="J15" s="17">
        <v>0</v>
      </c>
      <c r="K15" s="17" t="s">
        <v>45</v>
      </c>
      <c r="L15" s="17" t="s">
        <v>46</v>
      </c>
      <c r="M15" s="17" t="s">
        <v>47</v>
      </c>
      <c r="N15" s="17">
        <v>625</v>
      </c>
      <c r="O15" s="17">
        <v>9485</v>
      </c>
      <c r="P15" s="17">
        <v>0.19</v>
      </c>
      <c r="Q15" s="17" t="s">
        <v>168</v>
      </c>
      <c r="R15" s="17" t="s">
        <v>205</v>
      </c>
      <c r="S15" s="17" t="s">
        <v>206</v>
      </c>
      <c r="T15" s="17" t="s">
        <v>207</v>
      </c>
      <c r="U15" s="17" t="s">
        <v>208</v>
      </c>
      <c r="V15" s="17" t="s">
        <v>209</v>
      </c>
      <c r="W15" s="17" t="s">
        <v>210</v>
      </c>
      <c r="X15" s="17" t="s">
        <v>211</v>
      </c>
      <c r="Y15" s="17" t="s">
        <v>212</v>
      </c>
      <c r="Z15" s="17" t="s">
        <v>213</v>
      </c>
      <c r="AA15" s="17" t="s">
        <v>214</v>
      </c>
      <c r="AB15" s="17" t="s">
        <v>215</v>
      </c>
      <c r="AC15" s="17" t="s">
        <v>216</v>
      </c>
      <c r="AD15" s="17"/>
      <c r="AE15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2:44">
      <c r="B16" s="17" t="s">
        <v>44</v>
      </c>
      <c r="C16" s="17" t="s">
        <v>116</v>
      </c>
      <c r="D16" s="17" t="s">
        <v>256</v>
      </c>
      <c r="E16" s="17">
        <v>-125</v>
      </c>
      <c r="F16" s="17">
        <v>9500.0000023699995</v>
      </c>
      <c r="G16" s="15">
        <v>43098</v>
      </c>
      <c r="H16" s="15">
        <v>43159.625</v>
      </c>
      <c r="I16" s="15">
        <v>43098</v>
      </c>
      <c r="J16" s="17">
        <v>9375</v>
      </c>
      <c r="K16" s="17" t="s">
        <v>7</v>
      </c>
      <c r="L16" s="17" t="s">
        <v>46</v>
      </c>
      <c r="M16" s="17" t="s">
        <v>47</v>
      </c>
      <c r="N16" s="17">
        <v>-625</v>
      </c>
      <c r="O16" s="17">
        <v>9485</v>
      </c>
      <c r="P16" s="17">
        <v>0.19</v>
      </c>
      <c r="Q16" s="17" t="s">
        <v>168</v>
      </c>
      <c r="R16" s="17" t="s">
        <v>205</v>
      </c>
      <c r="S16" s="17" t="s">
        <v>206</v>
      </c>
      <c r="T16" s="17" t="s">
        <v>207</v>
      </c>
      <c r="U16" s="17" t="s">
        <v>208</v>
      </c>
      <c r="V16" s="17" t="s">
        <v>209</v>
      </c>
      <c r="W16" s="17" t="s">
        <v>210</v>
      </c>
      <c r="X16" s="17" t="s">
        <v>211</v>
      </c>
      <c r="Y16" s="17" t="s">
        <v>212</v>
      </c>
      <c r="Z16" s="17" t="s">
        <v>213</v>
      </c>
      <c r="AA16" s="17" t="s">
        <v>214</v>
      </c>
      <c r="AB16" s="17" t="s">
        <v>215</v>
      </c>
      <c r="AC16" s="17" t="s">
        <v>216</v>
      </c>
      <c r="AD16" s="17"/>
      <c r="AE16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2:44">
      <c r="B17" s="17" t="s">
        <v>99</v>
      </c>
      <c r="C17" s="17" t="s">
        <v>117</v>
      </c>
      <c r="D17" s="17" t="s">
        <v>256</v>
      </c>
      <c r="E17" s="17">
        <v>-50</v>
      </c>
      <c r="F17" s="17">
        <v>1258</v>
      </c>
      <c r="G17" s="15">
        <v>43077</v>
      </c>
      <c r="H17" s="15">
        <v>43189.625</v>
      </c>
      <c r="I17" s="15">
        <v>43076</v>
      </c>
      <c r="J17" s="17">
        <v>297000</v>
      </c>
      <c r="K17" s="17" t="s">
        <v>7</v>
      </c>
      <c r="L17" s="17" t="s">
        <v>109</v>
      </c>
      <c r="M17" s="17" t="s">
        <v>124</v>
      </c>
      <c r="N17" s="17">
        <v>-3000</v>
      </c>
      <c r="O17" s="17">
        <v>1428.5</v>
      </c>
      <c r="P17" s="17">
        <v>0.36</v>
      </c>
      <c r="Q17" s="17" t="s">
        <v>168</v>
      </c>
      <c r="R17" s="17" t="s">
        <v>217</v>
      </c>
      <c r="S17" s="17" t="s">
        <v>218</v>
      </c>
      <c r="T17" s="17" t="s">
        <v>219</v>
      </c>
      <c r="U17" s="17" t="s">
        <v>220</v>
      </c>
      <c r="V17" s="17" t="s">
        <v>221</v>
      </c>
      <c r="W17" s="17" t="s">
        <v>222</v>
      </c>
      <c r="X17" s="17" t="s">
        <v>223</v>
      </c>
      <c r="Y17" s="17" t="s">
        <v>224</v>
      </c>
      <c r="Z17" s="17" t="s">
        <v>225</v>
      </c>
      <c r="AA17" s="17" t="s">
        <v>226</v>
      </c>
      <c r="AB17" s="17" t="s">
        <v>227</v>
      </c>
      <c r="AC17" s="17" t="s">
        <v>228</v>
      </c>
      <c r="AD17" s="17"/>
      <c r="AE17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2:44">
      <c r="B18" s="17" t="s">
        <v>100</v>
      </c>
      <c r="C18" s="17" t="s">
        <v>117</v>
      </c>
      <c r="D18" s="17" t="s">
        <v>256</v>
      </c>
      <c r="E18" s="17">
        <v>-50</v>
      </c>
      <c r="F18" s="17">
        <v>1258</v>
      </c>
      <c r="G18" s="15">
        <v>43077</v>
      </c>
      <c r="H18" s="15">
        <v>43189.625</v>
      </c>
      <c r="I18" s="15">
        <v>43076</v>
      </c>
      <c r="J18" s="17">
        <v>297000</v>
      </c>
      <c r="K18" s="17" t="s">
        <v>45</v>
      </c>
      <c r="L18" s="17" t="s">
        <v>109</v>
      </c>
      <c r="M18" s="17" t="s">
        <v>124</v>
      </c>
      <c r="N18" s="17">
        <v>-3000</v>
      </c>
      <c r="O18" s="17">
        <v>1428.5</v>
      </c>
      <c r="P18" s="17">
        <v>0.36</v>
      </c>
      <c r="Q18" s="17" t="s">
        <v>168</v>
      </c>
      <c r="R18" s="17" t="s">
        <v>217</v>
      </c>
      <c r="S18" s="17" t="s">
        <v>218</v>
      </c>
      <c r="T18" s="17" t="s">
        <v>219</v>
      </c>
      <c r="U18" s="17" t="s">
        <v>220</v>
      </c>
      <c r="V18" s="17" t="s">
        <v>221</v>
      </c>
      <c r="W18" s="17" t="s">
        <v>222</v>
      </c>
      <c r="X18" s="17" t="s">
        <v>223</v>
      </c>
      <c r="Y18" s="17" t="s">
        <v>224</v>
      </c>
      <c r="Z18" s="17" t="s">
        <v>225</v>
      </c>
      <c r="AA18" s="17" t="s">
        <v>226</v>
      </c>
      <c r="AB18" s="17" t="s">
        <v>227</v>
      </c>
      <c r="AC18" s="17" t="s">
        <v>228</v>
      </c>
      <c r="AD18" s="17"/>
      <c r="AE18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2:44">
      <c r="B19" s="17" t="s">
        <v>101</v>
      </c>
      <c r="C19" s="17" t="s">
        <v>118</v>
      </c>
      <c r="D19" s="17" t="s">
        <v>256</v>
      </c>
      <c r="E19" s="17">
        <v>2000</v>
      </c>
      <c r="F19" s="17">
        <v>1199.9999998999999</v>
      </c>
      <c r="G19" s="15">
        <v>43067</v>
      </c>
      <c r="H19" s="15">
        <v>43189.625</v>
      </c>
      <c r="I19" s="15">
        <v>43067</v>
      </c>
      <c r="J19" s="17">
        <v>-5999999.9280000003</v>
      </c>
      <c r="K19" s="17" t="s">
        <v>7</v>
      </c>
      <c r="L19" s="17" t="s">
        <v>109</v>
      </c>
      <c r="M19" s="17" t="s">
        <v>124</v>
      </c>
      <c r="N19" s="17">
        <v>120000</v>
      </c>
      <c r="O19" s="17">
        <v>1428.5</v>
      </c>
      <c r="P19" s="17">
        <v>0.36</v>
      </c>
      <c r="Q19" s="17" t="s">
        <v>168</v>
      </c>
      <c r="R19" s="17" t="s">
        <v>217</v>
      </c>
      <c r="S19" s="17" t="s">
        <v>218</v>
      </c>
      <c r="T19" s="17" t="s">
        <v>219</v>
      </c>
      <c r="U19" s="17" t="s">
        <v>220</v>
      </c>
      <c r="V19" s="17" t="s">
        <v>221</v>
      </c>
      <c r="W19" s="17" t="s">
        <v>222</v>
      </c>
      <c r="X19" s="17" t="s">
        <v>223</v>
      </c>
      <c r="Y19" s="17" t="s">
        <v>224</v>
      </c>
      <c r="Z19" s="17" t="s">
        <v>225</v>
      </c>
      <c r="AA19" s="17" t="s">
        <v>226</v>
      </c>
      <c r="AB19" s="17" t="s">
        <v>227</v>
      </c>
      <c r="AC19" s="17" t="s">
        <v>228</v>
      </c>
      <c r="AD19" s="17">
        <v>0.32</v>
      </c>
      <c r="AE1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0.33031600407747197</v>
      </c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2:44">
      <c r="B20" s="17" t="s">
        <v>102</v>
      </c>
      <c r="C20" s="17" t="s">
        <v>118</v>
      </c>
      <c r="D20" s="17" t="s">
        <v>256</v>
      </c>
      <c r="E20" s="17">
        <v>300</v>
      </c>
      <c r="F20" s="17">
        <v>13000.000006799999</v>
      </c>
      <c r="G20" s="15">
        <v>43054</v>
      </c>
      <c r="H20" s="15">
        <v>43189.625</v>
      </c>
      <c r="I20" s="15">
        <v>43054</v>
      </c>
      <c r="J20" s="17">
        <v>-1791000.0179999999</v>
      </c>
      <c r="K20" s="17" t="s">
        <v>7</v>
      </c>
      <c r="L20" s="17" t="s">
        <v>110</v>
      </c>
      <c r="M20" s="17" t="s">
        <v>122</v>
      </c>
      <c r="N20" s="17">
        <v>3000</v>
      </c>
      <c r="O20" s="17">
        <v>12885</v>
      </c>
      <c r="P20" s="17">
        <v>0.36</v>
      </c>
      <c r="Q20" s="17" t="s">
        <v>168</v>
      </c>
      <c r="R20" s="17" t="s">
        <v>229</v>
      </c>
      <c r="S20" s="17" t="s">
        <v>230</v>
      </c>
      <c r="T20" s="17" t="s">
        <v>231</v>
      </c>
      <c r="U20" s="17" t="s">
        <v>232</v>
      </c>
      <c r="V20" s="17" t="s">
        <v>233</v>
      </c>
      <c r="W20" s="17" t="s">
        <v>234</v>
      </c>
      <c r="X20" s="17" t="s">
        <v>235</v>
      </c>
      <c r="Y20" s="17" t="s">
        <v>236</v>
      </c>
      <c r="Z20" s="17" t="s">
        <v>237</v>
      </c>
      <c r="AA20" s="17" t="s">
        <v>238</v>
      </c>
      <c r="AB20" s="17" t="s">
        <v>239</v>
      </c>
      <c r="AC20" s="17" t="s">
        <v>240</v>
      </c>
      <c r="AD20" s="17">
        <v>0.26</v>
      </c>
      <c r="AE2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0.28331797235023043</v>
      </c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2:44">
      <c r="B21" s="17" t="s">
        <v>103</v>
      </c>
      <c r="C21" s="17" t="s">
        <v>117</v>
      </c>
      <c r="D21" s="17" t="s">
        <v>256</v>
      </c>
      <c r="E21" s="17">
        <v>-500</v>
      </c>
      <c r="F21" s="17">
        <v>3599.9999997999998</v>
      </c>
      <c r="G21" s="15">
        <v>43048</v>
      </c>
      <c r="H21" s="15">
        <v>43203.625</v>
      </c>
      <c r="I21" s="15">
        <v>43048</v>
      </c>
      <c r="J21" s="17">
        <v>931199.99399999995</v>
      </c>
      <c r="K21" s="17" t="s">
        <v>7</v>
      </c>
      <c r="L21" s="17" t="s">
        <v>111</v>
      </c>
      <c r="M21" s="17" t="s">
        <v>64</v>
      </c>
      <c r="N21" s="17">
        <v>-5000</v>
      </c>
      <c r="O21" s="17">
        <v>4035</v>
      </c>
      <c r="P21" s="17">
        <v>0.18</v>
      </c>
      <c r="Q21" s="17" t="s">
        <v>168</v>
      </c>
      <c r="R21" s="17" t="s">
        <v>169</v>
      </c>
      <c r="S21" s="17" t="s">
        <v>170</v>
      </c>
      <c r="T21" s="17" t="s">
        <v>171</v>
      </c>
      <c r="U21" s="17" t="s">
        <v>172</v>
      </c>
      <c r="V21" s="17" t="s">
        <v>173</v>
      </c>
      <c r="W21" s="17" t="s">
        <v>174</v>
      </c>
      <c r="X21" s="17" t="s">
        <v>175</v>
      </c>
      <c r="Y21" s="17" t="s">
        <v>176</v>
      </c>
      <c r="Z21" s="17" t="s">
        <v>177</v>
      </c>
      <c r="AA21" s="17" t="s">
        <v>178</v>
      </c>
      <c r="AB21" s="17" t="s">
        <v>179</v>
      </c>
      <c r="AC21" s="17" t="s">
        <v>180</v>
      </c>
      <c r="AD21" s="17"/>
      <c r="AE21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2:44">
      <c r="B22" s="17" t="s">
        <v>104</v>
      </c>
      <c r="C22" s="17" t="s">
        <v>117</v>
      </c>
      <c r="D22" s="17" t="s">
        <v>256</v>
      </c>
      <c r="E22" s="17">
        <v>-500</v>
      </c>
      <c r="F22" s="17">
        <v>4000.0000002000002</v>
      </c>
      <c r="G22" s="15">
        <v>43048</v>
      </c>
      <c r="H22" s="15">
        <v>43203.625</v>
      </c>
      <c r="I22" s="15">
        <v>43048</v>
      </c>
      <c r="J22" s="17">
        <v>1122200.0019999999</v>
      </c>
      <c r="K22" s="17" t="s">
        <v>45</v>
      </c>
      <c r="L22" s="17" t="s">
        <v>111</v>
      </c>
      <c r="M22" s="17" t="s">
        <v>64</v>
      </c>
      <c r="N22" s="17">
        <v>-5000</v>
      </c>
      <c r="O22" s="17">
        <v>4035</v>
      </c>
      <c r="P22" s="17">
        <v>0.18</v>
      </c>
      <c r="Q22" s="17" t="s">
        <v>168</v>
      </c>
      <c r="R22" s="17" t="s">
        <v>169</v>
      </c>
      <c r="S22" s="17" t="s">
        <v>170</v>
      </c>
      <c r="T22" s="17" t="s">
        <v>171</v>
      </c>
      <c r="U22" s="17" t="s">
        <v>172</v>
      </c>
      <c r="V22" s="17" t="s">
        <v>173</v>
      </c>
      <c r="W22" s="17" t="s">
        <v>174</v>
      </c>
      <c r="X22" s="17" t="s">
        <v>175</v>
      </c>
      <c r="Y22" s="17" t="s">
        <v>176</v>
      </c>
      <c r="Z22" s="17" t="s">
        <v>177</v>
      </c>
      <c r="AA22" s="17" t="s">
        <v>178</v>
      </c>
      <c r="AB22" s="17" t="s">
        <v>179</v>
      </c>
      <c r="AC22" s="17" t="s">
        <v>180</v>
      </c>
      <c r="AD22" s="17"/>
      <c r="AE22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2:44">
      <c r="B23" s="17" t="s">
        <v>105</v>
      </c>
      <c r="C23" s="17" t="s">
        <v>118</v>
      </c>
      <c r="D23" s="17" t="s">
        <v>256</v>
      </c>
      <c r="E23" s="17">
        <v>500</v>
      </c>
      <c r="F23" s="17">
        <v>450</v>
      </c>
      <c r="G23" s="15">
        <v>43048</v>
      </c>
      <c r="H23" s="15">
        <v>43203.625</v>
      </c>
      <c r="I23" s="15">
        <v>43048</v>
      </c>
      <c r="J23" s="17">
        <v>-760500</v>
      </c>
      <c r="K23" s="17" t="s">
        <v>7</v>
      </c>
      <c r="L23" s="17" t="s">
        <v>108</v>
      </c>
      <c r="M23" s="17" t="s">
        <v>137</v>
      </c>
      <c r="N23" s="17">
        <v>50000</v>
      </c>
      <c r="O23" s="17">
        <v>546.5</v>
      </c>
      <c r="P23" s="17">
        <v>0.36</v>
      </c>
      <c r="Q23" s="17" t="s">
        <v>168</v>
      </c>
      <c r="R23" s="17" t="s">
        <v>181</v>
      </c>
      <c r="S23" s="17" t="s">
        <v>182</v>
      </c>
      <c r="T23" s="17" t="s">
        <v>183</v>
      </c>
      <c r="U23" s="17" t="s">
        <v>184</v>
      </c>
      <c r="V23" s="17" t="s">
        <v>185</v>
      </c>
      <c r="W23" s="17" t="s">
        <v>186</v>
      </c>
      <c r="X23" s="17" t="s">
        <v>187</v>
      </c>
      <c r="Y23" s="17" t="s">
        <v>188</v>
      </c>
      <c r="Z23" s="17" t="s">
        <v>189</v>
      </c>
      <c r="AA23" s="17" t="s">
        <v>190</v>
      </c>
      <c r="AB23" s="17" t="s">
        <v>191</v>
      </c>
      <c r="AC23" s="17" t="s">
        <v>192</v>
      </c>
      <c r="AD23" s="17">
        <v>0.27</v>
      </c>
      <c r="AE2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0.29638554216867469</v>
      </c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2:44">
      <c r="B24" s="17" t="s">
        <v>106</v>
      </c>
      <c r="C24" s="17" t="s">
        <v>118</v>
      </c>
      <c r="D24" s="17" t="s">
        <v>256</v>
      </c>
      <c r="E24" s="17">
        <v>1500</v>
      </c>
      <c r="F24" s="17">
        <v>4000</v>
      </c>
      <c r="G24" s="15">
        <v>43048</v>
      </c>
      <c r="H24" s="15">
        <v>43203.625</v>
      </c>
      <c r="I24" s="15">
        <v>43048</v>
      </c>
      <c r="J24" s="17">
        <v>-2317950</v>
      </c>
      <c r="K24" s="17" t="s">
        <v>45</v>
      </c>
      <c r="L24" s="17" t="s">
        <v>111</v>
      </c>
      <c r="M24" s="17" t="s">
        <v>64</v>
      </c>
      <c r="N24" s="17">
        <v>15000</v>
      </c>
      <c r="O24" s="17">
        <v>4035</v>
      </c>
      <c r="P24" s="17">
        <v>0.18</v>
      </c>
      <c r="Q24" s="17" t="s">
        <v>168</v>
      </c>
      <c r="R24" s="17" t="s">
        <v>169</v>
      </c>
      <c r="S24" s="17" t="s">
        <v>170</v>
      </c>
      <c r="T24" s="17" t="s">
        <v>171</v>
      </c>
      <c r="U24" s="17" t="s">
        <v>172</v>
      </c>
      <c r="V24" s="17" t="s">
        <v>173</v>
      </c>
      <c r="W24" s="17" t="s">
        <v>174</v>
      </c>
      <c r="X24" s="17" t="s">
        <v>175</v>
      </c>
      <c r="Y24" s="17" t="s">
        <v>176</v>
      </c>
      <c r="Z24" s="17" t="s">
        <v>177</v>
      </c>
      <c r="AA24" s="17" t="s">
        <v>178</v>
      </c>
      <c r="AB24" s="17" t="s">
        <v>179</v>
      </c>
      <c r="AC24" s="17" t="s">
        <v>180</v>
      </c>
      <c r="AD24" s="17">
        <v>0.255</v>
      </c>
      <c r="AE2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0.23301204819277108</v>
      </c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2:44">
      <c r="B25" s="17" t="s">
        <v>107</v>
      </c>
      <c r="C25" s="17" t="s">
        <v>118</v>
      </c>
      <c r="D25" s="17" t="s">
        <v>256</v>
      </c>
      <c r="E25" s="17">
        <v>1500</v>
      </c>
      <c r="F25" s="17">
        <v>3600</v>
      </c>
      <c r="G25" s="15">
        <v>43048</v>
      </c>
      <c r="H25" s="15">
        <v>43203.625</v>
      </c>
      <c r="I25" s="15">
        <v>43048</v>
      </c>
      <c r="J25" s="17">
        <v>-2277450</v>
      </c>
      <c r="K25" s="17" t="s">
        <v>7</v>
      </c>
      <c r="L25" s="17" t="s">
        <v>111</v>
      </c>
      <c r="M25" s="17" t="s">
        <v>64</v>
      </c>
      <c r="N25" s="17">
        <v>15000</v>
      </c>
      <c r="O25" s="17">
        <v>4035</v>
      </c>
      <c r="P25" s="17">
        <v>0.18</v>
      </c>
      <c r="Q25" s="17" t="s">
        <v>168</v>
      </c>
      <c r="R25" s="17" t="s">
        <v>169</v>
      </c>
      <c r="S25" s="17" t="s">
        <v>170</v>
      </c>
      <c r="T25" s="17" t="s">
        <v>171</v>
      </c>
      <c r="U25" s="17" t="s">
        <v>172</v>
      </c>
      <c r="V25" s="17" t="s">
        <v>173</v>
      </c>
      <c r="W25" s="17" t="s">
        <v>174</v>
      </c>
      <c r="X25" s="17" t="s">
        <v>175</v>
      </c>
      <c r="Y25" s="17" t="s">
        <v>176</v>
      </c>
      <c r="Z25" s="17" t="s">
        <v>177</v>
      </c>
      <c r="AA25" s="17" t="s">
        <v>178</v>
      </c>
      <c r="AB25" s="17" t="s">
        <v>179</v>
      </c>
      <c r="AC25" s="17" t="s">
        <v>180</v>
      </c>
      <c r="AD25" s="17">
        <v>0.255</v>
      </c>
      <c r="AE25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0.23301204819277108</v>
      </c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2:44">
      <c r="B26" s="17" t="s">
        <v>6</v>
      </c>
      <c r="C26" s="17" t="s">
        <v>129</v>
      </c>
      <c r="D26" s="17" t="s">
        <v>256</v>
      </c>
      <c r="E26" s="17">
        <v>100</v>
      </c>
      <c r="F26" s="17">
        <v>50000.000004000001</v>
      </c>
      <c r="G26" s="15">
        <v>43123</v>
      </c>
      <c r="H26" s="15">
        <v>43183.625</v>
      </c>
      <c r="I26" s="15">
        <v>43123</v>
      </c>
      <c r="J26" s="17">
        <v>-50000.004000000001</v>
      </c>
      <c r="K26" s="17" t="s">
        <v>7</v>
      </c>
      <c r="L26" s="17" t="s">
        <v>8</v>
      </c>
      <c r="M26" s="17" t="s">
        <v>1</v>
      </c>
      <c r="N26" s="17">
        <v>500</v>
      </c>
      <c r="O26" s="17">
        <v>53560</v>
      </c>
      <c r="P26" s="17">
        <v>0.14000000000000001</v>
      </c>
      <c r="Q26" s="17" t="s">
        <v>168</v>
      </c>
      <c r="R26" s="17" t="s">
        <v>241</v>
      </c>
      <c r="S26" s="17" t="s">
        <v>242</v>
      </c>
      <c r="T26" s="17" t="s">
        <v>243</v>
      </c>
      <c r="U26" s="17" t="s">
        <v>244</v>
      </c>
      <c r="V26" s="17" t="s">
        <v>245</v>
      </c>
      <c r="W26" s="17" t="s">
        <v>246</v>
      </c>
      <c r="X26" s="17" t="s">
        <v>247</v>
      </c>
      <c r="Y26" s="17" t="s">
        <v>248</v>
      </c>
      <c r="Z26" s="17" t="s">
        <v>249</v>
      </c>
      <c r="AA26" s="17" t="s">
        <v>250</v>
      </c>
      <c r="AB26" s="17" t="s">
        <v>251</v>
      </c>
      <c r="AC26" s="17" t="s">
        <v>252</v>
      </c>
      <c r="AD26" s="17">
        <v>0.12</v>
      </c>
      <c r="AE26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0.12845360824742269</v>
      </c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2:44">
      <c r="B27" s="17" t="s">
        <v>166</v>
      </c>
      <c r="C27" s="17" t="s">
        <v>118</v>
      </c>
      <c r="D27" s="17" t="s">
        <v>256</v>
      </c>
      <c r="E27" s="17">
        <v>1000</v>
      </c>
      <c r="F27" s="17">
        <v>3929.9999985759996</v>
      </c>
      <c r="G27" s="15">
        <v>43154</v>
      </c>
      <c r="H27" s="15">
        <v>43182.625</v>
      </c>
      <c r="I27" s="15">
        <v>43154</v>
      </c>
      <c r="J27" s="17">
        <v>-271800</v>
      </c>
      <c r="K27" s="17" t="s">
        <v>45</v>
      </c>
      <c r="L27" s="17" t="s">
        <v>111</v>
      </c>
      <c r="M27" s="17" t="s">
        <v>64</v>
      </c>
      <c r="N27" s="17">
        <v>10000</v>
      </c>
      <c r="O27" s="17">
        <v>4035</v>
      </c>
      <c r="P27" s="17">
        <v>0.18</v>
      </c>
      <c r="Q27" s="17" t="s">
        <v>168</v>
      </c>
      <c r="R27" s="17" t="s">
        <v>169</v>
      </c>
      <c r="S27" s="17" t="s">
        <v>170</v>
      </c>
      <c r="T27" s="17" t="s">
        <v>171</v>
      </c>
      <c r="U27" s="17" t="s">
        <v>172</v>
      </c>
      <c r="V27" s="17" t="s">
        <v>173</v>
      </c>
      <c r="W27" s="17" t="s">
        <v>174</v>
      </c>
      <c r="X27" s="17" t="s">
        <v>175</v>
      </c>
      <c r="Y27" s="17" t="s">
        <v>176</v>
      </c>
      <c r="Z27" s="17" t="s">
        <v>177</v>
      </c>
      <c r="AA27" s="17" t="s">
        <v>178</v>
      </c>
      <c r="AB27" s="17" t="s">
        <v>179</v>
      </c>
      <c r="AC27" s="17" t="s">
        <v>180</v>
      </c>
      <c r="AD27" s="17">
        <v>0.13500000000000001</v>
      </c>
      <c r="AE2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0.1737117903930131</v>
      </c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2:44">
      <c r="B28" s="17" t="s">
        <v>167</v>
      </c>
      <c r="C28" s="17" t="s">
        <v>118</v>
      </c>
      <c r="D28" s="17" t="s">
        <v>256</v>
      </c>
      <c r="E28" s="17">
        <v>1000</v>
      </c>
      <c r="F28" s="17">
        <v>3799.999998368</v>
      </c>
      <c r="G28" s="15">
        <v>43154</v>
      </c>
      <c r="H28" s="15">
        <v>43182.625</v>
      </c>
      <c r="I28" s="15">
        <v>43154</v>
      </c>
      <c r="J28" s="17">
        <v>-388800</v>
      </c>
      <c r="K28" s="17" t="s">
        <v>7</v>
      </c>
      <c r="L28" s="17" t="s">
        <v>111</v>
      </c>
      <c r="M28" s="17" t="s">
        <v>64</v>
      </c>
      <c r="N28" s="17">
        <v>10000</v>
      </c>
      <c r="O28" s="17">
        <v>4035</v>
      </c>
      <c r="P28" s="17">
        <v>0.18</v>
      </c>
      <c r="Q28" s="17" t="s">
        <v>168</v>
      </c>
      <c r="R28" s="17" t="s">
        <v>169</v>
      </c>
      <c r="S28" s="17" t="s">
        <v>170</v>
      </c>
      <c r="T28" s="17" t="s">
        <v>171</v>
      </c>
      <c r="U28" s="17" t="s">
        <v>172</v>
      </c>
      <c r="V28" s="17" t="s">
        <v>173</v>
      </c>
      <c r="W28" s="17" t="s">
        <v>174</v>
      </c>
      <c r="X28" s="17" t="s">
        <v>175</v>
      </c>
      <c r="Y28" s="17" t="s">
        <v>176</v>
      </c>
      <c r="Z28" s="17" t="s">
        <v>177</v>
      </c>
      <c r="AA28" s="17" t="s">
        <v>178</v>
      </c>
      <c r="AB28" s="17" t="s">
        <v>179</v>
      </c>
      <c r="AC28" s="17" t="s">
        <v>180</v>
      </c>
      <c r="AD28" s="17">
        <v>0.13500000000000001</v>
      </c>
      <c r="AE2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0.1737117903930131</v>
      </c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0"/>
  <sheetViews>
    <sheetView topLeftCell="A4" workbookViewId="0">
      <selection activeCell="E23" sqref="E23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4</v>
      </c>
      <c r="C8" s="1" t="s">
        <v>75</v>
      </c>
      <c r="D8" s="1" t="s">
        <v>76</v>
      </c>
      <c r="E8" s="2" t="s">
        <v>77</v>
      </c>
      <c r="F8" s="1" t="s">
        <v>78</v>
      </c>
      <c r="G8" s="1" t="s">
        <v>79</v>
      </c>
      <c r="H8" s="1" t="s">
        <v>80</v>
      </c>
      <c r="I8" s="1" t="s">
        <v>81</v>
      </c>
      <c r="J8" s="1" t="s">
        <v>82</v>
      </c>
      <c r="K8" s="1" t="s">
        <v>255</v>
      </c>
      <c r="L8" s="1" t="s">
        <v>5</v>
      </c>
      <c r="M8" s="1" t="s">
        <v>83</v>
      </c>
      <c r="N8" s="6" t="s">
        <v>93</v>
      </c>
    </row>
    <row r="9" spans="2:14">
      <c r="B9" s="3" t="s">
        <v>68</v>
      </c>
      <c r="C9" s="3">
        <v>500</v>
      </c>
      <c r="D9" s="4">
        <v>43140</v>
      </c>
      <c r="E9" s="4">
        <v>43219.625</v>
      </c>
      <c r="F9" s="4">
        <v>43219</v>
      </c>
      <c r="G9" s="4">
        <v>43140</v>
      </c>
      <c r="H9" s="12">
        <v>3699.9999992799999</v>
      </c>
      <c r="I9" s="12">
        <v>-275000.00800000003</v>
      </c>
      <c r="J9" s="3" t="s">
        <v>7</v>
      </c>
      <c r="K9" s="5" t="s">
        <v>96</v>
      </c>
      <c r="L9" s="3" t="s">
        <v>66</v>
      </c>
      <c r="M9" s="3" t="s">
        <v>112</v>
      </c>
      <c r="N9" s="6">
        <v>0.125</v>
      </c>
    </row>
    <row r="10" spans="2:14">
      <c r="B10" s="3" t="s">
        <v>69</v>
      </c>
      <c r="C10" s="3">
        <v>1000</v>
      </c>
      <c r="D10" s="4">
        <v>43140</v>
      </c>
      <c r="E10" s="4">
        <v>43205.625</v>
      </c>
      <c r="F10" s="4">
        <v>43205</v>
      </c>
      <c r="G10" s="4">
        <v>43140</v>
      </c>
      <c r="H10" s="12">
        <v>3720.0000015999999</v>
      </c>
      <c r="I10" s="12">
        <v>-499999.99575</v>
      </c>
      <c r="J10" s="3" t="s">
        <v>7</v>
      </c>
      <c r="K10" s="6" t="s">
        <v>96</v>
      </c>
      <c r="L10" s="3" t="s">
        <v>66</v>
      </c>
      <c r="M10" s="3" t="s">
        <v>113</v>
      </c>
      <c r="N10" s="6">
        <v>0.125</v>
      </c>
    </row>
    <row r="11" spans="2:14">
      <c r="B11" s="5" t="s">
        <v>97</v>
      </c>
      <c r="C11" s="5">
        <v>100</v>
      </c>
      <c r="D11" s="4">
        <v>43139</v>
      </c>
      <c r="E11" s="4">
        <v>43201.625</v>
      </c>
      <c r="F11" s="4">
        <v>43201</v>
      </c>
      <c r="G11" s="4">
        <v>43139</v>
      </c>
      <c r="H11" s="3">
        <v>524</v>
      </c>
      <c r="I11" s="3">
        <v>-235800</v>
      </c>
      <c r="J11" s="3" t="s">
        <v>7</v>
      </c>
      <c r="K11" s="6" t="s">
        <v>96</v>
      </c>
      <c r="L11" s="3" t="s">
        <v>108</v>
      </c>
      <c r="M11" s="3" t="s">
        <v>114</v>
      </c>
      <c r="N11" s="6">
        <v>0.125</v>
      </c>
    </row>
    <row r="12" spans="2:14">
      <c r="B12" s="5" t="s">
        <v>98</v>
      </c>
      <c r="C12" s="5">
        <v>100</v>
      </c>
      <c r="D12" s="4">
        <v>43139</v>
      </c>
      <c r="E12" s="4">
        <v>43201.625</v>
      </c>
      <c r="F12" s="4">
        <v>43201</v>
      </c>
      <c r="G12" s="4">
        <v>43139</v>
      </c>
      <c r="H12" s="3">
        <v>524</v>
      </c>
      <c r="I12" s="3">
        <v>-235800</v>
      </c>
      <c r="J12" s="3" t="s">
        <v>45</v>
      </c>
      <c r="K12" s="6" t="s">
        <v>96</v>
      </c>
      <c r="L12" s="3" t="s">
        <v>108</v>
      </c>
      <c r="M12" s="3" t="s">
        <v>114</v>
      </c>
      <c r="N12" s="6">
        <v>0.125</v>
      </c>
    </row>
    <row r="13" spans="2:14">
      <c r="B13" s="5" t="s">
        <v>70</v>
      </c>
      <c r="C13" s="5">
        <v>1000</v>
      </c>
      <c r="D13" s="4">
        <v>43132</v>
      </c>
      <c r="E13" s="4">
        <v>43205.625</v>
      </c>
      <c r="F13" s="4">
        <v>43205</v>
      </c>
      <c r="G13" s="4">
        <v>43132</v>
      </c>
      <c r="H13" s="3">
        <v>3650.00000142</v>
      </c>
      <c r="I13" s="3">
        <v>-429999.99489999999</v>
      </c>
      <c r="J13" s="3" t="s">
        <v>7</v>
      </c>
      <c r="K13" s="6" t="s">
        <v>96</v>
      </c>
      <c r="L13" s="3" t="s">
        <v>66</v>
      </c>
      <c r="M13" s="3" t="s">
        <v>113</v>
      </c>
      <c r="N13" s="6">
        <v>0.125</v>
      </c>
    </row>
    <row r="14" spans="2:14">
      <c r="B14" s="5" t="s">
        <v>71</v>
      </c>
      <c r="C14" s="5">
        <v>1000</v>
      </c>
      <c r="D14" s="4">
        <v>43129</v>
      </c>
      <c r="E14" s="4">
        <v>43189.625</v>
      </c>
      <c r="F14" s="4">
        <v>43189</v>
      </c>
      <c r="G14" s="4">
        <v>43129</v>
      </c>
      <c r="H14" s="6">
        <v>3650.0000014560001</v>
      </c>
      <c r="I14" s="6">
        <v>-470000.00880000001</v>
      </c>
      <c r="J14" s="6" t="s">
        <v>7</v>
      </c>
      <c r="K14" s="5" t="s">
        <v>96</v>
      </c>
      <c r="L14" s="6" t="s">
        <v>66</v>
      </c>
      <c r="M14" s="3" t="s">
        <v>113</v>
      </c>
      <c r="N14" s="6">
        <v>0.125</v>
      </c>
    </row>
    <row r="15" spans="2:14">
      <c r="B15" s="5" t="s">
        <v>9</v>
      </c>
      <c r="C15" s="5">
        <v>400</v>
      </c>
      <c r="D15" s="4">
        <v>43118</v>
      </c>
      <c r="E15" s="4">
        <v>43200.625</v>
      </c>
      <c r="F15" s="4">
        <v>43202</v>
      </c>
      <c r="G15" s="4">
        <v>43118</v>
      </c>
      <c r="H15" s="6">
        <v>14500.000004</v>
      </c>
      <c r="I15" s="6">
        <v>-400000</v>
      </c>
      <c r="J15" s="6" t="s">
        <v>7</v>
      </c>
      <c r="K15" s="6" t="s">
        <v>96</v>
      </c>
      <c r="L15" s="6" t="s">
        <v>10</v>
      </c>
      <c r="M15" s="3" t="s">
        <v>115</v>
      </c>
      <c r="N15" s="6">
        <v>0.12</v>
      </c>
    </row>
    <row r="16" spans="2:14">
      <c r="B16" s="5" t="s">
        <v>72</v>
      </c>
      <c r="C16" s="5">
        <v>500</v>
      </c>
      <c r="D16" s="4">
        <v>43104</v>
      </c>
      <c r="E16" s="4">
        <v>43167.625</v>
      </c>
      <c r="F16" s="4">
        <v>43167</v>
      </c>
      <c r="G16" s="4">
        <v>43104</v>
      </c>
      <c r="H16" s="6">
        <v>3550.00000086</v>
      </c>
      <c r="I16" s="6">
        <v>-315000.00594</v>
      </c>
      <c r="J16" s="6" t="s">
        <v>7</v>
      </c>
      <c r="K16" s="6" t="s">
        <v>96</v>
      </c>
      <c r="L16" s="6" t="s">
        <v>66</v>
      </c>
      <c r="M16" s="3" t="s">
        <v>113</v>
      </c>
      <c r="N16" s="6">
        <v>0.125</v>
      </c>
    </row>
    <row r="17" spans="2:14">
      <c r="B17" s="5" t="s">
        <v>43</v>
      </c>
      <c r="C17" s="5">
        <v>125</v>
      </c>
      <c r="D17" s="4">
        <v>43098</v>
      </c>
      <c r="E17" s="4">
        <v>43159.625</v>
      </c>
      <c r="F17" s="4">
        <v>43279</v>
      </c>
      <c r="G17" s="4">
        <v>43098</v>
      </c>
      <c r="H17" s="6">
        <v>10039.999997630001</v>
      </c>
      <c r="I17" s="6">
        <v>0</v>
      </c>
      <c r="J17" s="6" t="s">
        <v>45</v>
      </c>
      <c r="K17" s="6" t="s">
        <v>96</v>
      </c>
      <c r="L17" s="6" t="s">
        <v>46</v>
      </c>
      <c r="M17" s="3" t="s">
        <v>116</v>
      </c>
    </row>
    <row r="18" spans="2:14">
      <c r="B18" s="5" t="s">
        <v>44</v>
      </c>
      <c r="C18" s="5">
        <v>-125</v>
      </c>
      <c r="D18" s="4">
        <v>43098</v>
      </c>
      <c r="E18" s="4">
        <v>43159.625</v>
      </c>
      <c r="F18" s="4">
        <v>43279</v>
      </c>
      <c r="G18" s="4">
        <v>43098</v>
      </c>
      <c r="H18" s="6">
        <v>9500.0000023699995</v>
      </c>
      <c r="I18" s="6">
        <v>9375</v>
      </c>
      <c r="J18" s="6" t="s">
        <v>7</v>
      </c>
      <c r="K18" s="6" t="s">
        <v>96</v>
      </c>
      <c r="L18" s="6" t="s">
        <v>46</v>
      </c>
      <c r="M18" s="3" t="s">
        <v>116</v>
      </c>
    </row>
    <row r="19" spans="2:14">
      <c r="B19" s="5" t="s">
        <v>99</v>
      </c>
      <c r="C19" s="5">
        <v>-50</v>
      </c>
      <c r="D19" s="4">
        <v>43077</v>
      </c>
      <c r="E19" s="4">
        <v>43189.625</v>
      </c>
      <c r="F19" s="4">
        <v>43194</v>
      </c>
      <c r="G19" s="4">
        <v>43076</v>
      </c>
      <c r="H19" s="6">
        <v>1258</v>
      </c>
      <c r="I19" s="6">
        <v>297000</v>
      </c>
      <c r="J19" s="6" t="s">
        <v>7</v>
      </c>
      <c r="K19" s="5" t="s">
        <v>96</v>
      </c>
      <c r="L19" s="6" t="s">
        <v>109</v>
      </c>
      <c r="M19" s="3" t="s">
        <v>117</v>
      </c>
    </row>
    <row r="20" spans="2:14">
      <c r="B20" s="5" t="s">
        <v>100</v>
      </c>
      <c r="C20" s="5">
        <v>-50</v>
      </c>
      <c r="D20" s="4">
        <v>43077</v>
      </c>
      <c r="E20" s="4">
        <v>43189.625</v>
      </c>
      <c r="F20" s="4">
        <v>43194</v>
      </c>
      <c r="G20" s="4">
        <v>43076</v>
      </c>
      <c r="H20" s="6">
        <v>1258</v>
      </c>
      <c r="I20" s="6">
        <v>297000</v>
      </c>
      <c r="J20" s="6" t="s">
        <v>45</v>
      </c>
      <c r="K20" s="6" t="s">
        <v>96</v>
      </c>
      <c r="L20" s="6" t="s">
        <v>109</v>
      </c>
      <c r="M20" s="3" t="s">
        <v>117</v>
      </c>
    </row>
    <row r="21" spans="2:14">
      <c r="B21" s="5" t="s">
        <v>101</v>
      </c>
      <c r="C21" s="5">
        <v>2000</v>
      </c>
      <c r="D21" s="4">
        <v>43067</v>
      </c>
      <c r="E21" s="4">
        <v>43189.625</v>
      </c>
      <c r="F21" s="4">
        <v>43189</v>
      </c>
      <c r="G21" s="4">
        <v>43067</v>
      </c>
      <c r="H21" s="6">
        <v>1199.9999998999999</v>
      </c>
      <c r="I21" s="6">
        <v>-5999999.9280000003</v>
      </c>
      <c r="J21" s="6" t="s">
        <v>7</v>
      </c>
      <c r="K21" s="6" t="s">
        <v>96</v>
      </c>
      <c r="L21" s="6" t="s">
        <v>109</v>
      </c>
      <c r="M21" s="3" t="s">
        <v>118</v>
      </c>
      <c r="N21" s="6">
        <v>0.32</v>
      </c>
    </row>
    <row r="22" spans="2:14">
      <c r="B22" s="5" t="s">
        <v>102</v>
      </c>
      <c r="C22" s="5">
        <v>300</v>
      </c>
      <c r="D22" s="4">
        <v>43054</v>
      </c>
      <c r="E22" s="4">
        <v>43189.625</v>
      </c>
      <c r="F22" s="4">
        <v>43190</v>
      </c>
      <c r="G22" s="4">
        <v>43054</v>
      </c>
      <c r="H22" s="6">
        <v>13000.000006799999</v>
      </c>
      <c r="I22" s="6">
        <v>-1791000.0179999999</v>
      </c>
      <c r="J22" s="6" t="s">
        <v>7</v>
      </c>
      <c r="K22" s="6" t="s">
        <v>96</v>
      </c>
      <c r="L22" s="6" t="s">
        <v>110</v>
      </c>
      <c r="M22" s="3" t="s">
        <v>118</v>
      </c>
      <c r="N22" s="6">
        <v>0.26</v>
      </c>
    </row>
    <row r="23" spans="2:14">
      <c r="B23" s="5" t="s">
        <v>103</v>
      </c>
      <c r="C23" s="5">
        <v>-500</v>
      </c>
      <c r="D23" s="4">
        <v>43048</v>
      </c>
      <c r="E23" s="4">
        <v>43203.625</v>
      </c>
      <c r="F23" s="4">
        <v>43203</v>
      </c>
      <c r="G23" s="4">
        <v>43048</v>
      </c>
      <c r="H23" s="6">
        <v>3599.9999997999998</v>
      </c>
      <c r="I23" s="6">
        <v>931199.99399999995</v>
      </c>
      <c r="J23" s="6" t="s">
        <v>7</v>
      </c>
      <c r="K23" s="6" t="s">
        <v>96</v>
      </c>
      <c r="L23" s="6" t="s">
        <v>111</v>
      </c>
      <c r="M23" s="3" t="s">
        <v>117</v>
      </c>
    </row>
    <row r="24" spans="2:14">
      <c r="B24" s="5" t="s">
        <v>104</v>
      </c>
      <c r="C24" s="5">
        <v>-500</v>
      </c>
      <c r="D24" s="4">
        <v>43048</v>
      </c>
      <c r="E24" s="4">
        <v>43203.625</v>
      </c>
      <c r="F24" s="4">
        <v>43203</v>
      </c>
      <c r="G24" s="4">
        <v>43048</v>
      </c>
      <c r="H24" s="6">
        <v>4000.0000002000002</v>
      </c>
      <c r="I24" s="6">
        <v>1122200.0019999999</v>
      </c>
      <c r="J24" s="6" t="s">
        <v>45</v>
      </c>
      <c r="K24" s="5" t="s">
        <v>96</v>
      </c>
      <c r="L24" s="6" t="s">
        <v>111</v>
      </c>
      <c r="M24" s="3" t="s">
        <v>117</v>
      </c>
    </row>
    <row r="25" spans="2:14">
      <c r="B25" s="5" t="s">
        <v>105</v>
      </c>
      <c r="C25" s="5">
        <v>500</v>
      </c>
      <c r="D25" s="4">
        <v>43048</v>
      </c>
      <c r="E25" s="4">
        <v>43203.625</v>
      </c>
      <c r="F25" s="4">
        <v>43203</v>
      </c>
      <c r="G25" s="4">
        <v>43048</v>
      </c>
      <c r="H25" s="6">
        <v>450</v>
      </c>
      <c r="I25" s="6">
        <v>-760500</v>
      </c>
      <c r="J25" s="6" t="s">
        <v>7</v>
      </c>
      <c r="K25" s="6" t="s">
        <v>96</v>
      </c>
      <c r="L25" s="6" t="s">
        <v>108</v>
      </c>
      <c r="M25" s="3" t="s">
        <v>118</v>
      </c>
      <c r="N25" s="6">
        <v>0.27</v>
      </c>
    </row>
    <row r="26" spans="2:14">
      <c r="B26" s="5" t="s">
        <v>106</v>
      </c>
      <c r="C26" s="5">
        <v>1500</v>
      </c>
      <c r="D26" s="4">
        <v>43048</v>
      </c>
      <c r="E26" s="4">
        <v>43203.625</v>
      </c>
      <c r="F26" s="4">
        <v>43203</v>
      </c>
      <c r="G26" s="4">
        <v>43048</v>
      </c>
      <c r="H26" s="6">
        <v>4000</v>
      </c>
      <c r="I26" s="6">
        <v>-2317950</v>
      </c>
      <c r="J26" s="6" t="s">
        <v>45</v>
      </c>
      <c r="K26" s="6" t="s">
        <v>96</v>
      </c>
      <c r="L26" s="6" t="s">
        <v>111</v>
      </c>
      <c r="M26" s="3" t="s">
        <v>118</v>
      </c>
      <c r="N26" s="6">
        <v>0.255</v>
      </c>
    </row>
    <row r="27" spans="2:14">
      <c r="B27" s="5" t="s">
        <v>107</v>
      </c>
      <c r="C27" s="5">
        <v>1500</v>
      </c>
      <c r="D27" s="4">
        <v>43048</v>
      </c>
      <c r="E27" s="4">
        <v>43203.625</v>
      </c>
      <c r="F27" s="4">
        <v>43203</v>
      </c>
      <c r="G27" s="4">
        <v>43048</v>
      </c>
      <c r="H27" s="6">
        <v>3600</v>
      </c>
      <c r="I27" s="6">
        <v>-2277450</v>
      </c>
      <c r="J27" s="6" t="s">
        <v>7</v>
      </c>
      <c r="K27" s="6" t="s">
        <v>96</v>
      </c>
      <c r="L27" s="6" t="s">
        <v>111</v>
      </c>
      <c r="M27" s="3" t="s">
        <v>119</v>
      </c>
      <c r="N27" s="6">
        <v>0.255</v>
      </c>
    </row>
    <row r="28" spans="2:14">
      <c r="B28" s="5" t="s">
        <v>6</v>
      </c>
      <c r="C28" s="5">
        <v>100</v>
      </c>
      <c r="D28" s="4">
        <v>43123</v>
      </c>
      <c r="E28" s="4">
        <v>43183.625</v>
      </c>
      <c r="F28" s="4">
        <v>43183</v>
      </c>
      <c r="G28" s="4">
        <v>43123</v>
      </c>
      <c r="H28" s="5">
        <v>50000.000004000001</v>
      </c>
      <c r="I28" s="3">
        <v>-50000.004000000001</v>
      </c>
      <c r="J28" s="3" t="s">
        <v>7</v>
      </c>
      <c r="K28" s="3" t="s">
        <v>96</v>
      </c>
      <c r="L28" s="3" t="s">
        <v>8</v>
      </c>
      <c r="M28" s="3" t="s">
        <v>129</v>
      </c>
      <c r="N28" s="6">
        <v>0.12</v>
      </c>
    </row>
    <row r="29" spans="2:14">
      <c r="B29" s="5" t="s">
        <v>166</v>
      </c>
      <c r="C29" s="5">
        <v>1000</v>
      </c>
      <c r="D29" s="4">
        <v>43154</v>
      </c>
      <c r="E29" s="4">
        <v>43182.625</v>
      </c>
      <c r="F29" s="4">
        <v>43184</v>
      </c>
      <c r="G29" s="4">
        <v>43154</v>
      </c>
      <c r="H29" s="24">
        <v>3929.9999985759996</v>
      </c>
      <c r="I29" s="12">
        <v>-271800</v>
      </c>
      <c r="J29" s="3" t="s">
        <v>45</v>
      </c>
      <c r="K29" s="3" t="s">
        <v>253</v>
      </c>
      <c r="L29" s="3" t="s">
        <v>111</v>
      </c>
      <c r="M29" s="3" t="s">
        <v>118</v>
      </c>
      <c r="N29" s="6">
        <v>0.13500000000000001</v>
      </c>
    </row>
    <row r="30" spans="2:14">
      <c r="B30" s="5" t="s">
        <v>167</v>
      </c>
      <c r="C30" s="5">
        <v>1000</v>
      </c>
      <c r="D30" s="4">
        <v>43154</v>
      </c>
      <c r="E30" s="4">
        <v>43182.625</v>
      </c>
      <c r="F30" s="4">
        <v>43184</v>
      </c>
      <c r="G30" s="4">
        <v>43154</v>
      </c>
      <c r="H30" s="24">
        <v>3799.999998368</v>
      </c>
      <c r="I30" s="12">
        <v>-388800</v>
      </c>
      <c r="J30" s="3" t="s">
        <v>7</v>
      </c>
      <c r="K30" s="3" t="s">
        <v>253</v>
      </c>
      <c r="L30" s="3" t="s">
        <v>111</v>
      </c>
      <c r="M30" s="3" t="s">
        <v>118</v>
      </c>
      <c r="N30" s="6">
        <v>0.13500000000000001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5"/>
  <sheetViews>
    <sheetView workbookViewId="0">
      <selection activeCell="I21" sqref="I21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9.25" style="6" customWidth="1"/>
    <col min="9" max="9" width="17" style="6" customWidth="1"/>
    <col min="10" max="16384" width="9" style="6"/>
  </cols>
  <sheetData>
    <row r="5" spans="2:9">
      <c r="B5" s="25" t="s">
        <v>19</v>
      </c>
      <c r="C5" s="25"/>
      <c r="D5" s="25"/>
      <c r="E5" s="25"/>
      <c r="F5" s="25"/>
      <c r="G5" s="25"/>
      <c r="H5" s="25"/>
    </row>
    <row r="6" spans="2:9">
      <c r="B6" s="6" t="s">
        <v>18</v>
      </c>
      <c r="C6" s="6" t="s">
        <v>86</v>
      </c>
      <c r="D6" s="6" t="s">
        <v>40</v>
      </c>
      <c r="E6" s="6" t="s">
        <v>88</v>
      </c>
      <c r="F6" s="6" t="s">
        <v>73</v>
      </c>
      <c r="G6" s="6" t="s">
        <v>0</v>
      </c>
      <c r="H6" s="6" t="s">
        <v>17</v>
      </c>
      <c r="I6" s="6" t="s">
        <v>87</v>
      </c>
    </row>
    <row r="7" spans="2:9">
      <c r="B7" s="6" t="s">
        <v>42</v>
      </c>
      <c r="C7" s="6" t="s">
        <v>2</v>
      </c>
      <c r="D7" s="6" t="s">
        <v>41</v>
      </c>
      <c r="E7" s="6" t="str">
        <f>tbl_ticker[[#This Row],[ticker]]&amp;"."&amp;tbl_ticker[[#This Row],[exchange]]</f>
        <v>cu1805.shf</v>
      </c>
      <c r="F7" s="6">
        <v>5</v>
      </c>
      <c r="G7" s="6">
        <v>0.14000000000000001</v>
      </c>
      <c r="H7" s="6">
        <v>0</v>
      </c>
      <c r="I7" s="9">
        <f>RTD("wdf.rtq",,tbl_ticker[[#This Row],[w_ticker]],"LastPrice")</f>
        <v>53560</v>
      </c>
    </row>
    <row r="8" spans="2:9">
      <c r="B8" s="6" t="s">
        <v>34</v>
      </c>
      <c r="C8" s="6" t="s">
        <v>13</v>
      </c>
      <c r="D8" s="6" t="s">
        <v>41</v>
      </c>
      <c r="E8" s="6" t="str">
        <f>tbl_ticker[[#This Row],[ticker]]&amp;"."&amp;tbl_ticker[[#This Row],[exchange]]</f>
        <v>al1805.shf</v>
      </c>
      <c r="F8" s="6">
        <v>5</v>
      </c>
      <c r="G8" s="6">
        <v>0.14000000000000001</v>
      </c>
      <c r="H8" s="6">
        <v>0</v>
      </c>
      <c r="I8" s="9">
        <f>RTD("wdf.rtq",,tbl_ticker[[#This Row],[w_ticker]],"LastPrice")</f>
        <v>14370</v>
      </c>
    </row>
    <row r="9" spans="2:9">
      <c r="B9" s="6" t="s">
        <v>35</v>
      </c>
      <c r="C9" s="6" t="s">
        <v>3</v>
      </c>
      <c r="D9" s="6" t="s">
        <v>41</v>
      </c>
      <c r="E9" s="6" t="str">
        <f>tbl_ticker[[#This Row],[ticker]]&amp;"."&amp;tbl_ticker[[#This Row],[exchange]]</f>
        <v>ag1806.shf</v>
      </c>
      <c r="F9" s="6">
        <v>15</v>
      </c>
      <c r="G9" s="6">
        <v>0.11</v>
      </c>
      <c r="H9" s="6">
        <v>0</v>
      </c>
      <c r="I9" s="9">
        <f>RTD("wdf.rtq",,tbl_ticker[[#This Row],[w_ticker]],"LastPrice")</f>
        <v>3719</v>
      </c>
    </row>
    <row r="10" spans="2:9">
      <c r="B10" s="6" t="s">
        <v>50</v>
      </c>
      <c r="C10" s="6" t="s">
        <v>48</v>
      </c>
      <c r="D10" s="6" t="s">
        <v>49</v>
      </c>
      <c r="E10" s="7" t="str">
        <f>tbl_ticker[[#This Row],[ticker]]&amp;"."&amp;tbl_ticker[[#This Row],[exchange]]</f>
        <v>l1805.dce</v>
      </c>
      <c r="F10" s="7">
        <v>5</v>
      </c>
      <c r="G10" s="6">
        <v>0.19</v>
      </c>
      <c r="H10" s="6">
        <v>0</v>
      </c>
      <c r="I10" s="9">
        <f>RTD("wdf.rtq",,tbl_ticker[[#This Row],[w_ticker]],"LastPrice")</f>
        <v>9485</v>
      </c>
    </row>
    <row r="11" spans="2:9">
      <c r="B11" s="6" t="s">
        <v>67</v>
      </c>
      <c r="C11" s="6" t="s">
        <v>65</v>
      </c>
      <c r="D11" s="6" t="s">
        <v>41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f>RTD("wdf.rtq",,tbl_ticker[[#This Row],[w_ticker]],"LastPrice")</f>
        <v>3883</v>
      </c>
    </row>
    <row r="12" spans="2:9">
      <c r="B12" s="6" t="s">
        <v>130</v>
      </c>
      <c r="C12" s="6" t="s">
        <v>131</v>
      </c>
      <c r="D12" s="6" t="s">
        <v>128</v>
      </c>
      <c r="E12" s="7" t="str">
        <f>tbl_ticker[[#This Row],[ticker]]&amp;"."&amp;tbl_ticker[[#This Row],[exchange]]</f>
        <v>rb1805.shf</v>
      </c>
      <c r="F12" s="7">
        <v>10</v>
      </c>
      <c r="G12" s="6">
        <v>0.18</v>
      </c>
      <c r="H12" s="6">
        <v>0</v>
      </c>
      <c r="I12" s="9">
        <f>RTD("wdf.rtq",,tbl_ticker[[#This Row],[w_ticker]],"LastPrice")</f>
        <v>4035</v>
      </c>
    </row>
    <row r="13" spans="2:9">
      <c r="B13" s="6" t="s">
        <v>127</v>
      </c>
      <c r="C13" s="6" t="s">
        <v>89</v>
      </c>
      <c r="D13" s="6" t="s">
        <v>90</v>
      </c>
      <c r="E13" s="7" t="str">
        <f>tbl_ticker[[#This Row],[ticker]]&amp;"."&amp;tbl_ticker[[#This Row],[exchange]]</f>
        <v>i1805.dce</v>
      </c>
      <c r="F13" s="7">
        <v>100</v>
      </c>
      <c r="G13" s="6">
        <v>0.36</v>
      </c>
      <c r="H13" s="6">
        <v>0</v>
      </c>
      <c r="I13" s="9">
        <f>RTD("wdf.rtq",,tbl_ticker[[#This Row],[w_ticker]],"LastPrice")</f>
        <v>546.5</v>
      </c>
    </row>
    <row r="14" spans="2:9">
      <c r="B14" s="6" t="s">
        <v>120</v>
      </c>
      <c r="C14" s="6" t="s">
        <v>123</v>
      </c>
      <c r="D14" s="6" t="s">
        <v>128</v>
      </c>
      <c r="E14" s="7" t="str">
        <f>tbl_ticker[[#This Row],[ticker]]&amp;"."&amp;tbl_ticker[[#This Row],[exchange]]</f>
        <v>ru1805.shf</v>
      </c>
      <c r="F14" s="6">
        <v>10</v>
      </c>
      <c r="G14" s="6">
        <v>0.36</v>
      </c>
      <c r="H14" s="6">
        <v>0</v>
      </c>
      <c r="I14" s="9">
        <f>RTD("wdf.rtq",,tbl_ticker[[#This Row],[w_ticker]],"LastPrice")</f>
        <v>12885</v>
      </c>
    </row>
    <row r="15" spans="2:9">
      <c r="B15" s="6" t="s">
        <v>121</v>
      </c>
      <c r="C15" s="6" t="s">
        <v>125</v>
      </c>
      <c r="D15" s="6" t="s">
        <v>126</v>
      </c>
      <c r="E15" s="7" t="str">
        <f>tbl_ticker[[#This Row],[ticker]]&amp;"."&amp;tbl_ticker[[#This Row],[exchange]]</f>
        <v>jm1805.dce</v>
      </c>
      <c r="F15" s="6">
        <v>60</v>
      </c>
      <c r="G15" s="6">
        <v>0.36</v>
      </c>
      <c r="H15" s="6">
        <v>0</v>
      </c>
      <c r="I15" s="9">
        <f>RTD("wdf.rtq",,tbl_ticker[[#This Row],[w_ticker]],"LastPrice")</f>
        <v>1428.5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I57"/>
  <sheetViews>
    <sheetView workbookViewId="0">
      <selection activeCell="J32" sqref="J32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35">
      <c r="B5" s="25" t="s">
        <v>14</v>
      </c>
      <c r="C5" s="25"/>
      <c r="D5" s="25"/>
      <c r="E5" s="25"/>
      <c r="F5" s="25"/>
    </row>
    <row r="6" spans="2:35">
      <c r="B6" s="6" t="s">
        <v>11</v>
      </c>
      <c r="C6" s="6" t="s">
        <v>16</v>
      </c>
      <c r="D6" s="6" t="s">
        <v>15</v>
      </c>
      <c r="E6" s="6" t="s">
        <v>132</v>
      </c>
      <c r="F6" s="6" t="s">
        <v>12</v>
      </c>
      <c r="G6" s="6" t="s">
        <v>133</v>
      </c>
      <c r="H6" s="6" t="s">
        <v>134</v>
      </c>
      <c r="I6" s="6" t="s">
        <v>1</v>
      </c>
      <c r="J6" s="6" t="s">
        <v>124</v>
      </c>
      <c r="K6" s="6" t="s">
        <v>135</v>
      </c>
      <c r="L6" s="6" t="s">
        <v>136</v>
      </c>
      <c r="M6" s="6" t="s">
        <v>137</v>
      </c>
      <c r="N6" s="6" t="s">
        <v>64</v>
      </c>
      <c r="O6" s="6" t="s">
        <v>138</v>
      </c>
      <c r="P6" s="6" t="s">
        <v>139</v>
      </c>
      <c r="Q6" s="6" t="s">
        <v>140</v>
      </c>
      <c r="R6" s="6" t="s">
        <v>141</v>
      </c>
      <c r="S6" s="6" t="s">
        <v>7</v>
      </c>
      <c r="T6" s="6" t="s">
        <v>142</v>
      </c>
      <c r="U6" s="6" t="s">
        <v>143</v>
      </c>
      <c r="V6" s="6" t="s">
        <v>144</v>
      </c>
      <c r="W6" s="6" t="s">
        <v>145</v>
      </c>
      <c r="X6" s="6" t="s">
        <v>146</v>
      </c>
      <c r="Y6" s="6" t="s">
        <v>147</v>
      </c>
      <c r="Z6" s="6" t="s">
        <v>45</v>
      </c>
      <c r="AA6" s="6" t="s">
        <v>148</v>
      </c>
      <c r="AB6" s="6" t="s">
        <v>149</v>
      </c>
      <c r="AC6" s="6" t="s">
        <v>150</v>
      </c>
      <c r="AD6" s="6" t="s">
        <v>151</v>
      </c>
      <c r="AE6" s="6" t="s">
        <v>152</v>
      </c>
      <c r="AF6" s="6" t="s">
        <v>47</v>
      </c>
      <c r="AG6" s="6" t="s">
        <v>153</v>
      </c>
      <c r="AH6" s="6" t="s">
        <v>122</v>
      </c>
      <c r="AI6" s="6" t="s">
        <v>154</v>
      </c>
    </row>
    <row r="7" spans="2:35">
      <c r="B7" s="6" t="s">
        <v>117</v>
      </c>
      <c r="C7" s="6">
        <v>0</v>
      </c>
      <c r="D7" s="6">
        <v>0.1</v>
      </c>
      <c r="E7" s="21">
        <v>6.4000000000000001E-2</v>
      </c>
      <c r="F7" s="21">
        <v>5.5E-2</v>
      </c>
      <c r="G7" s="21">
        <v>6.8000000000000005E-2</v>
      </c>
      <c r="H7" s="21">
        <v>7.5999999999999998E-2</v>
      </c>
      <c r="I7" s="21">
        <v>6.0999999999999999E-2</v>
      </c>
      <c r="J7" s="21">
        <v>0.107</v>
      </c>
      <c r="K7" s="21">
        <v>0.1</v>
      </c>
      <c r="L7" s="21">
        <v>8.4000000000000005E-2</v>
      </c>
      <c r="M7" s="21">
        <v>0.115</v>
      </c>
      <c r="N7" s="21">
        <v>0.1</v>
      </c>
      <c r="O7" s="21">
        <v>4.1000000000000002E-2</v>
      </c>
      <c r="P7" s="21">
        <v>6.7000000000000004E-2</v>
      </c>
      <c r="Q7" s="21">
        <v>5.0999999999999997E-2</v>
      </c>
      <c r="R7" s="21">
        <v>5.5E-2</v>
      </c>
      <c r="S7" s="21">
        <v>0.05</v>
      </c>
      <c r="T7" s="21">
        <v>4.8000000000000001E-2</v>
      </c>
      <c r="U7" s="21">
        <v>6.7000000000000004E-2</v>
      </c>
      <c r="V7" s="21">
        <v>7.0000000000000007E-2</v>
      </c>
      <c r="W7" s="21">
        <v>4.3999999999999997E-2</v>
      </c>
      <c r="X7" s="21">
        <v>4.3999999999999997E-2</v>
      </c>
      <c r="Y7" s="21">
        <v>6.2E-2</v>
      </c>
      <c r="Z7" s="21">
        <v>3.6999999999999998E-2</v>
      </c>
      <c r="AA7" s="21">
        <v>4.5999999999999999E-2</v>
      </c>
      <c r="AB7" s="21">
        <v>6.0999999999999999E-2</v>
      </c>
      <c r="AC7" s="21">
        <v>8.1000000000000003E-2</v>
      </c>
      <c r="AD7" s="21">
        <v>6.8000000000000005E-2</v>
      </c>
      <c r="AE7" s="21">
        <v>7.0000000000000007E-2</v>
      </c>
      <c r="AF7" s="21">
        <v>6.4000000000000001E-2</v>
      </c>
      <c r="AG7" s="21">
        <v>6.6000000000000003E-2</v>
      </c>
      <c r="AH7" s="21">
        <v>8.7999999999999995E-2</v>
      </c>
      <c r="AI7" s="21">
        <v>6.3E-2</v>
      </c>
    </row>
    <row r="8" spans="2:35">
      <c r="B8" s="6" t="s">
        <v>116</v>
      </c>
      <c r="C8" s="6">
        <v>0</v>
      </c>
      <c r="D8" s="6">
        <v>0.1</v>
      </c>
      <c r="E8" s="21">
        <v>6.4000000000000001E-2</v>
      </c>
      <c r="F8" s="21">
        <v>5.5E-2</v>
      </c>
      <c r="G8" s="21">
        <v>6.8000000000000005E-2</v>
      </c>
      <c r="H8" s="21">
        <v>7.5999999999999998E-2</v>
      </c>
      <c r="I8" s="21">
        <v>6.0999999999999999E-2</v>
      </c>
      <c r="J8" s="21">
        <v>0.107</v>
      </c>
      <c r="K8" s="21">
        <v>0.1</v>
      </c>
      <c r="L8" s="21">
        <v>8.4000000000000005E-2</v>
      </c>
      <c r="M8" s="21">
        <v>0.115</v>
      </c>
      <c r="N8" s="21">
        <v>0.1</v>
      </c>
      <c r="O8" s="21">
        <v>4.1000000000000002E-2</v>
      </c>
      <c r="P8" s="21">
        <v>6.7000000000000004E-2</v>
      </c>
      <c r="Q8" s="21">
        <v>5.0999999999999997E-2</v>
      </c>
      <c r="R8" s="21">
        <v>5.5E-2</v>
      </c>
      <c r="S8" s="21">
        <v>0.05</v>
      </c>
      <c r="T8" s="21">
        <v>4.8000000000000001E-2</v>
      </c>
      <c r="U8" s="21">
        <v>6.7000000000000004E-2</v>
      </c>
      <c r="V8" s="21">
        <v>7.0000000000000007E-2</v>
      </c>
      <c r="W8" s="21">
        <v>4.3999999999999997E-2</v>
      </c>
      <c r="X8" s="21">
        <v>4.3999999999999997E-2</v>
      </c>
      <c r="Y8" s="21">
        <v>6.2E-2</v>
      </c>
      <c r="Z8" s="21">
        <v>3.6999999999999998E-2</v>
      </c>
      <c r="AA8" s="21">
        <v>4.5999999999999999E-2</v>
      </c>
      <c r="AB8" s="21">
        <v>6.0999999999999999E-2</v>
      </c>
      <c r="AC8" s="21">
        <v>8.1000000000000003E-2</v>
      </c>
      <c r="AD8" s="21">
        <v>6.8000000000000005E-2</v>
      </c>
      <c r="AE8" s="21">
        <v>7.0000000000000007E-2</v>
      </c>
      <c r="AF8" s="21">
        <v>6.4000000000000001E-2</v>
      </c>
      <c r="AG8" s="21">
        <v>6.6000000000000003E-2</v>
      </c>
      <c r="AH8" s="21">
        <v>8.7999999999999995E-2</v>
      </c>
      <c r="AI8" s="21">
        <v>6.3E-2</v>
      </c>
    </row>
    <row r="9" spans="2:35">
      <c r="B9" s="5" t="s">
        <v>115</v>
      </c>
      <c r="C9" s="6">
        <v>0</v>
      </c>
      <c r="D9" s="6">
        <v>0.1</v>
      </c>
      <c r="E9" s="21">
        <v>6.4000000000000001E-2</v>
      </c>
      <c r="F9" s="21">
        <v>5.5E-2</v>
      </c>
      <c r="G9" s="21">
        <v>6.8000000000000005E-2</v>
      </c>
      <c r="H9" s="21">
        <v>7.5999999999999998E-2</v>
      </c>
      <c r="I9" s="21">
        <v>6.0999999999999999E-2</v>
      </c>
      <c r="J9" s="21">
        <v>0.107</v>
      </c>
      <c r="K9" s="21">
        <v>0.1</v>
      </c>
      <c r="L9" s="21">
        <v>8.4000000000000005E-2</v>
      </c>
      <c r="M9" s="21">
        <v>0.115</v>
      </c>
      <c r="N9" s="21">
        <v>0.1</v>
      </c>
      <c r="O9" s="21">
        <v>4.1000000000000002E-2</v>
      </c>
      <c r="P9" s="21">
        <v>6.7000000000000004E-2</v>
      </c>
      <c r="Q9" s="21">
        <v>5.0999999999999997E-2</v>
      </c>
      <c r="R9" s="21">
        <v>5.5E-2</v>
      </c>
      <c r="S9" s="21">
        <v>0.05</v>
      </c>
      <c r="T9" s="21">
        <v>4.8000000000000001E-2</v>
      </c>
      <c r="U9" s="21">
        <v>6.7000000000000004E-2</v>
      </c>
      <c r="V9" s="21">
        <v>7.0000000000000007E-2</v>
      </c>
      <c r="W9" s="21">
        <v>4.3999999999999997E-2</v>
      </c>
      <c r="X9" s="21">
        <v>4.3999999999999997E-2</v>
      </c>
      <c r="Y9" s="21">
        <v>6.2E-2</v>
      </c>
      <c r="Z9" s="21">
        <v>3.6999999999999998E-2</v>
      </c>
      <c r="AA9" s="21">
        <v>4.5999999999999999E-2</v>
      </c>
      <c r="AB9" s="21">
        <v>6.0999999999999999E-2</v>
      </c>
      <c r="AC9" s="21">
        <v>8.1000000000000003E-2</v>
      </c>
      <c r="AD9" s="21">
        <v>6.8000000000000005E-2</v>
      </c>
      <c r="AE9" s="21">
        <v>7.0000000000000007E-2</v>
      </c>
      <c r="AF9" s="21">
        <v>6.4000000000000001E-2</v>
      </c>
      <c r="AG9" s="21">
        <v>6.6000000000000003E-2</v>
      </c>
      <c r="AH9" s="21">
        <v>8.7999999999999995E-2</v>
      </c>
      <c r="AI9" s="21">
        <v>6.3E-2</v>
      </c>
    </row>
    <row r="10" spans="2:35">
      <c r="B10" s="6" t="s">
        <v>114</v>
      </c>
      <c r="C10" s="6">
        <v>0</v>
      </c>
      <c r="D10" s="6">
        <v>0.1</v>
      </c>
      <c r="E10" s="21">
        <v>6.4000000000000001E-2</v>
      </c>
      <c r="F10" s="21">
        <v>5.5E-2</v>
      </c>
      <c r="G10" s="21">
        <v>6.8000000000000005E-2</v>
      </c>
      <c r="H10" s="21">
        <v>7.5999999999999998E-2</v>
      </c>
      <c r="I10" s="21">
        <v>6.0999999999999999E-2</v>
      </c>
      <c r="J10" s="21">
        <v>0.107</v>
      </c>
      <c r="K10" s="21">
        <v>0.1</v>
      </c>
      <c r="L10" s="21">
        <v>8.4000000000000005E-2</v>
      </c>
      <c r="M10" s="21">
        <v>0.115</v>
      </c>
      <c r="N10" s="21">
        <v>0.1</v>
      </c>
      <c r="O10" s="21">
        <v>4.1000000000000002E-2</v>
      </c>
      <c r="P10" s="21">
        <v>6.7000000000000004E-2</v>
      </c>
      <c r="Q10" s="21">
        <v>5.0999999999999997E-2</v>
      </c>
      <c r="R10" s="21">
        <v>5.5E-2</v>
      </c>
      <c r="S10" s="21">
        <v>0.05</v>
      </c>
      <c r="T10" s="21">
        <v>4.8000000000000001E-2</v>
      </c>
      <c r="U10" s="21">
        <v>6.7000000000000004E-2</v>
      </c>
      <c r="V10" s="21">
        <v>7.0000000000000007E-2</v>
      </c>
      <c r="W10" s="21">
        <v>4.3999999999999997E-2</v>
      </c>
      <c r="X10" s="21">
        <v>4.3999999999999997E-2</v>
      </c>
      <c r="Y10" s="21">
        <v>6.2E-2</v>
      </c>
      <c r="Z10" s="21">
        <v>3.6999999999999998E-2</v>
      </c>
      <c r="AA10" s="21">
        <v>4.5999999999999999E-2</v>
      </c>
      <c r="AB10" s="21">
        <v>6.0999999999999999E-2</v>
      </c>
      <c r="AC10" s="21">
        <v>8.1000000000000003E-2</v>
      </c>
      <c r="AD10" s="21">
        <v>6.8000000000000005E-2</v>
      </c>
      <c r="AE10" s="21">
        <v>7.0000000000000007E-2</v>
      </c>
      <c r="AF10" s="21">
        <v>6.4000000000000001E-2</v>
      </c>
      <c r="AG10" s="21">
        <v>6.6000000000000003E-2</v>
      </c>
      <c r="AH10" s="21">
        <v>8.7999999999999995E-2</v>
      </c>
      <c r="AI10" s="21">
        <v>6.3E-2</v>
      </c>
    </row>
    <row r="11" spans="2:35">
      <c r="B11" s="6" t="s">
        <v>113</v>
      </c>
      <c r="C11" s="6">
        <v>0</v>
      </c>
      <c r="D11" s="6">
        <v>0.1</v>
      </c>
      <c r="E11" s="21">
        <v>6.4000000000000001E-2</v>
      </c>
      <c r="F11" s="21">
        <v>5.5E-2</v>
      </c>
      <c r="G11" s="21">
        <v>6.8000000000000005E-2</v>
      </c>
      <c r="H11" s="21">
        <v>7.5999999999999998E-2</v>
      </c>
      <c r="I11" s="21">
        <v>6.0999999999999999E-2</v>
      </c>
      <c r="J11" s="21">
        <v>0.107</v>
      </c>
      <c r="K11" s="21">
        <v>0.1</v>
      </c>
      <c r="L11" s="21">
        <v>8.4000000000000005E-2</v>
      </c>
      <c r="M11" s="21">
        <v>0.115</v>
      </c>
      <c r="N11" s="21">
        <v>0.1</v>
      </c>
      <c r="O11" s="21">
        <v>4.1000000000000002E-2</v>
      </c>
      <c r="P11" s="21">
        <v>6.7000000000000004E-2</v>
      </c>
      <c r="Q11" s="21">
        <v>5.0999999999999997E-2</v>
      </c>
      <c r="R11" s="21">
        <v>5.5E-2</v>
      </c>
      <c r="S11" s="21">
        <v>0.05</v>
      </c>
      <c r="T11" s="21">
        <v>4.8000000000000001E-2</v>
      </c>
      <c r="U11" s="21">
        <v>6.7000000000000004E-2</v>
      </c>
      <c r="V11" s="21">
        <v>7.0000000000000007E-2</v>
      </c>
      <c r="W11" s="21">
        <v>4.3999999999999997E-2</v>
      </c>
      <c r="X11" s="21">
        <v>4.3999999999999997E-2</v>
      </c>
      <c r="Y11" s="21">
        <v>6.2E-2</v>
      </c>
      <c r="Z11" s="21">
        <v>3.6999999999999998E-2</v>
      </c>
      <c r="AA11" s="21">
        <v>4.5999999999999999E-2</v>
      </c>
      <c r="AB11" s="21">
        <v>6.0999999999999999E-2</v>
      </c>
      <c r="AC11" s="21">
        <v>8.1000000000000003E-2</v>
      </c>
      <c r="AD11" s="21">
        <v>6.8000000000000005E-2</v>
      </c>
      <c r="AE11" s="21">
        <v>7.0000000000000007E-2</v>
      </c>
      <c r="AF11" s="21">
        <v>6.4000000000000001E-2</v>
      </c>
      <c r="AG11" s="21">
        <v>6.6000000000000003E-2</v>
      </c>
      <c r="AH11" s="21">
        <v>8.7999999999999995E-2</v>
      </c>
      <c r="AI11" s="21">
        <v>6.3E-2</v>
      </c>
    </row>
    <row r="12" spans="2:35">
      <c r="B12" s="6" t="s">
        <v>118</v>
      </c>
      <c r="C12" s="6">
        <v>0</v>
      </c>
      <c r="D12" s="6">
        <v>0.1</v>
      </c>
      <c r="E12" s="21">
        <v>6.4000000000000001E-2</v>
      </c>
      <c r="F12" s="21">
        <v>5.5E-2</v>
      </c>
      <c r="G12" s="21">
        <v>6.8000000000000005E-2</v>
      </c>
      <c r="H12" s="21">
        <v>7.5999999999999998E-2</v>
      </c>
      <c r="I12" s="21">
        <v>6.0999999999999999E-2</v>
      </c>
      <c r="J12" s="21">
        <v>0.107</v>
      </c>
      <c r="K12" s="21">
        <v>0.1</v>
      </c>
      <c r="L12" s="21">
        <v>8.4000000000000005E-2</v>
      </c>
      <c r="M12" s="21">
        <v>0.115</v>
      </c>
      <c r="N12" s="21">
        <v>0.1</v>
      </c>
      <c r="O12" s="21">
        <v>4.1000000000000002E-2</v>
      </c>
      <c r="P12" s="21">
        <v>6.7000000000000004E-2</v>
      </c>
      <c r="Q12" s="21">
        <v>5.0999999999999997E-2</v>
      </c>
      <c r="R12" s="21">
        <v>5.5E-2</v>
      </c>
      <c r="S12" s="21">
        <v>0.05</v>
      </c>
      <c r="T12" s="21">
        <v>4.8000000000000001E-2</v>
      </c>
      <c r="U12" s="21">
        <v>6.7000000000000004E-2</v>
      </c>
      <c r="V12" s="21">
        <v>7.0000000000000007E-2</v>
      </c>
      <c r="W12" s="21">
        <v>4.3999999999999997E-2</v>
      </c>
      <c r="X12" s="21">
        <v>4.3999999999999997E-2</v>
      </c>
      <c r="Y12" s="21">
        <v>6.2E-2</v>
      </c>
      <c r="Z12" s="21">
        <v>3.6999999999999998E-2</v>
      </c>
      <c r="AA12" s="21">
        <v>4.5999999999999999E-2</v>
      </c>
      <c r="AB12" s="21">
        <v>6.0999999999999999E-2</v>
      </c>
      <c r="AC12" s="21">
        <v>8.1000000000000003E-2</v>
      </c>
      <c r="AD12" s="21">
        <v>6.8000000000000005E-2</v>
      </c>
      <c r="AE12" s="21">
        <v>7.0000000000000007E-2</v>
      </c>
      <c r="AF12" s="21">
        <v>6.4000000000000001E-2</v>
      </c>
      <c r="AG12" s="21">
        <v>6.6000000000000003E-2</v>
      </c>
      <c r="AH12" s="21">
        <v>8.7999999999999995E-2</v>
      </c>
      <c r="AI12" s="21">
        <v>6.3E-2</v>
      </c>
    </row>
    <row r="13" spans="2:35">
      <c r="B13" s="6" t="s">
        <v>129</v>
      </c>
      <c r="C13" s="6">
        <v>0</v>
      </c>
      <c r="D13" s="6">
        <v>0.1</v>
      </c>
      <c r="E13" s="21">
        <v>6.4000000000000001E-2</v>
      </c>
      <c r="F13" s="21">
        <v>5.5E-2</v>
      </c>
      <c r="G13" s="21">
        <v>6.8000000000000005E-2</v>
      </c>
      <c r="H13" s="21">
        <v>7.5999999999999998E-2</v>
      </c>
      <c r="I13" s="21">
        <v>6.0999999999999999E-2</v>
      </c>
      <c r="J13" s="21">
        <v>0.107</v>
      </c>
      <c r="K13" s="21">
        <v>0.1</v>
      </c>
      <c r="L13" s="21">
        <v>8.4000000000000005E-2</v>
      </c>
      <c r="M13" s="21">
        <v>0.115</v>
      </c>
      <c r="N13" s="21">
        <v>0.1</v>
      </c>
      <c r="O13" s="21">
        <v>4.1000000000000002E-2</v>
      </c>
      <c r="P13" s="21">
        <v>6.7000000000000004E-2</v>
      </c>
      <c r="Q13" s="21">
        <v>5.0999999999999997E-2</v>
      </c>
      <c r="R13" s="21">
        <v>5.5E-2</v>
      </c>
      <c r="S13" s="21">
        <v>0.05</v>
      </c>
      <c r="T13" s="21">
        <v>4.8000000000000001E-2</v>
      </c>
      <c r="U13" s="21">
        <v>6.7000000000000004E-2</v>
      </c>
      <c r="V13" s="21">
        <v>7.0000000000000007E-2</v>
      </c>
      <c r="W13" s="21">
        <v>4.3999999999999997E-2</v>
      </c>
      <c r="X13" s="21">
        <v>4.3999999999999997E-2</v>
      </c>
      <c r="Y13" s="21">
        <v>6.2E-2</v>
      </c>
      <c r="Z13" s="21">
        <v>3.6999999999999998E-2</v>
      </c>
      <c r="AA13" s="21">
        <v>4.5999999999999999E-2</v>
      </c>
      <c r="AB13" s="21">
        <v>6.0999999999999999E-2</v>
      </c>
      <c r="AC13" s="21">
        <v>8.1000000000000003E-2</v>
      </c>
      <c r="AD13" s="21">
        <v>6.8000000000000005E-2</v>
      </c>
      <c r="AE13" s="21">
        <v>7.0000000000000007E-2</v>
      </c>
      <c r="AF13" s="21">
        <v>6.4000000000000001E-2</v>
      </c>
      <c r="AG13" s="21">
        <v>6.6000000000000003E-2</v>
      </c>
      <c r="AH13" s="21">
        <v>8.7999999999999995E-2</v>
      </c>
      <c r="AI13" s="21">
        <v>6.3E-2</v>
      </c>
    </row>
    <row r="26" spans="7:11">
      <c r="K26" s="20"/>
    </row>
    <row r="27" spans="7:11">
      <c r="G27" s="22"/>
      <c r="K27" s="20"/>
    </row>
    <row r="28" spans="7:11">
      <c r="G28" s="22"/>
      <c r="K28" s="20"/>
    </row>
    <row r="29" spans="7:11">
      <c r="G29" s="22"/>
      <c r="K29" s="20"/>
    </row>
    <row r="30" spans="7:11">
      <c r="G30" s="22"/>
      <c r="K30" s="20"/>
    </row>
    <row r="31" spans="7:11">
      <c r="G31" s="22"/>
      <c r="K31" s="20"/>
    </row>
    <row r="32" spans="7:11">
      <c r="G32" s="22"/>
      <c r="K32" s="20"/>
    </row>
    <row r="33" spans="7:11">
      <c r="G33" s="22"/>
      <c r="K33" s="20"/>
    </row>
    <row r="34" spans="7:11">
      <c r="G34" s="22"/>
      <c r="K34" s="20"/>
    </row>
    <row r="35" spans="7:11">
      <c r="G35" s="22"/>
      <c r="K35" s="20"/>
    </row>
    <row r="36" spans="7:11">
      <c r="G36" s="22"/>
      <c r="K36" s="20"/>
    </row>
    <row r="37" spans="7:11">
      <c r="G37" s="22"/>
      <c r="K37" s="20"/>
    </row>
    <row r="38" spans="7:11">
      <c r="G38" s="22"/>
      <c r="K38" s="20"/>
    </row>
    <row r="39" spans="7:11">
      <c r="G39" s="22"/>
      <c r="K39" s="20"/>
    </row>
    <row r="40" spans="7:11">
      <c r="G40" s="22"/>
      <c r="K40" s="20"/>
    </row>
    <row r="41" spans="7:11">
      <c r="G41" s="22"/>
      <c r="K41" s="20"/>
    </row>
    <row r="42" spans="7:11">
      <c r="G42" s="22"/>
      <c r="K42" s="20"/>
    </row>
    <row r="43" spans="7:11">
      <c r="G43" s="22"/>
      <c r="K43" s="20"/>
    </row>
    <row r="44" spans="7:11">
      <c r="G44" s="22"/>
      <c r="K44" s="20"/>
    </row>
    <row r="45" spans="7:11">
      <c r="G45" s="22"/>
      <c r="K45" s="20"/>
    </row>
    <row r="46" spans="7:11">
      <c r="G46" s="22"/>
      <c r="K46" s="20"/>
    </row>
    <row r="47" spans="7:11">
      <c r="G47" s="22"/>
      <c r="K47" s="20"/>
    </row>
    <row r="48" spans="7:11">
      <c r="G48" s="22"/>
      <c r="K48" s="20"/>
    </row>
    <row r="49" spans="7:11">
      <c r="G49" s="22"/>
      <c r="K49" s="20"/>
    </row>
    <row r="50" spans="7:11">
      <c r="G50" s="22"/>
      <c r="K50" s="20"/>
    </row>
    <row r="51" spans="7:11">
      <c r="G51" s="22"/>
      <c r="K51" s="20"/>
    </row>
    <row r="52" spans="7:11">
      <c r="G52" s="22"/>
      <c r="K52" s="20"/>
    </row>
    <row r="53" spans="7:11">
      <c r="G53" s="22"/>
      <c r="K53" s="20"/>
    </row>
    <row r="54" spans="7:11">
      <c r="G54" s="22"/>
      <c r="K54" s="20"/>
    </row>
    <row r="55" spans="7:11">
      <c r="G55" s="22"/>
      <c r="K55" s="20"/>
    </row>
    <row r="56" spans="7:11">
      <c r="G56" s="22"/>
      <c r="K56" s="20"/>
    </row>
    <row r="57" spans="7:11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I15" sqref="I15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20</v>
      </c>
      <c r="C6" t="s">
        <v>37</v>
      </c>
      <c r="D6" t="s">
        <v>36</v>
      </c>
      <c r="E6" t="s">
        <v>92</v>
      </c>
    </row>
    <row r="7" spans="2:5">
      <c r="B7" t="s">
        <v>39</v>
      </c>
      <c r="C7">
        <v>1</v>
      </c>
      <c r="D7">
        <v>1</v>
      </c>
      <c r="E7">
        <v>1</v>
      </c>
    </row>
    <row r="8" spans="2:5">
      <c r="B8" t="s">
        <v>22</v>
      </c>
      <c r="C8" t="s">
        <v>155</v>
      </c>
      <c r="D8">
        <v>1</v>
      </c>
      <c r="E8">
        <v>1</v>
      </c>
    </row>
    <row r="9" spans="2:5">
      <c r="B9" t="s">
        <v>23</v>
      </c>
      <c r="C9" t="s">
        <v>156</v>
      </c>
      <c r="D9">
        <v>1</v>
      </c>
      <c r="E9">
        <v>1</v>
      </c>
    </row>
    <row r="10" spans="2:5">
      <c r="B10" t="s">
        <v>24</v>
      </c>
      <c r="C10" t="s">
        <v>157</v>
      </c>
      <c r="D10">
        <v>1</v>
      </c>
      <c r="E10">
        <v>1</v>
      </c>
    </row>
    <row r="11" spans="2:5">
      <c r="B11" t="s">
        <v>25</v>
      </c>
      <c r="C11" t="s">
        <v>158</v>
      </c>
      <c r="D11">
        <v>1</v>
      </c>
      <c r="E11">
        <v>1</v>
      </c>
    </row>
    <row r="12" spans="2:5">
      <c r="B12" t="s">
        <v>26</v>
      </c>
      <c r="C12" t="s">
        <v>159</v>
      </c>
      <c r="D12">
        <v>1</v>
      </c>
      <c r="E12">
        <v>1</v>
      </c>
    </row>
    <row r="13" spans="2:5">
      <c r="B13" t="s">
        <v>27</v>
      </c>
      <c r="C13" t="s">
        <v>165</v>
      </c>
      <c r="D13">
        <v>1</v>
      </c>
      <c r="E13">
        <v>1</v>
      </c>
    </row>
    <row r="14" spans="2:5">
      <c r="B14" t="s">
        <v>28</v>
      </c>
      <c r="C14" t="s">
        <v>157</v>
      </c>
      <c r="D14" s="23" t="s">
        <v>163</v>
      </c>
      <c r="E14" s="13">
        <v>1</v>
      </c>
    </row>
    <row r="15" spans="2:5">
      <c r="B15" t="s">
        <v>29</v>
      </c>
      <c r="C15" t="s">
        <v>157</v>
      </c>
      <c r="D15" t="s">
        <v>164</v>
      </c>
      <c r="E15">
        <v>1</v>
      </c>
    </row>
    <row r="16" spans="2:5">
      <c r="B16" t="s">
        <v>30</v>
      </c>
      <c r="C16" t="s">
        <v>160</v>
      </c>
      <c r="D16" s="23" t="s">
        <v>163</v>
      </c>
      <c r="E16" s="13">
        <v>1</v>
      </c>
    </row>
    <row r="17" spans="2:5">
      <c r="B17" t="s">
        <v>31</v>
      </c>
      <c r="C17" t="s">
        <v>160</v>
      </c>
      <c r="D17" t="s">
        <v>164</v>
      </c>
      <c r="E17">
        <v>1</v>
      </c>
    </row>
    <row r="18" spans="2:5">
      <c r="B18" t="s">
        <v>32</v>
      </c>
      <c r="C18" t="s">
        <v>161</v>
      </c>
      <c r="D18">
        <v>1</v>
      </c>
      <c r="E18" s="13">
        <v>0.3</v>
      </c>
    </row>
    <row r="19" spans="2:5">
      <c r="B19" t="s">
        <v>33</v>
      </c>
      <c r="C19" t="s">
        <v>162</v>
      </c>
      <c r="D19">
        <v>1</v>
      </c>
      <c r="E19">
        <v>0.3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2018-02-27T08:44:29Z</dcterms:modified>
</cp:coreProperties>
</file>