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0" yWindow="0" windowWidth="24000" windowHeight="9750" firstSheet="1" activeTab="1"/>
  </bookViews>
  <sheets>
    <sheet name="result_summary" sheetId="8" r:id="rId1"/>
    <sheet name="result_senario" sheetId="5" r:id="rId2"/>
    <sheet name="rec_trades" sheetId="1" r:id="rId3"/>
    <sheet name="rec_ticker" sheetId="6" r:id="rId4"/>
    <sheet name="param_vrxk" sheetId="2" r:id="rId5"/>
    <sheet name="script_senario" sheetId="7" r:id="rId6"/>
  </sheets>
  <functionGroups builtInGroupCount="18"/>
  <externalReferences>
    <externalReference r:id="rId7"/>
  </externalReferences>
  <calcPr calcId="152511" calcMode="manual"/>
</workbook>
</file>

<file path=xl/calcChain.xml><?xml version="1.0" encoding="utf-8"?>
<calcChain xmlns="http://schemas.openxmlformats.org/spreadsheetml/2006/main">
  <c r="AE9" i="5" l="1"/>
  <c r="AE10" i="5"/>
  <c r="AE15" i="5"/>
  <c r="AE16" i="5"/>
  <c r="AE17" i="5"/>
  <c r="AE18" i="5"/>
  <c r="AE19" i="5"/>
  <c r="AE20" i="5"/>
  <c r="AE21" i="5"/>
  <c r="AE22" i="5"/>
  <c r="AE23" i="5"/>
  <c r="AE24" i="5"/>
  <c r="AE25" i="5"/>
  <c r="AE26" i="5"/>
  <c r="AE27" i="5"/>
  <c r="AE28" i="5"/>
  <c r="AE29" i="5"/>
  <c r="AE30" i="5"/>
  <c r="E21" i="6" l="1"/>
  <c r="I21" i="6"/>
  <c r="J21" i="6"/>
  <c r="I20" i="6" l="1"/>
  <c r="E20" i="6"/>
  <c r="J20" i="6"/>
  <c r="E19" i="6" l="1"/>
  <c r="I19" i="6"/>
  <c r="J19" i="6"/>
  <c r="I7" i="6" l="1"/>
  <c r="I18" i="6"/>
  <c r="I17" i="6"/>
  <c r="I16" i="6"/>
  <c r="I15" i="6"/>
  <c r="I14" i="6"/>
  <c r="I13" i="6"/>
  <c r="I12" i="6"/>
  <c r="I11" i="6"/>
  <c r="I10" i="6"/>
  <c r="I9" i="6"/>
  <c r="I8" i="6"/>
  <c r="B4" i="5" l="1"/>
  <c r="AE7" i="5" l="1"/>
  <c r="AE8" i="5"/>
  <c r="AE11" i="5"/>
  <c r="AE12" i="5"/>
  <c r="AE13" i="5"/>
  <c r="AE14" i="5"/>
  <c r="E18" i="6"/>
  <c r="AR7" i="5"/>
  <c r="AP23" i="5"/>
  <c r="AM15" i="5"/>
  <c r="AJ7" i="5"/>
  <c r="AH23" i="5"/>
  <c r="AR17" i="5"/>
  <c r="AM25" i="5"/>
  <c r="AH25" i="5"/>
  <c r="AM18" i="5"/>
  <c r="AH18" i="5"/>
  <c r="AQ16" i="5"/>
  <c r="AN8" i="5"/>
  <c r="AL24" i="5"/>
  <c r="AI16" i="5"/>
  <c r="AF8" i="5"/>
  <c r="AO9" i="5"/>
  <c r="AJ9" i="5"/>
  <c r="AR10" i="5"/>
  <c r="AO26" i="5"/>
  <c r="AI18" i="5"/>
  <c r="AR27" i="5"/>
  <c r="AO19" i="5"/>
  <c r="AL11" i="5"/>
  <c r="AJ27" i="5"/>
  <c r="AG19" i="5"/>
  <c r="AR28" i="5"/>
  <c r="AO20" i="5"/>
  <c r="AL12" i="5"/>
  <c r="AJ28" i="5"/>
  <c r="AG20" i="5"/>
  <c r="AR29" i="5"/>
  <c r="AK22" i="5"/>
  <c r="AI21" i="5"/>
  <c r="AP21" i="5"/>
  <c r="AR30" i="5"/>
  <c r="AG30" i="5"/>
  <c r="AF22" i="5"/>
  <c r="AL30" i="5"/>
  <c r="AN21" i="5"/>
  <c r="AM30" i="5"/>
  <c r="AR23" i="5"/>
  <c r="AL7" i="5"/>
  <c r="AG15" i="5"/>
  <c r="AK9" i="5"/>
  <c r="AL26" i="5"/>
  <c r="AP8" i="5"/>
  <c r="AK16" i="5"/>
  <c r="AF24" i="5"/>
  <c r="AI25" i="5"/>
  <c r="AM10" i="5"/>
  <c r="AQ19" i="5"/>
  <c r="AL27" i="5"/>
  <c r="AF11" i="5"/>
  <c r="AN12" i="5"/>
  <c r="AI20" i="5"/>
  <c r="AQ21" i="5"/>
  <c r="AN22" i="5"/>
  <c r="AO30" i="5"/>
  <c r="AJ29" i="5"/>
  <c r="AK13" i="5"/>
  <c r="AK19" i="5"/>
  <c r="AN28" i="5"/>
  <c r="AF28" i="5"/>
  <c r="AF30" i="5"/>
  <c r="AL22" i="5"/>
  <c r="AF14" i="5"/>
  <c r="AN15" i="5"/>
  <c r="AF15" i="5"/>
  <c r="AO18" i="5"/>
  <c r="AO8" i="5"/>
  <c r="AG8" i="5"/>
  <c r="AG25" i="5"/>
  <c r="AF26" i="5"/>
  <c r="AK27" i="5"/>
  <c r="AP20" i="5"/>
  <c r="AH20" i="5"/>
  <c r="AQ14" i="5"/>
  <c r="AK30" i="5"/>
  <c r="AN23" i="5"/>
  <c r="AF23" i="5"/>
  <c r="AN10" i="5"/>
  <c r="AO16" i="5"/>
  <c r="AG16" i="5"/>
  <c r="AP18" i="5"/>
  <c r="AP27" i="5"/>
  <c r="AH27" i="5"/>
  <c r="AM20" i="5"/>
  <c r="AR13" i="5"/>
  <c r="AH13" i="5"/>
  <c r="AO14" i="5"/>
  <c r="AF21" i="5"/>
  <c r="AK23" i="5"/>
  <c r="AN26" i="5"/>
  <c r="AL16" i="5"/>
  <c r="AK17" i="5"/>
  <c r="AJ18" i="5"/>
  <c r="AM27" i="5"/>
  <c r="AR20" i="5"/>
  <c r="AJ20" i="5"/>
  <c r="AL14" i="5"/>
  <c r="AG29" i="5"/>
  <c r="AM22" i="5"/>
  <c r="AR15" i="5"/>
  <c r="AO7" i="5"/>
  <c r="AM23" i="5"/>
  <c r="AJ15" i="5"/>
  <c r="AG7" i="5"/>
  <c r="AR25" i="5"/>
  <c r="AL17" i="5"/>
  <c r="AG17" i="5"/>
  <c r="AL10" i="5"/>
  <c r="AG10" i="5"/>
  <c r="AQ24" i="5"/>
  <c r="AN16" i="5"/>
  <c r="AK8" i="5"/>
  <c r="AI24" i="5"/>
  <c r="AF16" i="5"/>
  <c r="AO25" i="5"/>
  <c r="AI9" i="5"/>
  <c r="AR18" i="5"/>
  <c r="AN18" i="5"/>
  <c r="AH10" i="5"/>
  <c r="AQ11" i="5"/>
  <c r="AO27" i="5"/>
  <c r="AL19" i="5"/>
  <c r="AI11" i="5"/>
  <c r="AG27" i="5"/>
  <c r="AQ12" i="5"/>
  <c r="AO28" i="5"/>
  <c r="AL20" i="5"/>
  <c r="AI12" i="5"/>
  <c r="AG28" i="5"/>
  <c r="AQ13" i="5"/>
  <c r="AJ30" i="5"/>
  <c r="AF13" i="5"/>
  <c r="AO29" i="5"/>
  <c r="AP22" i="5"/>
  <c r="AP29" i="5"/>
  <c r="AN29" i="5"/>
  <c r="AJ14" i="5"/>
  <c r="AM29" i="5"/>
  <c r="AJ22" i="5"/>
  <c r="AO15" i="5"/>
  <c r="AJ23" i="5"/>
  <c r="AQ17" i="5"/>
  <c r="AF17" i="5"/>
  <c r="AG26" i="5"/>
  <c r="AN24" i="5"/>
  <c r="AH8" i="5"/>
  <c r="AN17" i="5"/>
  <c r="AQ10" i="5"/>
  <c r="AH26" i="5"/>
  <c r="AN11" i="5"/>
  <c r="AI19" i="5"/>
  <c r="AQ20" i="5"/>
  <c r="AL28" i="5"/>
  <c r="AF12" i="5"/>
  <c r="AH14" i="5"/>
  <c r="AM13" i="5"/>
  <c r="AM21" i="5"/>
  <c r="AI22" i="5"/>
  <c r="AG14" i="5"/>
  <c r="AH11" i="5"/>
  <c r="AK20" i="5"/>
  <c r="AP14" i="5"/>
  <c r="AK29" i="5"/>
  <c r="AQ22" i="5"/>
  <c r="AI29" i="5"/>
  <c r="AQ23" i="5"/>
  <c r="AI23" i="5"/>
  <c r="AJ25" i="5"/>
  <c r="AR16" i="5"/>
  <c r="AJ16" i="5"/>
  <c r="AL9" i="5"/>
  <c r="AK10" i="5"/>
  <c r="AM11" i="5"/>
  <c r="AK28" i="5"/>
  <c r="AO22" i="5"/>
  <c r="AI13" i="5"/>
  <c r="AP30" i="5"/>
  <c r="AG21" i="5"/>
  <c r="AK15" i="5"/>
  <c r="AN9" i="5"/>
  <c r="AI10" i="5"/>
  <c r="AL8" i="5"/>
  <c r="AQ25" i="5"/>
  <c r="AF9" i="5"/>
  <c r="AR11" i="5"/>
  <c r="AJ11" i="5"/>
  <c r="AP28" i="5"/>
  <c r="AH28" i="5"/>
  <c r="AN13" i="5"/>
  <c r="AI14" i="5"/>
  <c r="AQ29" i="5"/>
  <c r="AM7" i="5"/>
  <c r="AH9" i="5"/>
  <c r="AQ8" i="5"/>
  <c r="AI8" i="5"/>
  <c r="AP17" i="5"/>
  <c r="AO10" i="5"/>
  <c r="AO11" i="5"/>
  <c r="AJ19" i="5"/>
  <c r="AO12" i="5"/>
  <c r="AG12" i="5"/>
  <c r="AL29" i="5"/>
  <c r="AH22" i="5"/>
  <c r="AO13" i="5"/>
  <c r="AQ7" i="5"/>
  <c r="AO23" i="5"/>
  <c r="AL15" i="5"/>
  <c r="AI7" i="5"/>
  <c r="AG23" i="5"/>
  <c r="AP9" i="5"/>
  <c r="AK25" i="5"/>
  <c r="AR26" i="5"/>
  <c r="AK18" i="5"/>
  <c r="AF18" i="5"/>
  <c r="AP16" i="5"/>
  <c r="AM8" i="5"/>
  <c r="AK24" i="5"/>
  <c r="AH16" i="5"/>
  <c r="AN25" i="5"/>
  <c r="AH17" i="5"/>
  <c r="AQ18" i="5"/>
  <c r="AM26" i="5"/>
  <c r="AG18" i="5"/>
  <c r="AQ27" i="5"/>
  <c r="AN19" i="5"/>
  <c r="AK11" i="5"/>
  <c r="AI27" i="5"/>
  <c r="AF19" i="5"/>
  <c r="AQ28" i="5"/>
  <c r="AN20" i="5"/>
  <c r="AK12" i="5"/>
  <c r="AI28" i="5"/>
  <c r="AF20" i="5"/>
  <c r="AR14" i="5"/>
  <c r="AG22" i="5"/>
  <c r="AI30" i="5"/>
  <c r="AL21" i="5"/>
  <c r="AM14" i="5"/>
  <c r="AJ13" i="5"/>
  <c r="AF29" i="5"/>
  <c r="AH30" i="5"/>
  <c r="AJ21" i="5"/>
  <c r="AO21" i="5"/>
  <c r="AQ15" i="5"/>
  <c r="AN7" i="5"/>
  <c r="AL23" i="5"/>
  <c r="AI15" i="5"/>
  <c r="AF7" i="5"/>
  <c r="AP25" i="5"/>
  <c r="AJ17" i="5"/>
  <c r="AP26" i="5"/>
  <c r="AJ10" i="5"/>
  <c r="AR8" i="5"/>
  <c r="AP24" i="5"/>
  <c r="AM16" i="5"/>
  <c r="AJ8" i="5"/>
  <c r="AH24" i="5"/>
  <c r="AR9" i="5"/>
  <c r="AM17" i="5"/>
  <c r="AG9" i="5"/>
  <c r="AQ26" i="5"/>
  <c r="AL18" i="5"/>
  <c r="AF10" i="5"/>
  <c r="AP11" i="5"/>
  <c r="AN27" i="5"/>
  <c r="AF27" i="5"/>
  <c r="AP12" i="5"/>
  <c r="AH12" i="5"/>
  <c r="AP13" i="5"/>
  <c r="AH29" i="5"/>
  <c r="AL13" i="5"/>
  <c r="AK7" i="5"/>
  <c r="AO17" i="5"/>
  <c r="AJ26" i="5"/>
  <c r="AM24" i="5"/>
  <c r="AQ9" i="5"/>
  <c r="AP10" i="5"/>
  <c r="AP19" i="5"/>
  <c r="AH19" i="5"/>
  <c r="AM12" i="5"/>
  <c r="AK21" i="5"/>
  <c r="AG13" i="5"/>
  <c r="AP7" i="5"/>
  <c r="AH7" i="5"/>
  <c r="AI17" i="5"/>
  <c r="AR24" i="5"/>
  <c r="AJ24" i="5"/>
  <c r="AL25" i="5"/>
  <c r="AK26" i="5"/>
  <c r="AM19" i="5"/>
  <c r="AR12" i="5"/>
  <c r="AJ12" i="5"/>
  <c r="AN30" i="5"/>
  <c r="AH21" i="5"/>
  <c r="AN14" i="5"/>
  <c r="AP15" i="5"/>
  <c r="AH15" i="5"/>
  <c r="AM9" i="5"/>
  <c r="AI26" i="5"/>
  <c r="AO24" i="5"/>
  <c r="AG24" i="5"/>
  <c r="AF25" i="5"/>
  <c r="AR19" i="5"/>
  <c r="AG11" i="5"/>
  <c r="AM28" i="5"/>
  <c r="AR21" i="5"/>
  <c r="AR22" i="5"/>
  <c r="AK14" i="5"/>
  <c r="AQ30" i="5"/>
  <c r="E17" i="6" l="1"/>
  <c r="E16" i="6"/>
  <c r="E12" i="6" l="1"/>
  <c r="J17" i="6"/>
  <c r="J12" i="6"/>
  <c r="J16" i="6"/>
  <c r="J18" i="6"/>
  <c r="E15" i="6" l="1"/>
  <c r="E14" i="6"/>
  <c r="J15" i="6"/>
  <c r="J14" i="6"/>
  <c r="E13" i="6" l="1"/>
  <c r="J13" i="6"/>
  <c r="E11" i="6" l="1"/>
  <c r="J11" i="6"/>
  <c r="E10" i="6" l="1"/>
  <c r="J10" i="6"/>
  <c r="E7" i="6" l="1"/>
  <c r="E8" i="6"/>
  <c r="E9" i="6"/>
  <c r="J8" i="6"/>
  <c r="J9" i="6"/>
  <c r="J7" i="6"/>
</calcChain>
</file>

<file path=xl/sharedStrings.xml><?xml version="1.0" encoding="utf-8"?>
<sst xmlns="http://schemas.openxmlformats.org/spreadsheetml/2006/main" count="849" uniqueCount="344">
  <si>
    <t>vol</t>
    <phoneticPr fontId="1" type="noConversion"/>
  </si>
  <si>
    <t>cu</t>
  </si>
  <si>
    <t>cu</t>
    <phoneticPr fontId="1" type="noConversion"/>
  </si>
  <si>
    <t>ag</t>
    <phoneticPr fontId="1" type="noConversion"/>
  </si>
  <si>
    <t>underlying</t>
  </si>
  <si>
    <t>20180123-CICC-HTMY-CU1805-VAN-P-60</t>
  </si>
  <si>
    <t>p</t>
  </si>
  <si>
    <t>cu1805</t>
  </si>
  <si>
    <t>20180118-CICC-ZTKJ-AL1805-VAN-P-82</t>
  </si>
  <si>
    <t>al1805</t>
  </si>
  <si>
    <t>al</t>
  </si>
  <si>
    <t>al</t>
    <phoneticPr fontId="1" type="noConversion"/>
  </si>
  <si>
    <t>parameter: var_x_k</t>
    <phoneticPr fontId="1" type="noConversion"/>
  </si>
  <si>
    <t>k</t>
    <phoneticPr fontId="1" type="noConversion"/>
  </si>
  <si>
    <t>x</t>
    <phoneticPr fontId="1" type="noConversion"/>
  </si>
  <si>
    <t>carry</t>
    <phoneticPr fontId="1" type="noConversion"/>
  </si>
  <si>
    <t>ticker</t>
    <phoneticPr fontId="1" type="noConversion"/>
  </si>
  <si>
    <t>data: ticker</t>
    <phoneticPr fontId="1" type="noConversion"/>
  </si>
  <si>
    <t>senario#</t>
    <phoneticPr fontId="1" type="noConversion"/>
  </si>
  <si>
    <t>senario2</t>
  </si>
  <si>
    <t>senario2</t>
    <phoneticPr fontId="1" type="noConversion"/>
  </si>
  <si>
    <t>senario3</t>
  </si>
  <si>
    <t>senario4</t>
  </si>
  <si>
    <t>senario5</t>
  </si>
  <si>
    <t>senario6</t>
  </si>
  <si>
    <t>senario7</t>
  </si>
  <si>
    <t>senario8</t>
  </si>
  <si>
    <t>senario9</t>
  </si>
  <si>
    <t>senario10</t>
  </si>
  <si>
    <t>senario11</t>
  </si>
  <si>
    <t>senario12</t>
  </si>
  <si>
    <t>senario13</t>
  </si>
  <si>
    <t>al1805</t>
    <phoneticPr fontId="1" type="noConversion"/>
  </si>
  <si>
    <t>ag1806</t>
    <phoneticPr fontId="1" type="noConversion"/>
  </si>
  <si>
    <t>formula2</t>
    <phoneticPr fontId="1" type="noConversion"/>
  </si>
  <si>
    <t>formula1</t>
    <phoneticPr fontId="1" type="noConversion"/>
  </si>
  <si>
    <t>eval_date</t>
    <phoneticPr fontId="1" type="noConversion"/>
  </si>
  <si>
    <t>senario1</t>
    <phoneticPr fontId="1" type="noConversion"/>
  </si>
  <si>
    <t>exchange</t>
    <phoneticPr fontId="1" type="noConversion"/>
  </si>
  <si>
    <t>shf</t>
    <phoneticPr fontId="1" type="noConversion"/>
  </si>
  <si>
    <t>cu1805</t>
    <phoneticPr fontId="1" type="noConversion"/>
  </si>
  <si>
    <t>20171229-CICC-QCSH-L1805-RR-61-C</t>
  </si>
  <si>
    <t>20171229-CICC-QCSH-L1805-RR-61-P</t>
  </si>
  <si>
    <t>c</t>
  </si>
  <si>
    <t>l1805</t>
  </si>
  <si>
    <t>l</t>
  </si>
  <si>
    <t>l</t>
    <phoneticPr fontId="1" type="noConversion"/>
  </si>
  <si>
    <t>dce</t>
    <phoneticPr fontId="1" type="noConversion"/>
  </si>
  <si>
    <t>l1805</t>
    <phoneticPr fontId="1" type="noConversion"/>
  </si>
  <si>
    <t>param_senario1</t>
    <phoneticPr fontId="1" type="noConversion"/>
  </si>
  <si>
    <t>param_senario2</t>
  </si>
  <si>
    <t>param_senario3</t>
  </si>
  <si>
    <t>param_senario4</t>
  </si>
  <si>
    <t>param_senario5</t>
  </si>
  <si>
    <t>param_senario6</t>
  </si>
  <si>
    <t>param_senario7</t>
  </si>
  <si>
    <t>param_senario8</t>
  </si>
  <si>
    <t>param_senario9</t>
  </si>
  <si>
    <t>param_senario10</t>
  </si>
  <si>
    <t>param_senario11</t>
  </si>
  <si>
    <t>param_senario12</t>
  </si>
  <si>
    <t>param_senario13</t>
  </si>
  <si>
    <t>rb</t>
  </si>
  <si>
    <t>rb</t>
    <phoneticPr fontId="1" type="noConversion"/>
  </si>
  <si>
    <t>rb1810</t>
  </si>
  <si>
    <t>rb1810</t>
    <phoneticPr fontId="1" type="noConversion"/>
  </si>
  <si>
    <t>20180209-CICC-TWGJ-RB1810-VAN-P-79</t>
  </si>
  <si>
    <t>20180209-CICC-TWGJ-RB1810-VAN-P-65</t>
  </si>
  <si>
    <t>20180129-CICC-TWGJ-RB1810-VAN-P-60</t>
  </si>
  <si>
    <t>20180104-CICC-TWGJ-RB1810-VAN-P-63</t>
  </si>
  <si>
    <t>multiplier</t>
    <phoneticPr fontId="1" type="noConversion"/>
  </si>
  <si>
    <t>qty</t>
    <phoneticPr fontId="1" type="noConversion"/>
  </si>
  <si>
    <t>volume</t>
    <phoneticPr fontId="1" type="noConversion"/>
  </si>
  <si>
    <t>trade_date</t>
    <phoneticPr fontId="1" type="noConversion"/>
  </si>
  <si>
    <t>exp_date</t>
    <phoneticPr fontId="1" type="noConversion"/>
  </si>
  <si>
    <t>settle_date</t>
    <phoneticPr fontId="1" type="noConversion"/>
  </si>
  <si>
    <t>prem_date</t>
    <phoneticPr fontId="1" type="noConversion"/>
  </si>
  <si>
    <t>k</t>
    <phoneticPr fontId="1" type="noConversion"/>
  </si>
  <si>
    <t>prem</t>
    <phoneticPr fontId="1" type="noConversion"/>
  </si>
  <si>
    <t>type</t>
    <phoneticPr fontId="1" type="noConversion"/>
  </si>
  <si>
    <t>cpty</t>
    <phoneticPr fontId="1" type="noConversion"/>
  </si>
  <si>
    <t>prod</t>
    <phoneticPr fontId="1" type="noConversion"/>
  </si>
  <si>
    <t>price_st</t>
    <phoneticPr fontId="1" type="noConversion"/>
  </si>
  <si>
    <t>prod</t>
    <phoneticPr fontId="1" type="noConversion"/>
  </si>
  <si>
    <t>price_st</t>
    <phoneticPr fontId="1" type="noConversion"/>
  </si>
  <si>
    <t>w_ticker</t>
    <phoneticPr fontId="1" type="noConversion"/>
  </si>
  <si>
    <t>i</t>
    <phoneticPr fontId="1" type="noConversion"/>
  </si>
  <si>
    <t>dce</t>
    <phoneticPr fontId="1" type="noConversion"/>
  </si>
  <si>
    <t>prem_date</t>
    <phoneticPr fontId="1" type="noConversion"/>
  </si>
  <si>
    <t>risk_coef</t>
    <phoneticPr fontId="1" type="noConversion"/>
  </si>
  <si>
    <t>vol_ref</t>
    <phoneticPr fontId="1" type="noConversion"/>
  </si>
  <si>
    <t>vol_adj</t>
    <phoneticPr fontId="1" type="noConversion"/>
  </si>
  <si>
    <t>trade_date</t>
    <phoneticPr fontId="1" type="noConversion"/>
  </si>
  <si>
    <t>van</t>
    <phoneticPr fontId="1" type="noConversion"/>
  </si>
  <si>
    <t>20180208-CICC-HTCC-I1805-VAN-P-62</t>
  </si>
  <si>
    <t>20180208-CICC-HTCC-I1805-VAN-C-62</t>
  </si>
  <si>
    <t>20171208-CICC-LZ-JM1805-VAN-P-112</t>
  </si>
  <si>
    <t>20171208-CICC-LZ-JM1805-VAN-C-112</t>
  </si>
  <si>
    <t>20171128-CICC-ZYXD-JM1805-VAN-P-122</t>
  </si>
  <si>
    <t>20171115-CICC-ZYXD-RU1805-VAN-P-135</t>
  </si>
  <si>
    <t>20171109-CICC-LZ-RB1805-VAN-P-155</t>
  </si>
  <si>
    <t>20171109-CICC-LZ-RB1805-VAN-C-155</t>
  </si>
  <si>
    <t>20171109-CICC-ZYXD-I1805-VAN-P-155</t>
  </si>
  <si>
    <t>20171109-CICC-ZYXD-RB1805-VAN-C-155</t>
  </si>
  <si>
    <t>20171109-CICC-ZYXD-RB1805-VAN-P-155</t>
  </si>
  <si>
    <t>i1805</t>
  </si>
  <si>
    <t>jm1805</t>
  </si>
  <si>
    <t>ru1805</t>
  </si>
  <si>
    <t>rb1805</t>
  </si>
  <si>
    <t>天津物产国际贸易有限公司</t>
    <phoneticPr fontId="1" type="noConversion"/>
  </si>
  <si>
    <t>天津物产国际贸易有限公司</t>
  </si>
  <si>
    <t>华泰长城资本管理有限公司</t>
  </si>
  <si>
    <t>中天科技集团上海国际贸易有限公司</t>
  </si>
  <si>
    <t>前程石化股份有限公司</t>
  </si>
  <si>
    <t>鲁证经贸有限公司</t>
  </si>
  <si>
    <t>浙江中友信德贸易有限公司</t>
  </si>
  <si>
    <t>浙江中友信德贸易有限公司</t>
    <phoneticPr fontId="1" type="noConversion"/>
  </si>
  <si>
    <t>ru1805</t>
    <phoneticPr fontId="1" type="noConversion"/>
  </si>
  <si>
    <t>jm1805</t>
    <phoneticPr fontId="1" type="noConversion"/>
  </si>
  <si>
    <t>ru</t>
  </si>
  <si>
    <t>ru</t>
    <phoneticPr fontId="1" type="noConversion"/>
  </si>
  <si>
    <t>jm</t>
  </si>
  <si>
    <t>jm</t>
    <phoneticPr fontId="1" type="noConversion"/>
  </si>
  <si>
    <t>dce</t>
    <phoneticPr fontId="1" type="noConversion"/>
  </si>
  <si>
    <t>i1805</t>
    <phoneticPr fontId="1" type="noConversion"/>
  </si>
  <si>
    <t>shf</t>
    <phoneticPr fontId="1" type="noConversion"/>
  </si>
  <si>
    <t>亨通集团上海贸易有限公司</t>
  </si>
  <si>
    <t>rb1805</t>
    <phoneticPr fontId="1" type="noConversion"/>
  </si>
  <si>
    <t>rb</t>
    <phoneticPr fontId="1" type="noConversion"/>
  </si>
  <si>
    <t>zn</t>
  </si>
  <si>
    <t>sn</t>
  </si>
  <si>
    <t>ni</t>
  </si>
  <si>
    <t>j</t>
  </si>
  <si>
    <t>hc</t>
  </si>
  <si>
    <t>i</t>
  </si>
  <si>
    <t>au</t>
  </si>
  <si>
    <t>ag</t>
  </si>
  <si>
    <t>cs</t>
  </si>
  <si>
    <t>jd</t>
  </si>
  <si>
    <t>oi</t>
  </si>
  <si>
    <t>rm</t>
  </si>
  <si>
    <t>cf</t>
  </si>
  <si>
    <t>a</t>
  </si>
  <si>
    <t>y</t>
  </si>
  <si>
    <t>m</t>
  </si>
  <si>
    <t>sr</t>
  </si>
  <si>
    <t>zc</t>
  </si>
  <si>
    <t>bu</t>
  </si>
  <si>
    <t>ma</t>
  </si>
  <si>
    <t>pp</t>
  </si>
  <si>
    <t>fg</t>
  </si>
  <si>
    <t>ta</t>
  </si>
  <si>
    <t>1+(1/3*VR+X)</t>
    <phoneticPr fontId="1" type="noConversion"/>
  </si>
  <si>
    <t>1+(2/3*VR+X)</t>
    <phoneticPr fontId="1" type="noConversion"/>
  </si>
  <si>
    <t>1+(VR+X)</t>
    <phoneticPr fontId="1" type="noConversion"/>
  </si>
  <si>
    <t>1-(1/3*VR+X)</t>
    <phoneticPr fontId="1" type="noConversion"/>
  </si>
  <si>
    <t>1-(2/3*VR+X)</t>
    <phoneticPr fontId="1" type="noConversion"/>
  </si>
  <si>
    <t>1-(VR+X)</t>
    <phoneticPr fontId="1" type="noConversion"/>
  </si>
  <si>
    <t>(1+k)</t>
    <phoneticPr fontId="1" type="noConversion"/>
  </si>
  <si>
    <t>(1-k)</t>
    <phoneticPr fontId="1" type="noConversion"/>
  </si>
  <si>
    <t>1-(VR+X)</t>
    <phoneticPr fontId="1" type="noConversion"/>
  </si>
  <si>
    <t>20180223-CICC-ZYXD-RB1805-VAN-C-28</t>
  </si>
  <si>
    <t>20180223-CICC-ZYXD-RB1805-VAN-P-28</t>
  </si>
  <si>
    <t>1|1|1</t>
  </si>
  <si>
    <t>prd_type</t>
    <phoneticPr fontId="1" type="noConversion"/>
  </si>
  <si>
    <t>van</t>
  </si>
  <si>
    <t>cmx</t>
    <phoneticPr fontId="1" type="noConversion"/>
  </si>
  <si>
    <t>sih18e</t>
    <phoneticPr fontId="1" type="noConversion"/>
  </si>
  <si>
    <t>sik18e</t>
    <phoneticPr fontId="1" type="noConversion"/>
  </si>
  <si>
    <t>广州明睿九号实业投资合伙企业（有限合伙）</t>
  </si>
  <si>
    <t>client</t>
    <phoneticPr fontId="1" type="noConversion"/>
  </si>
  <si>
    <t>20180223-CICC-MRJH-SIK18-SWP-60</t>
    <phoneticPr fontId="1" type="noConversion"/>
  </si>
  <si>
    <t>swp</t>
    <phoneticPr fontId="1" type="noConversion"/>
  </si>
  <si>
    <t>sik18e</t>
    <phoneticPr fontId="1" type="noConversion"/>
  </si>
  <si>
    <t>20180122-CICC-MRJH-LMEAH-SWP-87</t>
  </si>
  <si>
    <t>ah</t>
    <phoneticPr fontId="1" type="noConversion"/>
  </si>
  <si>
    <t>ah</t>
    <phoneticPr fontId="1" type="noConversion"/>
  </si>
  <si>
    <t>lme</t>
    <phoneticPr fontId="1" type="noConversion"/>
  </si>
  <si>
    <t>date</t>
    <phoneticPr fontId="1" type="noConversion"/>
  </si>
  <si>
    <t>1.019|1|1</t>
  </si>
  <si>
    <t>.981|1|1</t>
  </si>
  <si>
    <t>b</t>
    <phoneticPr fontId="1" type="noConversion"/>
  </si>
  <si>
    <t>s</t>
    <phoneticPr fontId="1" type="noConversion"/>
  </si>
  <si>
    <t>20180227-CICC-MRJH-SIK18-SWP-59</t>
    <phoneticPr fontId="1" type="noConversion"/>
  </si>
  <si>
    <t>ID</t>
    <phoneticPr fontId="1" type="noConversion"/>
  </si>
  <si>
    <t>b</t>
    <phoneticPr fontId="1" type="noConversion"/>
  </si>
  <si>
    <t>swp</t>
    <phoneticPr fontId="1" type="noConversion"/>
  </si>
  <si>
    <t>lmca</t>
    <phoneticPr fontId="1" type="noConversion"/>
  </si>
  <si>
    <t>lmah</t>
    <phoneticPr fontId="1" type="noConversion"/>
  </si>
  <si>
    <t>lmpb</t>
    <phoneticPr fontId="1" type="noConversion"/>
  </si>
  <si>
    <t>lmni</t>
    <phoneticPr fontId="1" type="noConversion"/>
  </si>
  <si>
    <t>gc</t>
    <phoneticPr fontId="1" type="noConversion"/>
  </si>
  <si>
    <t>si</t>
    <phoneticPr fontId="1" type="noConversion"/>
  </si>
  <si>
    <t>lmah</t>
    <phoneticPr fontId="1" type="noConversion"/>
  </si>
  <si>
    <t>si</t>
    <phoneticPr fontId="1" type="noConversion"/>
  </si>
  <si>
    <t>1.058|1|1</t>
  </si>
  <si>
    <t>.942|1|1</t>
  </si>
  <si>
    <t>1.058|1.1|1</t>
  </si>
  <si>
    <t>1.058|.9|1</t>
  </si>
  <si>
    <t>.942|1.1|1</t>
  </si>
  <si>
    <t>.942|.9|1</t>
  </si>
  <si>
    <t>ID</t>
    <phoneticPr fontId="1" type="noConversion"/>
  </si>
  <si>
    <t>江铜国际贸易有限公司</t>
    <phoneticPr fontId="9" type="noConversion"/>
  </si>
  <si>
    <t>20180307-CICC-JTGJ-AL1805-VAN-C-30</t>
  </si>
  <si>
    <t>江铜国际贸易有限公司</t>
  </si>
  <si>
    <t>1-(VR+X)</t>
  </si>
  <si>
    <t>(1-k)</t>
  </si>
  <si>
    <t>1+(2*VR+X)</t>
    <phoneticPr fontId="1" type="noConversion"/>
  </si>
  <si>
    <t>1-(2*VR+X)</t>
    <phoneticPr fontId="1" type="noConversion"/>
  </si>
  <si>
    <t>ca</t>
    <phoneticPr fontId="1" type="noConversion"/>
  </si>
  <si>
    <t>20180309-CICC-MRJH-LMECA-SWP-89</t>
    <phoneticPr fontId="1" type="noConversion"/>
  </si>
  <si>
    <t>b</t>
    <phoneticPr fontId="1" type="noConversion"/>
  </si>
  <si>
    <t>swp</t>
    <phoneticPr fontId="1" type="noConversion"/>
  </si>
  <si>
    <t>ca</t>
    <phoneticPr fontId="1" type="noConversion"/>
  </si>
  <si>
    <t>ca</t>
    <phoneticPr fontId="1" type="noConversion"/>
  </si>
  <si>
    <t>lmca</t>
    <phoneticPr fontId="1" type="noConversion"/>
  </si>
  <si>
    <t>lme</t>
    <phoneticPr fontId="1" type="noConversion"/>
  </si>
  <si>
    <t>#</t>
    <phoneticPr fontId="1" type="noConversion"/>
  </si>
  <si>
    <t>sin18e</t>
    <phoneticPr fontId="1" type="noConversion"/>
  </si>
  <si>
    <t>20180316-CICC-MRJH-SIN18-SWP-C-63</t>
    <phoneticPr fontId="1" type="noConversion"/>
  </si>
  <si>
    <t>20180326-CICC-MRJH-CA-SWP-86</t>
    <phoneticPr fontId="1" type="noConversion"/>
  </si>
  <si>
    <t>swp</t>
    <phoneticPr fontId="1" type="noConversion"/>
  </si>
  <si>
    <t>ca</t>
    <phoneticPr fontId="1" type="noConversion"/>
  </si>
  <si>
    <t>b</t>
    <phoneticPr fontId="1" type="noConversion"/>
  </si>
  <si>
    <t>20180307-CICC-MRJH-SIK18-SWP-51-2</t>
    <phoneticPr fontId="1" type="noConversion"/>
  </si>
  <si>
    <t>20180328-CICC-MRJH-GCZ8-SWP-92</t>
    <phoneticPr fontId="1" type="noConversion"/>
  </si>
  <si>
    <t>20180328-CICC-MRJH-SIN8-SWP-51</t>
    <phoneticPr fontId="1" type="noConversion"/>
  </si>
  <si>
    <t>20180328-CICC-MRJH-LMEAH-SWP-22</t>
    <phoneticPr fontId="1" type="noConversion"/>
  </si>
  <si>
    <t>20180327-CICC-MRJH-LMECA-SWP-87</t>
    <phoneticPr fontId="1" type="noConversion"/>
  </si>
  <si>
    <t>sik18e</t>
    <phoneticPr fontId="1" type="noConversion"/>
  </si>
  <si>
    <t>gcz18e</t>
    <phoneticPr fontId="1" type="noConversion"/>
  </si>
  <si>
    <t>sin18e</t>
    <phoneticPr fontId="1" type="noConversion"/>
  </si>
  <si>
    <t>ah</t>
    <phoneticPr fontId="1" type="noConversion"/>
  </si>
  <si>
    <t>ca</t>
    <phoneticPr fontId="1" type="noConversion"/>
  </si>
  <si>
    <t>b</t>
    <phoneticPr fontId="1" type="noConversion"/>
  </si>
  <si>
    <t>s</t>
    <phoneticPr fontId="1" type="noConversion"/>
  </si>
  <si>
    <t>b</t>
    <phoneticPr fontId="1" type="noConversion"/>
  </si>
  <si>
    <t>gc</t>
    <phoneticPr fontId="1" type="noConversion"/>
  </si>
  <si>
    <t>cmx</t>
    <phoneticPr fontId="1" type="noConversion"/>
  </si>
  <si>
    <t>20180329-CICC-MRJH-LMECA-SWP-83</t>
  </si>
  <si>
    <t>20180329-CICC-MRJH-LMECA-SWP-83</t>
    <phoneticPr fontId="1" type="noConversion"/>
  </si>
  <si>
    <t>swp</t>
  </si>
  <si>
    <t>swp</t>
    <phoneticPr fontId="1" type="noConversion"/>
  </si>
  <si>
    <t>ca</t>
  </si>
  <si>
    <t>s</t>
  </si>
  <si>
    <t>s</t>
    <phoneticPr fontId="1" type="noConversion"/>
  </si>
  <si>
    <t>ca</t>
    <phoneticPr fontId="1" type="noConversion"/>
  </si>
  <si>
    <t>20180328-CICC-XYWL-RB1810-VAN-P-30</t>
  </si>
  <si>
    <t>20180328-CICC-XYWL-RB1810-VAN-C-30</t>
  </si>
  <si>
    <t>p</t>
    <phoneticPr fontId="1" type="noConversion"/>
  </si>
  <si>
    <t>c</t>
    <phoneticPr fontId="1" type="noConversion"/>
  </si>
  <si>
    <t>van</t>
    <phoneticPr fontId="1" type="noConversion"/>
  </si>
  <si>
    <t>rb1810</t>
    <phoneticPr fontId="1" type="noConversion"/>
  </si>
  <si>
    <t>厦门象屿物流集团有限责任公司</t>
  </si>
  <si>
    <t>厦门象屿物流集团有限责任公司</t>
    <phoneticPr fontId="9" type="noConversion"/>
  </si>
  <si>
    <t>1.036|1|1</t>
  </si>
  <si>
    <t>1.071|1|1</t>
  </si>
  <si>
    <t>1.107|1|1</t>
  </si>
  <si>
    <t>.964|1|1</t>
  </si>
  <si>
    <t>.929|1|1</t>
  </si>
  <si>
    <t>.893|1|1</t>
  </si>
  <si>
    <t>1.107|1.1|1</t>
  </si>
  <si>
    <t>1.107|.9|1</t>
  </si>
  <si>
    <t>.893|1.1|1</t>
  </si>
  <si>
    <t>.893|.9|1</t>
  </si>
  <si>
    <t>1.213|1|.35</t>
  </si>
  <si>
    <t>.787|1|.35</t>
  </si>
  <si>
    <t>1.042|1|1</t>
  </si>
  <si>
    <t>1.083|1|1</t>
  </si>
  <si>
    <t>1.125|1|1</t>
  </si>
  <si>
    <t>.958|1|1</t>
  </si>
  <si>
    <t>.917|1|1</t>
  </si>
  <si>
    <t>.875|1|1</t>
  </si>
  <si>
    <t>1.125|1.1|1</t>
  </si>
  <si>
    <t>1.125|.9|1</t>
  </si>
  <si>
    <t>.875|1.1|1</t>
  </si>
  <si>
    <t>.875|.9|1</t>
  </si>
  <si>
    <t>1.25|1|.35</t>
  </si>
  <si>
    <t>.75|1|.35</t>
  </si>
  <si>
    <t>20180223-CICC-MRJH-SIK18-SWP-60</t>
  </si>
  <si>
    <t>b</t>
  </si>
  <si>
    <t>sik18e</t>
  </si>
  <si>
    <t>si</t>
  </si>
  <si>
    <t>1.025|1|1</t>
  </si>
  <si>
    <t>1.051|1|1</t>
  </si>
  <si>
    <t>1.076|1|1</t>
  </si>
  <si>
    <t>.975|1|1</t>
  </si>
  <si>
    <t>.949|1|1</t>
  </si>
  <si>
    <t>.924|1|1</t>
  </si>
  <si>
    <t>1.076|1.1|1</t>
  </si>
  <si>
    <t>1.076|.9|1</t>
  </si>
  <si>
    <t>.924|1.1|1</t>
  </si>
  <si>
    <t>.924|.9|1</t>
  </si>
  <si>
    <t>1.152|1|.35</t>
  </si>
  <si>
    <t>.848|1|.35</t>
  </si>
  <si>
    <t>ah</t>
  </si>
  <si>
    <t>lmah</t>
  </si>
  <si>
    <t>1.016|1|1</t>
  </si>
  <si>
    <t>1.032|1|1</t>
  </si>
  <si>
    <t>1.048|1|1</t>
  </si>
  <si>
    <t>.984|1|1</t>
  </si>
  <si>
    <t>.968|1|1</t>
  </si>
  <si>
    <t>.952|1|1</t>
  </si>
  <si>
    <t>1.048|1.1|1</t>
  </si>
  <si>
    <t>1.048|.9|1</t>
  </si>
  <si>
    <t>.952|1.1|1</t>
  </si>
  <si>
    <t>.952|.9|1</t>
  </si>
  <si>
    <t>1.097|1|.35</t>
  </si>
  <si>
    <t>.903|1|.35</t>
  </si>
  <si>
    <t>20180227-CICC-MRJH-SIK18-SWP-59</t>
  </si>
  <si>
    <t>20180309-CICC-MRJH-LMECA-SWP-89</t>
  </si>
  <si>
    <t>lmca</t>
  </si>
  <si>
    <t>1.039|1|1</t>
  </si>
  <si>
    <t>.961|1|1</t>
  </si>
  <si>
    <t>1.117|1|.35</t>
  </si>
  <si>
    <t>.883|1|.35</t>
  </si>
  <si>
    <t>20180316-CICC-MRJH-SIN18-SWP-C-63</t>
  </si>
  <si>
    <t>sin18e</t>
  </si>
  <si>
    <t>20180326-CICC-MRJH-CA-SWP-86</t>
  </si>
  <si>
    <t>20180307-CICC-MRJH-SIK18-SWP-51-2</t>
  </si>
  <si>
    <t>20180328-CICC-MRJH-GCZ8-SWP-92</t>
  </si>
  <si>
    <t>gcz18e</t>
  </si>
  <si>
    <t>gc</t>
  </si>
  <si>
    <t>1.014|1|1</t>
  </si>
  <si>
    <t>1.028|1|1</t>
  </si>
  <si>
    <t>.986|1|1</t>
  </si>
  <si>
    <t>.972|1|1</t>
  </si>
  <si>
    <t>1.042|1.1|1</t>
  </si>
  <si>
    <t>1.042|.9|1</t>
  </si>
  <si>
    <t>.958|1.1|1</t>
  </si>
  <si>
    <t>.958|.9|1</t>
  </si>
  <si>
    <t>1.085|1|.35</t>
  </si>
  <si>
    <t>.915|1|.35</t>
  </si>
  <si>
    <t>20180328-CICC-MRJH-SIN8-SWP-51</t>
  </si>
  <si>
    <t>20180328-CICC-MRJH-LMEAH-SWP-22</t>
  </si>
  <si>
    <t>20180327-CICC-MRJH-LMECA-SWP-87</t>
  </si>
  <si>
    <t>20171109-CICC-ZYXD-RB1805-VAN-P-155-UW</t>
  </si>
  <si>
    <t>20171109-CICC-ZYXD-RB1805-VAN-P-155-UW</t>
    <phoneticPr fontId="1" type="noConversion"/>
  </si>
  <si>
    <t>20180410-CICC-MRJH-LMEAH-SWP-86</t>
  </si>
  <si>
    <t>p</t>
    <phoneticPr fontId="1" type="noConversion"/>
  </si>
  <si>
    <t>ah</t>
    <phoneticPr fontId="1" type="noConversion"/>
  </si>
  <si>
    <t>gcz18e</t>
    <phoneticPr fontId="1" type="noConversion"/>
  </si>
  <si>
    <t>20180411-CICC-MRJH-LMEAH-SWP-85</t>
  </si>
  <si>
    <t>c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</si>
</sst>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 * #,##0.00_ ;_ * \-#,##0.00_ ;_ * &quot;-&quot;??_ ;_ @_ "/>
    <numFmt numFmtId="176" formatCode="[$-409]d\-mmm\-yy;@"/>
    <numFmt numFmtId="177" formatCode="0.000"/>
    <numFmt numFmtId="178" formatCode="###,###,##0.000000"/>
    <numFmt numFmtId="179" formatCode="###,###,##0.0000"/>
  </numFmts>
  <fonts count="12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theme="1"/>
      <name val="宋体"/>
      <family val="2"/>
      <charset val="136"/>
      <scheme val="minor"/>
    </font>
    <font>
      <sz val="10"/>
      <color theme="1"/>
      <name val="宋体"/>
      <family val="3"/>
      <charset val="134"/>
      <scheme val="minor"/>
    </font>
    <font>
      <sz val="10"/>
      <color theme="1"/>
      <name val="宋体"/>
      <family val="2"/>
      <scheme val="minor"/>
    </font>
    <font>
      <sz val="11"/>
      <name val="宋体"/>
      <family val="2"/>
      <scheme val="minor"/>
    </font>
    <font>
      <sz val="11"/>
      <name val="宋体"/>
      <family val="3"/>
      <charset val="134"/>
      <scheme val="minor"/>
    </font>
    <font>
      <sz val="9"/>
      <color theme="1"/>
      <name val="宋体"/>
      <family val="2"/>
      <scheme val="minor"/>
    </font>
    <font>
      <sz val="9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2"/>
      <scheme val="minor"/>
    </font>
    <font>
      <sz val="11"/>
      <color rgb="FF000000"/>
      <name val="宋体"/>
      <family val="3"/>
      <charset val="134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3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3">
    <xf numFmtId="0" fontId="0" fillId="0" borderId="0"/>
    <xf numFmtId="0" fontId="2" fillId="0" borderId="0"/>
    <xf numFmtId="43" fontId="10" fillId="0" borderId="0" applyFont="0" applyFill="0" applyBorder="0" applyAlignment="0" applyProtection="0">
      <alignment vertical="center"/>
    </xf>
  </cellStyleXfs>
  <cellXfs count="39">
    <xf numFmtId="0" fontId="0" fillId="0" borderId="0" xfId="0"/>
    <xf numFmtId="0" fontId="3" fillId="0" borderId="0" xfId="0" applyFont="1"/>
    <xf numFmtId="0" fontId="3" fillId="0" borderId="0" xfId="0" applyNumberFormat="1" applyFont="1"/>
    <xf numFmtId="0" fontId="0" fillId="0" borderId="0" xfId="0" applyAlignment="1">
      <alignment horizontal="left"/>
    </xf>
    <xf numFmtId="1" fontId="0" fillId="0" borderId="0" xfId="0" applyNumberFormat="1"/>
    <xf numFmtId="0" fontId="5" fillId="0" borderId="0" xfId="0" applyFont="1"/>
    <xf numFmtId="0" fontId="7" fillId="0" borderId="0" xfId="0" applyFont="1"/>
    <xf numFmtId="14" fontId="8" fillId="0" borderId="0" xfId="0" applyNumberFormat="1" applyFont="1"/>
    <xf numFmtId="1" fontId="8" fillId="0" borderId="0" xfId="0" applyNumberFormat="1" applyFont="1"/>
    <xf numFmtId="0" fontId="8" fillId="0" borderId="0" xfId="0" applyFont="1"/>
    <xf numFmtId="177" fontId="8" fillId="0" borderId="0" xfId="0" applyNumberFormat="1" applyFont="1"/>
    <xf numFmtId="0" fontId="6" fillId="0" borderId="0" xfId="0" applyFont="1"/>
    <xf numFmtId="0" fontId="4" fillId="0" borderId="0" xfId="0" applyFont="1" applyAlignment="1">
      <alignment horizontal="center"/>
    </xf>
    <xf numFmtId="14" fontId="3" fillId="0" borderId="0" xfId="0" applyNumberFormat="1" applyFont="1"/>
    <xf numFmtId="178" fontId="3" fillId="0" borderId="0" xfId="0" applyNumberFormat="1" applyFont="1"/>
    <xf numFmtId="0" fontId="8" fillId="0" borderId="0" xfId="1" applyFont="1" applyFill="1" applyAlignment="1">
      <alignment horizontal="center"/>
    </xf>
    <xf numFmtId="0" fontId="8" fillId="0" borderId="0" xfId="1" applyFont="1" applyFill="1"/>
    <xf numFmtId="176" fontId="8" fillId="0" borderId="0" xfId="1" applyNumberFormat="1" applyFont="1" applyFill="1"/>
    <xf numFmtId="0" fontId="8" fillId="0" borderId="0" xfId="0" applyFont="1" applyFill="1"/>
    <xf numFmtId="14" fontId="8" fillId="0" borderId="0" xfId="0" applyNumberFormat="1" applyFont="1" applyFill="1"/>
    <xf numFmtId="1" fontId="8" fillId="0" borderId="0" xfId="0" applyNumberFormat="1" applyFont="1" applyFill="1"/>
    <xf numFmtId="0" fontId="8" fillId="2" borderId="0" xfId="0" applyFont="1" applyFill="1"/>
    <xf numFmtId="9" fontId="8" fillId="0" borderId="0" xfId="0" applyNumberFormat="1" applyFont="1"/>
    <xf numFmtId="0" fontId="0" fillId="3" borderId="1" xfId="0" applyFont="1" applyFill="1" applyBorder="1"/>
    <xf numFmtId="0" fontId="0" fillId="3" borderId="2" xfId="0" applyFont="1" applyFill="1" applyBorder="1"/>
    <xf numFmtId="0" fontId="0" fillId="0" borderId="1" xfId="0" applyFont="1" applyBorder="1"/>
    <xf numFmtId="0" fontId="5" fillId="0" borderId="2" xfId="0" applyFont="1" applyBorder="1"/>
    <xf numFmtId="177" fontId="8" fillId="0" borderId="0" xfId="0" applyNumberFormat="1" applyFont="1" applyFill="1"/>
    <xf numFmtId="179" fontId="3" fillId="0" borderId="0" xfId="0" applyNumberFormat="1" applyFont="1"/>
    <xf numFmtId="1" fontId="7" fillId="0" borderId="0" xfId="0" applyNumberFormat="1" applyFont="1"/>
    <xf numFmtId="43" fontId="0" fillId="0" borderId="0" xfId="2" applyFont="1" applyAlignment="1"/>
    <xf numFmtId="14" fontId="0" fillId="0" borderId="0" xfId="0" applyNumberFormat="1"/>
    <xf numFmtId="43" fontId="8" fillId="0" borderId="0" xfId="0" applyNumberFormat="1" applyFont="1"/>
    <xf numFmtId="3" fontId="11" fillId="0" borderId="0" xfId="0" applyNumberFormat="1" applyFont="1"/>
    <xf numFmtId="0" fontId="4" fillId="2" borderId="0" xfId="0" applyFont="1" applyFill="1"/>
    <xf numFmtId="14" fontId="3" fillId="2" borderId="0" xfId="0" applyNumberFormat="1" applyFont="1" applyFill="1"/>
    <xf numFmtId="43" fontId="8" fillId="0" borderId="0" xfId="0" applyNumberFormat="1" applyFont="1" applyFill="1"/>
    <xf numFmtId="0" fontId="4" fillId="0" borderId="0" xfId="0" applyFont="1" applyAlignment="1">
      <alignment horizontal="center"/>
    </xf>
    <xf numFmtId="0" fontId="8" fillId="0" borderId="0" xfId="0" applyFont="1" applyAlignment="1">
      <alignment horizontal="center"/>
    </xf>
  </cellXfs>
  <cellStyles count="3">
    <cellStyle name="常规" xfId="0" builtinId="0"/>
    <cellStyle name="常规 25" xfId="1"/>
    <cellStyle name="千位分隔" xfId="2" builtinId="3"/>
  </cellStyles>
  <dxfs count="127"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180" formatCode="###,##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10"/>
        <color theme="1"/>
        <name val="宋体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sz val="9"/>
        <color theme="1"/>
        <name val="宋体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77" formatCode="0.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  <numFmt numFmtId="19" formatCode="yyyy/m/d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宋体"/>
        <scheme val="minor"/>
      </font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</xdr:row>
          <xdr:rowOff>0</xdr:rowOff>
        </xdr:from>
        <xdr:to>
          <xdr:col>2</xdr:col>
          <xdr:colOff>685800</xdr:colOff>
          <xdr:row>4</xdr:row>
          <xdr:rowOff>19050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Wind\Wind.NET.Client\WindNET\DataBrowse\XLA\WindFunc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heet2"/>
      <sheetName val="Sheet3"/>
    </sheetNames>
    <definedNames>
      <definedName name="s_dq_close"/>
    </definedNames>
    <sheetDataSet>
      <sheetData sheetId="0"/>
      <sheetData sheetId="1"/>
      <sheetData sheetId="2"/>
    </sheetDataSet>
  </externalBook>
</externalLink>
</file>

<file path=xl/tables/table1.xml><?xml version="1.0" encoding="utf-8"?>
<table xmlns="http://schemas.openxmlformats.org/spreadsheetml/2006/main" id="4" name="tbl_senario" displayName="tbl_senario" ref="B6:AR30" totalsRowShown="0" headerRowDxfId="126" dataDxfId="125">
  <autoFilter ref="B6:AR30"/>
  <tableColumns count="43">
    <tableColumn id="1" name="ID" dataDxfId="124"/>
    <tableColumn id="2" name="cpty" dataDxfId="123"/>
    <tableColumn id="43" name="prd_type" dataDxfId="122"/>
    <tableColumn id="3" name="volume" dataDxfId="121"/>
    <tableColumn id="4" name="k" dataDxfId="120"/>
    <tableColumn id="41" name="trade_date" dataDxfId="119"/>
    <tableColumn id="5" name="exp_date" dataDxfId="118"/>
    <tableColumn id="42" name="prem_date" dataDxfId="117"/>
    <tableColumn id="6" name="prem" dataDxfId="116"/>
    <tableColumn id="7" name="type" dataDxfId="115"/>
    <tableColumn id="8" name="underlying" dataDxfId="114"/>
    <tableColumn id="9" name="prod" dataDxfId="113"/>
    <tableColumn id="38" name="qty" dataDxfId="112"/>
    <tableColumn id="10" name="price_st" dataDxfId="111"/>
    <tableColumn id="11" name="vol" dataDxfId="110"/>
    <tableColumn id="12" name="param_senario1" dataDxfId="109"/>
    <tableColumn id="13" name="param_senario2" dataDxfId="108"/>
    <tableColumn id="14" name="param_senario3" dataDxfId="107"/>
    <tableColumn id="15" name="param_senario4" dataDxfId="106"/>
    <tableColumn id="16" name="param_senario5" dataDxfId="105"/>
    <tableColumn id="17" name="param_senario6" dataDxfId="104"/>
    <tableColumn id="18" name="param_senario7" dataDxfId="103"/>
    <tableColumn id="19" name="param_senario8" dataDxfId="102"/>
    <tableColumn id="20" name="param_senario9" dataDxfId="101"/>
    <tableColumn id="21" name="param_senario10" dataDxfId="100"/>
    <tableColumn id="22" name="param_senario11" dataDxfId="99"/>
    <tableColumn id="23" name="param_senario12" dataDxfId="98"/>
    <tableColumn id="24" name="param_senario13" dataDxfId="97"/>
    <tableColumn id="39" name="vol_ref" dataDxfId="96"/>
    <tableColumn id="40" name="vol_adj" dataDxfId="95">
      <calculatedColumnFormula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calculatedColumnFormula>
    </tableColumn>
    <tableColumn id="25" name="senario1" dataDxfId="94" totalsRowDxfId="93">
      <calculatedColumnFormula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calculatedColumnFormula>
    </tableColumn>
    <tableColumn id="26" name="senario2" dataDxfId="92" totalsRowDxfId="91">
      <calculatedColumnFormula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calculatedColumnFormula>
    </tableColumn>
    <tableColumn id="27" name="senario3" dataDxfId="90" totalsRowDxfId="89">
      <calculatedColumnFormula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calculatedColumnFormula>
    </tableColumn>
    <tableColumn id="28" name="senario4" dataDxfId="88" totalsRowDxfId="87">
      <calculatedColumnFormula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calculatedColumnFormula>
    </tableColumn>
    <tableColumn id="29" name="senario5" dataDxfId="86" totalsRowDxfId="85">
      <calculatedColumnFormula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calculatedColumnFormula>
    </tableColumn>
    <tableColumn id="30" name="senario6" dataDxfId="84" totalsRowDxfId="83">
      <calculatedColumnFormula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calculatedColumnFormula>
    </tableColumn>
    <tableColumn id="31" name="senario7" dataDxfId="82" totalsRowDxfId="81">
      <calculatedColumnFormula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calculatedColumnFormula>
    </tableColumn>
    <tableColumn id="32" name="senario8" dataDxfId="80" totalsRowDxfId="79">
      <calculatedColumnFormula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calculatedColumnFormula>
    </tableColumn>
    <tableColumn id="33" name="senario9" dataDxfId="78" totalsRowDxfId="77">
      <calculatedColumnFormula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calculatedColumnFormula>
    </tableColumn>
    <tableColumn id="34" name="senario10" dataDxfId="76" totalsRowDxfId="75">
      <calculatedColumnFormula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calculatedColumnFormula>
    </tableColumn>
    <tableColumn id="35" name="senario11" dataDxfId="74" totalsRowDxfId="73">
      <calculatedColumnFormula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calculatedColumnFormula>
    </tableColumn>
    <tableColumn id="36" name="senario12" dataDxfId="72" totalsRowDxfId="71">
      <calculatedColumnFormula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calculatedColumnFormula>
    </tableColumn>
    <tableColumn id="37" name="senario13" dataDxfId="70" totalsRowDxfId="69">
      <calculatedColumnFormula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3" name="tbl_trades" displayName="tbl_trades" ref="B8:N47" totalsRowShown="0" headerRowDxfId="68" dataDxfId="67">
  <autoFilter ref="B8:N47"/>
  <tableColumns count="13">
    <tableColumn id="1" name="ID" dataDxfId="66"/>
    <tableColumn id="2" name="volume" dataDxfId="65"/>
    <tableColumn id="3" name="trade_date" dataDxfId="64"/>
    <tableColumn id="4" name="exp_date" dataDxfId="63"/>
    <tableColumn id="5" name="settle_date" dataDxfId="62"/>
    <tableColumn id="6" name="prem_date" dataDxfId="61"/>
    <tableColumn id="7" name="k" dataDxfId="60"/>
    <tableColumn id="10" name="prem" dataDxfId="59"/>
    <tableColumn id="11" name="type" dataDxfId="58"/>
    <tableColumn id="12" name="prd_type" dataDxfId="57"/>
    <tableColumn id="13" name="underlying" dataDxfId="56"/>
    <tableColumn id="14" name="cpty" dataDxfId="55"/>
    <tableColumn id="8" name="vol_ref" dataDxfId="5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5" name="tbl_ticker" displayName="tbl_ticker" ref="B6:J21" totalsRowShown="0" headerRowDxfId="53" dataDxfId="52">
  <autoFilter ref="B6:J21"/>
  <tableColumns count="9">
    <tableColumn id="1" name="ticker" dataDxfId="51"/>
    <tableColumn id="2" name="prod" dataDxfId="50"/>
    <tableColumn id="6" name="exchange" dataDxfId="49"/>
    <tableColumn id="7" name="w_ticker" dataDxfId="48">
      <calculatedColumnFormula>tbl_ticker[[#This Row],[ticker]]&amp;"."&amp;tbl_ticker[[#This Row],[exchange]]</calculatedColumnFormula>
    </tableColumn>
    <tableColumn id="9" name="multiplier" dataDxfId="47"/>
    <tableColumn id="3" name="vol" dataDxfId="46"/>
    <tableColumn id="4" name="carry" dataDxfId="45"/>
    <tableColumn id="8" name="date" dataDxfId="44">
      <calculatedColumnFormula>TODAY()</calculatedColumnFormula>
    </tableColumn>
    <tableColumn id="5" name="price_st" dataDxfId="43">
      <calculatedColumnFormula>[1]!s_dq_close(E7,I7,1)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1" name="tbl_var" displayName="tbl_var" ref="B6:AP16" totalsRowShown="0" headerRowDxfId="42" dataDxfId="41">
  <autoFilter ref="B6:AP16"/>
  <tableColumns count="41">
    <tableColumn id="1" name="client" dataDxfId="40"/>
    <tableColumn id="7" name="x" dataDxfId="39"/>
    <tableColumn id="6" name="k" dataDxfId="38"/>
    <tableColumn id="2" name="zn" dataDxfId="37"/>
    <tableColumn id="3" name="al" dataDxfId="36"/>
    <tableColumn id="4" name="sn" dataDxfId="35"/>
    <tableColumn id="8" name="ni" dataDxfId="34"/>
    <tableColumn id="5" name="cu" dataDxfId="33"/>
    <tableColumn id="9" name="jm" dataDxfId="32"/>
    <tableColumn id="10" name="j" dataDxfId="31"/>
    <tableColumn id="11" name="hc" dataDxfId="30"/>
    <tableColumn id="12" name="i" dataDxfId="29"/>
    <tableColumn id="13" name="rb" dataDxfId="28"/>
    <tableColumn id="14" name="au" dataDxfId="27"/>
    <tableColumn id="15" name="ag" dataDxfId="26"/>
    <tableColumn id="16" name="cs" dataDxfId="25"/>
    <tableColumn id="17" name="jd" dataDxfId="24"/>
    <tableColumn id="18" name="p" dataDxfId="23"/>
    <tableColumn id="19" name="oi" dataDxfId="22"/>
    <tableColumn id="20" name="rm" dataDxfId="21"/>
    <tableColumn id="21" name="cf" dataDxfId="20"/>
    <tableColumn id="22" name="a" dataDxfId="19"/>
    <tableColumn id="23" name="y" dataDxfId="18"/>
    <tableColumn id="24" name="m" dataDxfId="17"/>
    <tableColumn id="25" name="c" dataDxfId="16"/>
    <tableColumn id="26" name="sr" dataDxfId="15"/>
    <tableColumn id="27" name="zc" dataDxfId="14"/>
    <tableColumn id="28" name="bu" dataDxfId="13"/>
    <tableColumn id="29" name="ma" dataDxfId="12"/>
    <tableColumn id="30" name="pp" dataDxfId="11"/>
    <tableColumn id="31" name="l" dataDxfId="10"/>
    <tableColumn id="32" name="fg" dataDxfId="9"/>
    <tableColumn id="33" name="ru" dataDxfId="8"/>
    <tableColumn id="34" name="ta" dataDxfId="7"/>
    <tableColumn id="35" name="lmca" dataDxfId="6"/>
    <tableColumn id="36" name="lmah" dataDxfId="5"/>
    <tableColumn id="37" name="lmpb" dataDxfId="4"/>
    <tableColumn id="38" name="lmni" dataDxfId="3"/>
    <tableColumn id="39" name="gc" dataDxfId="2"/>
    <tableColumn id="40" name="si" dataDxfId="1"/>
    <tableColumn id="41" name="ca" dataDxfId="0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6" name="tbl_sena" displayName="tbl_sena" ref="B6:E19" totalsRowShown="0">
  <autoFilter ref="B6:E19"/>
  <tableColumns count="4">
    <tableColumn id="1" name="senario#"/>
    <tableColumn id="2" name="formula1"/>
    <tableColumn id="3" name="formula2"/>
    <tableColumn id="4" name="risk_coef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4:C7"/>
  <sheetViews>
    <sheetView workbookViewId="0">
      <selection activeCell="C34" sqref="C34"/>
    </sheetView>
  </sheetViews>
  <sheetFormatPr defaultRowHeight="13.5"/>
  <cols>
    <col min="1" max="1" width="9.75" customWidth="1"/>
    <col min="2" max="2" width="16.625" customWidth="1"/>
    <col min="3" max="5" width="20" customWidth="1"/>
    <col min="6" max="6" width="18.75" customWidth="1"/>
    <col min="7" max="9" width="18.75" bestFit="1" customWidth="1"/>
    <col min="10" max="10" width="20" customWidth="1"/>
    <col min="11" max="11" width="20" bestFit="1" customWidth="1"/>
    <col min="12" max="12" width="18.75" customWidth="1"/>
    <col min="13" max="13" width="20" customWidth="1"/>
    <col min="14" max="14" width="20" bestFit="1" customWidth="1"/>
  </cols>
  <sheetData>
    <row r="4" spans="1:3">
      <c r="A4" s="3"/>
      <c r="B4" s="4"/>
      <c r="C4" s="4"/>
    </row>
    <row r="5" spans="1:3">
      <c r="A5" s="3"/>
      <c r="B5" s="4"/>
      <c r="C5" s="4"/>
    </row>
    <row r="6" spans="1:3">
      <c r="A6" s="3"/>
      <c r="B6" s="4"/>
      <c r="C6" s="4"/>
    </row>
    <row r="7" spans="1:3">
      <c r="A7" s="3"/>
      <c r="B7" s="4"/>
      <c r="C7" s="4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3:AT30"/>
  <sheetViews>
    <sheetView tabSelected="1" zoomScaleNormal="100" workbookViewId="0">
      <selection activeCell="O2" sqref="O2"/>
    </sheetView>
  </sheetViews>
  <sheetFormatPr defaultRowHeight="11.25"/>
  <cols>
    <col min="1" max="1" width="9" style="6"/>
    <col min="2" max="2" width="29.625" style="6" bestFit="1" customWidth="1"/>
    <col min="3" max="3" width="33.875" style="6" bestFit="1" customWidth="1"/>
    <col min="4" max="4" width="8.5" style="6" bestFit="1" customWidth="1"/>
    <col min="5" max="5" width="6.75" style="6" bestFit="1" customWidth="1"/>
    <col min="6" max="6" width="9.75" style="6" bestFit="1" customWidth="1"/>
    <col min="7" max="7" width="10.25" style="6" bestFit="1" customWidth="1"/>
    <col min="8" max="8" width="8.5" style="6" bestFit="1" customWidth="1"/>
    <col min="9" max="9" width="9.375" style="6" bestFit="1" customWidth="1"/>
    <col min="10" max="10" width="10.5" style="6" bestFit="1" customWidth="1"/>
    <col min="11" max="11" width="5" style="6" bestFit="1" customWidth="1"/>
    <col min="12" max="12" width="10.25" style="6" bestFit="1" customWidth="1"/>
    <col min="13" max="13" width="5" style="6" bestFit="1" customWidth="1"/>
    <col min="14" max="14" width="6" style="6" bestFit="1" customWidth="1"/>
    <col min="15" max="15" width="8.5" style="6" bestFit="1" customWidth="1"/>
    <col min="16" max="16" width="4.5" style="6" bestFit="1" customWidth="1"/>
    <col min="17" max="25" width="14.125" style="6" hidden="1" customWidth="1"/>
    <col min="26" max="29" width="15.125" style="6" hidden="1" customWidth="1"/>
    <col min="30" max="31" width="7.625" style="6" bestFit="1" customWidth="1"/>
    <col min="32" max="40" width="8.5" style="6" bestFit="1" customWidth="1"/>
    <col min="41" max="44" width="9.375" style="6" bestFit="1" customWidth="1"/>
    <col min="45" max="16384" width="9" style="6"/>
  </cols>
  <sheetData>
    <row r="3" spans="1:46">
      <c r="B3" s="6" t="s">
        <v>36</v>
      </c>
    </row>
    <row r="4" spans="1:46">
      <c r="B4" s="7">
        <f ca="1">TODAY()</f>
        <v>43201</v>
      </c>
      <c r="AE4" s="8"/>
    </row>
    <row r="6" spans="1:46">
      <c r="A6" s="6" t="s">
        <v>217</v>
      </c>
      <c r="B6" s="6" t="s">
        <v>201</v>
      </c>
      <c r="C6" s="6" t="s">
        <v>80</v>
      </c>
      <c r="D6" s="6" t="s">
        <v>164</v>
      </c>
      <c r="E6" s="6" t="s">
        <v>72</v>
      </c>
      <c r="F6" s="6" t="s">
        <v>13</v>
      </c>
      <c r="G6" s="6" t="s">
        <v>92</v>
      </c>
      <c r="H6" s="6" t="s">
        <v>74</v>
      </c>
      <c r="I6" s="6" t="s">
        <v>88</v>
      </c>
      <c r="J6" s="6" t="s">
        <v>78</v>
      </c>
      <c r="K6" s="6" t="s">
        <v>79</v>
      </c>
      <c r="L6" s="6" t="s">
        <v>4</v>
      </c>
      <c r="M6" s="6" t="s">
        <v>81</v>
      </c>
      <c r="N6" s="6" t="s">
        <v>71</v>
      </c>
      <c r="O6" s="6" t="s">
        <v>82</v>
      </c>
      <c r="P6" s="6" t="s">
        <v>0</v>
      </c>
      <c r="Q6" s="6" t="s">
        <v>49</v>
      </c>
      <c r="R6" s="6" t="s">
        <v>50</v>
      </c>
      <c r="S6" s="6" t="s">
        <v>51</v>
      </c>
      <c r="T6" s="6" t="s">
        <v>52</v>
      </c>
      <c r="U6" s="6" t="s">
        <v>53</v>
      </c>
      <c r="V6" s="6" t="s">
        <v>54</v>
      </c>
      <c r="W6" s="6" t="s">
        <v>55</v>
      </c>
      <c r="X6" s="6" t="s">
        <v>56</v>
      </c>
      <c r="Y6" s="6" t="s">
        <v>57</v>
      </c>
      <c r="Z6" s="6" t="s">
        <v>58</v>
      </c>
      <c r="AA6" s="6" t="s">
        <v>59</v>
      </c>
      <c r="AB6" s="6" t="s">
        <v>60</v>
      </c>
      <c r="AC6" s="6" t="s">
        <v>61</v>
      </c>
      <c r="AD6" s="6" t="s">
        <v>90</v>
      </c>
      <c r="AE6" s="6" t="s">
        <v>91</v>
      </c>
      <c r="AF6" s="6" t="s">
        <v>37</v>
      </c>
      <c r="AG6" s="6" t="s">
        <v>19</v>
      </c>
      <c r="AH6" s="6" t="s">
        <v>21</v>
      </c>
      <c r="AI6" s="6" t="s">
        <v>22</v>
      </c>
      <c r="AJ6" s="6" t="s">
        <v>23</v>
      </c>
      <c r="AK6" s="6" t="s">
        <v>24</v>
      </c>
      <c r="AL6" s="6" t="s">
        <v>25</v>
      </c>
      <c r="AM6" s="6" t="s">
        <v>26</v>
      </c>
      <c r="AN6" s="6" t="s">
        <v>27</v>
      </c>
      <c r="AO6" s="6" t="s">
        <v>28</v>
      </c>
      <c r="AP6" s="6" t="s">
        <v>29</v>
      </c>
      <c r="AQ6" s="6" t="s">
        <v>30</v>
      </c>
      <c r="AR6" s="6" t="s">
        <v>31</v>
      </c>
    </row>
    <row r="7" spans="1:46" ht="15" customHeight="1">
      <c r="B7" s="9" t="s">
        <v>66</v>
      </c>
      <c r="C7" s="9" t="s">
        <v>110</v>
      </c>
      <c r="D7" s="9" t="s">
        <v>165</v>
      </c>
      <c r="E7" s="9">
        <v>500</v>
      </c>
      <c r="F7" s="9">
        <v>3699.9999992799999</v>
      </c>
      <c r="G7" s="7">
        <v>43140</v>
      </c>
      <c r="H7" s="7">
        <v>43219.625</v>
      </c>
      <c r="I7" s="7">
        <v>43219.625</v>
      </c>
      <c r="J7" s="9">
        <v>-275000.00800000003</v>
      </c>
      <c r="K7" s="9" t="s">
        <v>6</v>
      </c>
      <c r="L7" s="9" t="s">
        <v>64</v>
      </c>
      <c r="M7" s="9" t="s">
        <v>62</v>
      </c>
      <c r="N7" s="9">
        <v>5000</v>
      </c>
      <c r="O7" s="9">
        <v>3395</v>
      </c>
      <c r="P7" s="9">
        <v>0.18</v>
      </c>
      <c r="Q7" s="9" t="s">
        <v>163</v>
      </c>
      <c r="R7" s="9" t="s">
        <v>255</v>
      </c>
      <c r="S7" s="9" t="s">
        <v>256</v>
      </c>
      <c r="T7" s="9" t="s">
        <v>257</v>
      </c>
      <c r="U7" s="9" t="s">
        <v>258</v>
      </c>
      <c r="V7" s="9" t="s">
        <v>259</v>
      </c>
      <c r="W7" s="9" t="s">
        <v>260</v>
      </c>
      <c r="X7" s="9" t="s">
        <v>261</v>
      </c>
      <c r="Y7" s="9" t="s">
        <v>262</v>
      </c>
      <c r="Z7" s="9" t="s">
        <v>263</v>
      </c>
      <c r="AA7" s="9" t="s">
        <v>264</v>
      </c>
      <c r="AB7" s="9" t="s">
        <v>265</v>
      </c>
      <c r="AC7" s="9" t="s">
        <v>266</v>
      </c>
      <c r="AD7" s="9">
        <v>0.125</v>
      </c>
      <c r="AE7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0.16713500784929355</v>
      </c>
      <c r="AF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1251048.8401942002</v>
      </c>
      <c r="AG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666279.36350409675</v>
      </c>
      <c r="AH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189573.71771070675</v>
      </c>
      <c r="AI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-116295.26200292769</v>
      </c>
      <c r="AJ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1859022.0577176437</v>
      </c>
      <c r="AK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2452441.7099556611</v>
      </c>
      <c r="AL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3062916.7528843014</v>
      </c>
      <c r="AM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-90346.928558373824</v>
      </c>
      <c r="AN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-141799.65397339343</v>
      </c>
      <c r="AO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3062916.8539331253</v>
      </c>
      <c r="AP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3062916.7456840151</v>
      </c>
      <c r="AQ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-274826.30136430403</v>
      </c>
      <c r="AR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1522400.9705333165</v>
      </c>
    </row>
    <row r="8" spans="1:46">
      <c r="B8" s="9" t="s">
        <v>67</v>
      </c>
      <c r="C8" s="9" t="s">
        <v>110</v>
      </c>
      <c r="D8" s="9" t="s">
        <v>165</v>
      </c>
      <c r="E8" s="9">
        <v>1000</v>
      </c>
      <c r="F8" s="9">
        <v>3720.0000015999999</v>
      </c>
      <c r="G8" s="7">
        <v>43140</v>
      </c>
      <c r="H8" s="7">
        <v>43203.625</v>
      </c>
      <c r="I8" s="7">
        <v>43203.625</v>
      </c>
      <c r="J8" s="9">
        <v>-499999.99575</v>
      </c>
      <c r="K8" s="9" t="s">
        <v>6</v>
      </c>
      <c r="L8" s="9" t="s">
        <v>64</v>
      </c>
      <c r="M8" s="9" t="s">
        <v>62</v>
      </c>
      <c r="N8" s="9">
        <v>10000</v>
      </c>
      <c r="O8" s="9">
        <v>3395</v>
      </c>
      <c r="P8" s="9">
        <v>0.18</v>
      </c>
      <c r="Q8" s="9" t="s">
        <v>163</v>
      </c>
      <c r="R8" s="9" t="s">
        <v>255</v>
      </c>
      <c r="S8" s="9" t="s">
        <v>256</v>
      </c>
      <c r="T8" s="9" t="s">
        <v>257</v>
      </c>
      <c r="U8" s="9" t="s">
        <v>258</v>
      </c>
      <c r="V8" s="9" t="s">
        <v>259</v>
      </c>
      <c r="W8" s="9" t="s">
        <v>260</v>
      </c>
      <c r="X8" s="9" t="s">
        <v>261</v>
      </c>
      <c r="Y8" s="9" t="s">
        <v>262</v>
      </c>
      <c r="Z8" s="9" t="s">
        <v>263</v>
      </c>
      <c r="AA8" s="9" t="s">
        <v>264</v>
      </c>
      <c r="AB8" s="9" t="s">
        <v>265</v>
      </c>
      <c r="AC8" s="9" t="s">
        <v>266</v>
      </c>
      <c r="AD8" s="9">
        <v>0.125</v>
      </c>
      <c r="AE8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0.17773084479371315</v>
      </c>
      <c r="AF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2749532.5881670825</v>
      </c>
      <c r="AG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1527521.4302222137</v>
      </c>
      <c r="AH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355142.69448195363</v>
      </c>
      <c r="AI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-416584.94544455205</v>
      </c>
      <c r="AJ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3971556.804863614</v>
      </c>
      <c r="AK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5159635.9044834515</v>
      </c>
      <c r="AL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6381660.1212352915</v>
      </c>
      <c r="AM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-398354.2468992449</v>
      </c>
      <c r="AN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-433987.22393299022</v>
      </c>
      <c r="AO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6381660.1212352915</v>
      </c>
      <c r="AP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6381660.1212352915</v>
      </c>
      <c r="AQ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-499999.99574977654</v>
      </c>
      <c r="AR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3167944.8907918846</v>
      </c>
    </row>
    <row r="9" spans="1:46">
      <c r="B9" s="9" t="s">
        <v>100</v>
      </c>
      <c r="C9" s="9" t="s">
        <v>114</v>
      </c>
      <c r="D9" s="9" t="s">
        <v>165</v>
      </c>
      <c r="E9" s="9">
        <v>-500</v>
      </c>
      <c r="F9" s="9">
        <v>3599.9999997999998</v>
      </c>
      <c r="G9" s="7">
        <v>43048</v>
      </c>
      <c r="H9" s="7">
        <v>43203.625</v>
      </c>
      <c r="I9" s="7">
        <v>43048</v>
      </c>
      <c r="J9" s="9">
        <v>931199.99399999995</v>
      </c>
      <c r="K9" s="9" t="s">
        <v>6</v>
      </c>
      <c r="L9" s="9" t="s">
        <v>108</v>
      </c>
      <c r="M9" s="9" t="s">
        <v>62</v>
      </c>
      <c r="N9" s="9">
        <v>-5000</v>
      </c>
      <c r="O9" s="9">
        <v>3663</v>
      </c>
      <c r="P9" s="9">
        <v>0.18</v>
      </c>
      <c r="Q9" s="9" t="s">
        <v>163</v>
      </c>
      <c r="R9" s="9" t="s">
        <v>255</v>
      </c>
      <c r="S9" s="9" t="s">
        <v>256</v>
      </c>
      <c r="T9" s="9" t="s">
        <v>257</v>
      </c>
      <c r="U9" s="9" t="s">
        <v>258</v>
      </c>
      <c r="V9" s="9" t="s">
        <v>259</v>
      </c>
      <c r="W9" s="9" t="s">
        <v>260</v>
      </c>
      <c r="X9" s="9" t="s">
        <v>261</v>
      </c>
      <c r="Y9" s="9" t="s">
        <v>262</v>
      </c>
      <c r="Z9" s="9" t="s">
        <v>263</v>
      </c>
      <c r="AA9" s="9" t="s">
        <v>264</v>
      </c>
      <c r="AB9" s="9" t="s">
        <v>265</v>
      </c>
      <c r="AC9" s="9" t="s">
        <v>266</v>
      </c>
      <c r="AD9" s="9"/>
      <c r="AE9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0.18</v>
      </c>
      <c r="AF9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-17682.448713545928</v>
      </c>
      <c r="AG9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-19.83304335116997</v>
      </c>
      <c r="AH9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-4.3364008693567866E-4</v>
      </c>
      <c r="AI9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-1.1596813749712402E-10</v>
      </c>
      <c r="AJ9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-357618.67547382374</v>
      </c>
      <c r="AK9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-985230.55312214012</v>
      </c>
      <c r="AL9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-1644468.4488620476</v>
      </c>
      <c r="AM9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-2.9849214411698604E-8</v>
      </c>
      <c r="AN9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-6.8409811100472617E-14</v>
      </c>
      <c r="AO9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-1644468.4491305591</v>
      </c>
      <c r="AP9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-1644468.4488552317</v>
      </c>
      <c r="AQ9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-1.1812581841899889E-39</v>
      </c>
      <c r="AR9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-1254952.7297682294</v>
      </c>
    </row>
    <row r="10" spans="1:46">
      <c r="B10" s="9" t="s">
        <v>101</v>
      </c>
      <c r="C10" s="9" t="s">
        <v>114</v>
      </c>
      <c r="D10" s="9" t="s">
        <v>165</v>
      </c>
      <c r="E10" s="9">
        <v>-500</v>
      </c>
      <c r="F10" s="9">
        <v>4000.0000002000002</v>
      </c>
      <c r="G10" s="7">
        <v>43048</v>
      </c>
      <c r="H10" s="7">
        <v>43203.625</v>
      </c>
      <c r="I10" s="7">
        <v>43048</v>
      </c>
      <c r="J10" s="9">
        <v>1122200.0019999999</v>
      </c>
      <c r="K10" s="9" t="s">
        <v>43</v>
      </c>
      <c r="L10" s="9" t="s">
        <v>108</v>
      </c>
      <c r="M10" s="9" t="s">
        <v>62</v>
      </c>
      <c r="N10" s="9">
        <v>-5000</v>
      </c>
      <c r="O10" s="9">
        <v>3663</v>
      </c>
      <c r="P10" s="9">
        <v>0.18</v>
      </c>
      <c r="Q10" s="9" t="s">
        <v>163</v>
      </c>
      <c r="R10" s="9" t="s">
        <v>255</v>
      </c>
      <c r="S10" s="9" t="s">
        <v>256</v>
      </c>
      <c r="T10" s="9" t="s">
        <v>257</v>
      </c>
      <c r="U10" s="9" t="s">
        <v>258</v>
      </c>
      <c r="V10" s="9" t="s">
        <v>259</v>
      </c>
      <c r="W10" s="9" t="s">
        <v>260</v>
      </c>
      <c r="X10" s="9" t="s">
        <v>261</v>
      </c>
      <c r="Y10" s="9" t="s">
        <v>262</v>
      </c>
      <c r="Z10" s="9" t="s">
        <v>263</v>
      </c>
      <c r="AA10" s="9" t="s">
        <v>264</v>
      </c>
      <c r="AB10" s="9" t="s">
        <v>265</v>
      </c>
      <c r="AC10" s="9" t="s">
        <v>266</v>
      </c>
      <c r="AD10" s="9"/>
      <c r="AE10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0.18</v>
      </c>
      <c r="AF10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-1.951596605504798E-4</v>
      </c>
      <c r="AG10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-21.292171148447657</v>
      </c>
      <c r="AH10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-14598.248528744156</v>
      </c>
      <c r="AI10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-305890.91132422676</v>
      </c>
      <c r="AJ10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-5.3711429978789536E-12</v>
      </c>
      <c r="AK10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-4.3192410512500522E-22</v>
      </c>
      <c r="AL10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-1.1941135943765094E-35</v>
      </c>
      <c r="AM10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-314420.79480158066</v>
      </c>
      <c r="AN10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-298020.78807350463</v>
      </c>
      <c r="AO10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-5.5687194137411526E-29</v>
      </c>
      <c r="AP10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-1.2410650872042959E-44</v>
      </c>
      <c r="AQ10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-775521.69398648338</v>
      </c>
      <c r="AR10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-8.2390917682420484E-99</v>
      </c>
    </row>
    <row r="11" spans="1:46">
      <c r="B11" s="9" t="s">
        <v>102</v>
      </c>
      <c r="C11" s="9" t="s">
        <v>115</v>
      </c>
      <c r="D11" s="9" t="s">
        <v>165</v>
      </c>
      <c r="E11" s="9">
        <v>500</v>
      </c>
      <c r="F11" s="9">
        <v>450</v>
      </c>
      <c r="G11" s="7">
        <v>43048</v>
      </c>
      <c r="H11" s="7">
        <v>43203.625</v>
      </c>
      <c r="I11" s="7">
        <v>43203.625</v>
      </c>
      <c r="J11" s="9">
        <v>-760500</v>
      </c>
      <c r="K11" s="9" t="s">
        <v>6</v>
      </c>
      <c r="L11" s="9" t="s">
        <v>105</v>
      </c>
      <c r="M11" s="9" t="s">
        <v>134</v>
      </c>
      <c r="N11" s="9">
        <v>50000</v>
      </c>
      <c r="O11" s="9">
        <v>435.5</v>
      </c>
      <c r="P11" s="9">
        <v>0.36</v>
      </c>
      <c r="Q11" s="9" t="s">
        <v>163</v>
      </c>
      <c r="R11" s="9" t="s">
        <v>267</v>
      </c>
      <c r="S11" s="9" t="s">
        <v>268</v>
      </c>
      <c r="T11" s="9" t="s">
        <v>269</v>
      </c>
      <c r="U11" s="9" t="s">
        <v>270</v>
      </c>
      <c r="V11" s="9" t="s">
        <v>271</v>
      </c>
      <c r="W11" s="9" t="s">
        <v>272</v>
      </c>
      <c r="X11" s="9" t="s">
        <v>273</v>
      </c>
      <c r="Y11" s="9" t="s">
        <v>274</v>
      </c>
      <c r="Z11" s="9" t="s">
        <v>275</v>
      </c>
      <c r="AA11" s="9" t="s">
        <v>276</v>
      </c>
      <c r="AB11" s="9" t="s">
        <v>277</v>
      </c>
      <c r="AC11" s="9" t="s">
        <v>278</v>
      </c>
      <c r="AD11" s="9">
        <v>0.27</v>
      </c>
      <c r="AE11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0.35848192771084336</v>
      </c>
      <c r="AF11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12664.042862896458</v>
      </c>
      <c r="AG11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-570912.63757063181</v>
      </c>
      <c r="AH11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-742014.97176483984</v>
      </c>
      <c r="AI11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-759951.37508487049</v>
      </c>
      <c r="AJ11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880180.55801741336</v>
      </c>
      <c r="AK11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1771467.1188513897</v>
      </c>
      <c r="AL11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2685879.2547065211</v>
      </c>
      <c r="AM11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-759122.9777313635</v>
      </c>
      <c r="AN11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-760333.1207884741</v>
      </c>
      <c r="AO11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2685879.2951393109</v>
      </c>
      <c r="AP11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2685879.252317694</v>
      </c>
      <c r="AQ11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-760499.99999240856</v>
      </c>
      <c r="AR11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1398251.9722473943</v>
      </c>
    </row>
    <row r="12" spans="1:46">
      <c r="B12" s="9" t="s">
        <v>103</v>
      </c>
      <c r="C12" s="9" t="s">
        <v>115</v>
      </c>
      <c r="D12" s="9" t="s">
        <v>165</v>
      </c>
      <c r="E12" s="9">
        <v>1500</v>
      </c>
      <c r="F12" s="9">
        <v>4000</v>
      </c>
      <c r="G12" s="7">
        <v>43048</v>
      </c>
      <c r="H12" s="7">
        <v>43203.625</v>
      </c>
      <c r="I12" s="7">
        <v>43203.625</v>
      </c>
      <c r="J12" s="9">
        <v>-2317950</v>
      </c>
      <c r="K12" s="9" t="s">
        <v>43</v>
      </c>
      <c r="L12" s="9" t="s">
        <v>108</v>
      </c>
      <c r="M12" s="9" t="s">
        <v>62</v>
      </c>
      <c r="N12" s="9">
        <v>15000</v>
      </c>
      <c r="O12" s="9">
        <v>3663</v>
      </c>
      <c r="P12" s="9">
        <v>0.18</v>
      </c>
      <c r="Q12" s="9" t="s">
        <v>163</v>
      </c>
      <c r="R12" s="9" t="s">
        <v>255</v>
      </c>
      <c r="S12" s="9" t="s">
        <v>256</v>
      </c>
      <c r="T12" s="9" t="s">
        <v>257</v>
      </c>
      <c r="U12" s="9" t="s">
        <v>258</v>
      </c>
      <c r="V12" s="9" t="s">
        <v>259</v>
      </c>
      <c r="W12" s="9" t="s">
        <v>260</v>
      </c>
      <c r="X12" s="9" t="s">
        <v>261</v>
      </c>
      <c r="Y12" s="9" t="s">
        <v>262</v>
      </c>
      <c r="Z12" s="9" t="s">
        <v>263</v>
      </c>
      <c r="AA12" s="9" t="s">
        <v>264</v>
      </c>
      <c r="AB12" s="9" t="s">
        <v>265</v>
      </c>
      <c r="AC12" s="9" t="s">
        <v>266</v>
      </c>
      <c r="AD12" s="9">
        <v>0.255</v>
      </c>
      <c r="AE12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0.18126506024096384</v>
      </c>
      <c r="AF12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-2317949.9992473698</v>
      </c>
      <c r="AG12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-2317879.3082518899</v>
      </c>
      <c r="AH12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-2273016.7609229232</v>
      </c>
      <c r="AI12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-1398538.4119865769</v>
      </c>
      <c r="AJ12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-2317950</v>
      </c>
      <c r="AK12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-2317950</v>
      </c>
      <c r="AL12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-2317950</v>
      </c>
      <c r="AM12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-1372638.6174905943</v>
      </c>
      <c r="AN12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-1422461.6598401438</v>
      </c>
      <c r="AO12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-2317950</v>
      </c>
      <c r="AP12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-2317950</v>
      </c>
      <c r="AQ12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8615.0830093570985</v>
      </c>
      <c r="AR12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-2317950</v>
      </c>
      <c r="AT12" s="29"/>
    </row>
    <row r="13" spans="1:46">
      <c r="B13" s="9" t="s">
        <v>104</v>
      </c>
      <c r="C13" s="9" t="s">
        <v>115</v>
      </c>
      <c r="D13" s="9" t="s">
        <v>165</v>
      </c>
      <c r="E13" s="9">
        <v>1500</v>
      </c>
      <c r="F13" s="9">
        <v>3600</v>
      </c>
      <c r="G13" s="7">
        <v>43048</v>
      </c>
      <c r="H13" s="7">
        <v>43203.625</v>
      </c>
      <c r="I13" s="7">
        <v>43203.625</v>
      </c>
      <c r="J13" s="9">
        <v>-2277450</v>
      </c>
      <c r="K13" s="9" t="s">
        <v>6</v>
      </c>
      <c r="L13" s="9" t="s">
        <v>108</v>
      </c>
      <c r="M13" s="9" t="s">
        <v>62</v>
      </c>
      <c r="N13" s="9">
        <v>15000</v>
      </c>
      <c r="O13" s="9">
        <v>3663</v>
      </c>
      <c r="P13" s="9">
        <v>0.18</v>
      </c>
      <c r="Q13" s="9" t="s">
        <v>163</v>
      </c>
      <c r="R13" s="9" t="s">
        <v>255</v>
      </c>
      <c r="S13" s="9" t="s">
        <v>256</v>
      </c>
      <c r="T13" s="9" t="s">
        <v>257</v>
      </c>
      <c r="U13" s="9" t="s">
        <v>258</v>
      </c>
      <c r="V13" s="9" t="s">
        <v>259</v>
      </c>
      <c r="W13" s="9" t="s">
        <v>260</v>
      </c>
      <c r="X13" s="9" t="s">
        <v>261</v>
      </c>
      <c r="Y13" s="9" t="s">
        <v>262</v>
      </c>
      <c r="Z13" s="9" t="s">
        <v>263</v>
      </c>
      <c r="AA13" s="9" t="s">
        <v>264</v>
      </c>
      <c r="AB13" s="9" t="s">
        <v>265</v>
      </c>
      <c r="AC13" s="9" t="s">
        <v>266</v>
      </c>
      <c r="AD13" s="9">
        <v>0.255</v>
      </c>
      <c r="AE13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0.18126506024096384</v>
      </c>
      <c r="AF13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-2223175.2055280781</v>
      </c>
      <c r="AG13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-2277384.1376721207</v>
      </c>
      <c r="AH13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-2277449.9983456265</v>
      </c>
      <c r="AI13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-2277449.9999999995</v>
      </c>
      <c r="AJ13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-1203560.462562344</v>
      </c>
      <c r="AK13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678244.2845942718</v>
      </c>
      <c r="AL13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2655955.3495927602</v>
      </c>
      <c r="AM13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-2277449.9999998705</v>
      </c>
      <c r="AN13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-2277450</v>
      </c>
      <c r="AO13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2655955.3506220793</v>
      </c>
      <c r="AP13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2655955.3495653328</v>
      </c>
      <c r="AQ13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-2277450</v>
      </c>
      <c r="AR13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1487408.1903545377</v>
      </c>
    </row>
    <row r="14" spans="1:46">
      <c r="B14" s="9" t="s">
        <v>336</v>
      </c>
      <c r="C14" s="9" t="s">
        <v>115</v>
      </c>
      <c r="D14" s="9" t="s">
        <v>165</v>
      </c>
      <c r="E14" s="9">
        <v>-1500</v>
      </c>
      <c r="F14" s="9">
        <v>3600</v>
      </c>
      <c r="G14" s="7">
        <v>43048</v>
      </c>
      <c r="H14" s="7">
        <v>43203.625</v>
      </c>
      <c r="I14" s="7">
        <v>43203.625</v>
      </c>
      <c r="J14" s="9">
        <v>930000</v>
      </c>
      <c r="K14" s="9" t="s">
        <v>6</v>
      </c>
      <c r="L14" s="9" t="s">
        <v>108</v>
      </c>
      <c r="M14" s="9" t="s">
        <v>62</v>
      </c>
      <c r="N14" s="9">
        <v>-15000</v>
      </c>
      <c r="O14" s="9">
        <v>3663</v>
      </c>
      <c r="P14" s="9">
        <v>0.18</v>
      </c>
      <c r="Q14" s="9" t="s">
        <v>163</v>
      </c>
      <c r="R14" s="9" t="s">
        <v>255</v>
      </c>
      <c r="S14" s="9" t="s">
        <v>256</v>
      </c>
      <c r="T14" s="9" t="s">
        <v>257</v>
      </c>
      <c r="U14" s="9" t="s">
        <v>258</v>
      </c>
      <c r="V14" s="9" t="s">
        <v>259</v>
      </c>
      <c r="W14" s="9" t="s">
        <v>260</v>
      </c>
      <c r="X14" s="9" t="s">
        <v>261</v>
      </c>
      <c r="Y14" s="9" t="s">
        <v>262</v>
      </c>
      <c r="Z14" s="9" t="s">
        <v>263</v>
      </c>
      <c r="AA14" s="9" t="s">
        <v>264</v>
      </c>
      <c r="AB14" s="9" t="s">
        <v>265</v>
      </c>
      <c r="AC14" s="9" t="s">
        <v>266</v>
      </c>
      <c r="AD14" s="9">
        <v>0.255</v>
      </c>
      <c r="AE14" s="10">
        <f ca="1"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0.18126506024096384</v>
      </c>
      <c r="AF14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875725.20552807802</v>
      </c>
      <c r="AG14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929934.13767212094</v>
      </c>
      <c r="AH14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929999.99834562652</v>
      </c>
      <c r="AI14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929999.99999999942</v>
      </c>
      <c r="AJ14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-143889.53743765596</v>
      </c>
      <c r="AK14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-2025694.2845942718</v>
      </c>
      <c r="AL14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-4003405.3495927602</v>
      </c>
      <c r="AM14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929999.99999987043</v>
      </c>
      <c r="AN14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930000</v>
      </c>
      <c r="AO14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-4003405.3506220793</v>
      </c>
      <c r="AP14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-4003405.3495653328</v>
      </c>
      <c r="AQ14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930000</v>
      </c>
      <c r="AR14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-2834858.1903545377</v>
      </c>
    </row>
    <row r="15" spans="1:46">
      <c r="B15" s="9" t="s">
        <v>279</v>
      </c>
      <c r="C15" s="9" t="s">
        <v>169</v>
      </c>
      <c r="D15" s="9" t="s">
        <v>241</v>
      </c>
      <c r="E15" s="9">
        <v>-64</v>
      </c>
      <c r="F15" s="9">
        <v>16.545999999999999</v>
      </c>
      <c r="G15" s="7">
        <v>43157</v>
      </c>
      <c r="H15" s="7">
        <v>43217</v>
      </c>
      <c r="I15" s="7">
        <v>43217</v>
      </c>
      <c r="J15" s="9">
        <v>751.95</v>
      </c>
      <c r="K15" s="9" t="s">
        <v>280</v>
      </c>
      <c r="L15" s="9" t="s">
        <v>281</v>
      </c>
      <c r="M15" s="9" t="s">
        <v>282</v>
      </c>
      <c r="N15" s="9">
        <v>-320000</v>
      </c>
      <c r="O15" s="9">
        <v>16.565000000000001</v>
      </c>
      <c r="P15" s="9">
        <v>0.12</v>
      </c>
      <c r="Q15" s="9" t="s">
        <v>163</v>
      </c>
      <c r="R15" s="9" t="s">
        <v>283</v>
      </c>
      <c r="S15" s="9" t="s">
        <v>284</v>
      </c>
      <c r="T15" s="9" t="s">
        <v>285</v>
      </c>
      <c r="U15" s="9" t="s">
        <v>286</v>
      </c>
      <c r="V15" s="9" t="s">
        <v>287</v>
      </c>
      <c r="W15" s="9" t="s">
        <v>288</v>
      </c>
      <c r="X15" s="9" t="s">
        <v>289</v>
      </c>
      <c r="Y15" s="9" t="s">
        <v>290</v>
      </c>
      <c r="Z15" s="9" t="s">
        <v>291</v>
      </c>
      <c r="AA15" s="9" t="s">
        <v>292</v>
      </c>
      <c r="AB15" s="9" t="s">
        <v>293</v>
      </c>
      <c r="AC15" s="9" t="s">
        <v>294</v>
      </c>
      <c r="AD15" s="9"/>
      <c r="AE15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15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-5328.0500000006095</v>
      </c>
      <c r="AG15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-137848.05000000013</v>
      </c>
      <c r="AH15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-275668.85000000079</v>
      </c>
      <c r="AI15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-408188.85000000143</v>
      </c>
      <c r="AJ15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127191.95000000006</v>
      </c>
      <c r="AK15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265012.74999999959</v>
      </c>
      <c r="AL15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397532.74999999913</v>
      </c>
      <c r="AM15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-408188.85000000143</v>
      </c>
      <c r="AN15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-408188.85000000143</v>
      </c>
      <c r="AO15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397532.74999999913</v>
      </c>
      <c r="AP15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397532.74999999913</v>
      </c>
      <c r="AQ15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-283378.61</v>
      </c>
      <c r="AR15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280626.50999999978</v>
      </c>
    </row>
    <row r="16" spans="1:46">
      <c r="B16" s="9" t="s">
        <v>174</v>
      </c>
      <c r="C16" s="9" t="s">
        <v>169</v>
      </c>
      <c r="D16" s="9" t="s">
        <v>241</v>
      </c>
      <c r="E16" s="9">
        <v>-24</v>
      </c>
      <c r="F16" s="9">
        <v>2236</v>
      </c>
      <c r="G16" s="7">
        <v>43122</v>
      </c>
      <c r="H16" s="7">
        <v>43209</v>
      </c>
      <c r="I16" s="7">
        <v>43209</v>
      </c>
      <c r="J16" s="9">
        <v>402.48</v>
      </c>
      <c r="K16" s="9" t="s">
        <v>244</v>
      </c>
      <c r="L16" s="9" t="s">
        <v>295</v>
      </c>
      <c r="M16" s="9" t="s">
        <v>296</v>
      </c>
      <c r="N16" s="9">
        <v>-600</v>
      </c>
      <c r="O16" s="9">
        <v>2211</v>
      </c>
      <c r="P16" s="9">
        <v>0.12</v>
      </c>
      <c r="Q16" s="9" t="s">
        <v>163</v>
      </c>
      <c r="R16" s="9" t="s">
        <v>297</v>
      </c>
      <c r="S16" s="9" t="s">
        <v>298</v>
      </c>
      <c r="T16" s="9" t="s">
        <v>299</v>
      </c>
      <c r="U16" s="9" t="s">
        <v>300</v>
      </c>
      <c r="V16" s="9" t="s">
        <v>301</v>
      </c>
      <c r="W16" s="9" t="s">
        <v>302</v>
      </c>
      <c r="X16" s="9" t="s">
        <v>303</v>
      </c>
      <c r="Y16" s="9" t="s">
        <v>304</v>
      </c>
      <c r="Z16" s="9" t="s">
        <v>305</v>
      </c>
      <c r="AA16" s="9" t="s">
        <v>306</v>
      </c>
      <c r="AB16" s="9" t="s">
        <v>307</v>
      </c>
      <c r="AC16" s="9" t="s">
        <v>308</v>
      </c>
      <c r="AD16" s="9"/>
      <c r="AE16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16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-14597.52</v>
      </c>
      <c r="AG16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6628.0800000001218</v>
      </c>
      <c r="AH16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27853.679999999971</v>
      </c>
      <c r="AI16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49079.280000000093</v>
      </c>
      <c r="AJ16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-35823.120000000119</v>
      </c>
      <c r="AK16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-57048.719999999965</v>
      </c>
      <c r="AL16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-78274.320000000094</v>
      </c>
      <c r="AM16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49079.280000000093</v>
      </c>
      <c r="AN16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49079.280000000093</v>
      </c>
      <c r="AO16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-78274.320000000094</v>
      </c>
      <c r="AP16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-78274.320000000094</v>
      </c>
      <c r="AQ16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40190.550000000017</v>
      </c>
      <c r="AR16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-49885.589999999967</v>
      </c>
    </row>
    <row r="17" spans="2:46">
      <c r="B17" s="9" t="s">
        <v>309</v>
      </c>
      <c r="C17" s="9" t="s">
        <v>169</v>
      </c>
      <c r="D17" s="9" t="s">
        <v>241</v>
      </c>
      <c r="E17" s="9">
        <v>-30</v>
      </c>
      <c r="F17" s="9">
        <v>16.71</v>
      </c>
      <c r="G17" s="7">
        <v>43158</v>
      </c>
      <c r="H17" s="7">
        <v>43217</v>
      </c>
      <c r="I17" s="7">
        <v>43217</v>
      </c>
      <c r="J17" s="9">
        <v>751.95</v>
      </c>
      <c r="K17" s="9" t="s">
        <v>280</v>
      </c>
      <c r="L17" s="9" t="s">
        <v>281</v>
      </c>
      <c r="M17" s="9" t="s">
        <v>282</v>
      </c>
      <c r="N17" s="9">
        <v>-150000</v>
      </c>
      <c r="O17" s="9">
        <v>16.565000000000001</v>
      </c>
      <c r="P17" s="9">
        <v>0.12</v>
      </c>
      <c r="Q17" s="9" t="s">
        <v>163</v>
      </c>
      <c r="R17" s="9" t="s">
        <v>283</v>
      </c>
      <c r="S17" s="9" t="s">
        <v>284</v>
      </c>
      <c r="T17" s="9" t="s">
        <v>285</v>
      </c>
      <c r="U17" s="9" t="s">
        <v>286</v>
      </c>
      <c r="V17" s="9" t="s">
        <v>287</v>
      </c>
      <c r="W17" s="9" t="s">
        <v>288</v>
      </c>
      <c r="X17" s="9" t="s">
        <v>289</v>
      </c>
      <c r="Y17" s="9" t="s">
        <v>290</v>
      </c>
      <c r="Z17" s="9" t="s">
        <v>291</v>
      </c>
      <c r="AA17" s="9" t="s">
        <v>292</v>
      </c>
      <c r="AB17" s="9" t="s">
        <v>293</v>
      </c>
      <c r="AC17" s="9" t="s">
        <v>294</v>
      </c>
      <c r="AD17" s="9"/>
      <c r="AE17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1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22501.949999999935</v>
      </c>
      <c r="AG1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-39616.799999999843</v>
      </c>
      <c r="AH1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-104220.30000000015</v>
      </c>
      <c r="AI1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-166339.05000000045</v>
      </c>
      <c r="AJ1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84620.700000000244</v>
      </c>
      <c r="AK1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149224.20000000004</v>
      </c>
      <c r="AL1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211342.94999999981</v>
      </c>
      <c r="AM1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-166339.05000000045</v>
      </c>
      <c r="AN1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-166339.05000000045</v>
      </c>
      <c r="AO1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211342.94999999981</v>
      </c>
      <c r="AP1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211342.94999999981</v>
      </c>
      <c r="AQ1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-123824.24999999991</v>
      </c>
      <c r="AR1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140553.15</v>
      </c>
    </row>
    <row r="18" spans="2:46">
      <c r="B18" s="9" t="s">
        <v>310</v>
      </c>
      <c r="C18" s="9" t="s">
        <v>169</v>
      </c>
      <c r="D18" s="9" t="s">
        <v>241</v>
      </c>
      <c r="E18" s="9">
        <v>-12</v>
      </c>
      <c r="F18" s="9">
        <v>6812.5</v>
      </c>
      <c r="G18" s="7">
        <v>43168.625</v>
      </c>
      <c r="H18" s="7">
        <v>43257.625</v>
      </c>
      <c r="I18" s="7">
        <v>43257</v>
      </c>
      <c r="J18" s="9">
        <v>1021.875</v>
      </c>
      <c r="K18" s="9" t="s">
        <v>280</v>
      </c>
      <c r="L18" s="9" t="s">
        <v>243</v>
      </c>
      <c r="M18" s="9" t="s">
        <v>311</v>
      </c>
      <c r="N18" s="9">
        <v>-300</v>
      </c>
      <c r="O18" s="9">
        <v>6968.5</v>
      </c>
      <c r="P18" s="9">
        <v>0.12</v>
      </c>
      <c r="Q18" s="9" t="s">
        <v>163</v>
      </c>
      <c r="R18" s="9" t="s">
        <v>179</v>
      </c>
      <c r="S18" s="9" t="s">
        <v>312</v>
      </c>
      <c r="T18" s="9" t="s">
        <v>195</v>
      </c>
      <c r="U18" s="9" t="s">
        <v>180</v>
      </c>
      <c r="V18" s="9" t="s">
        <v>313</v>
      </c>
      <c r="W18" s="9" t="s">
        <v>196</v>
      </c>
      <c r="X18" s="9" t="s">
        <v>197</v>
      </c>
      <c r="Y18" s="9" t="s">
        <v>198</v>
      </c>
      <c r="Z18" s="9" t="s">
        <v>199</v>
      </c>
      <c r="AA18" s="9" t="s">
        <v>200</v>
      </c>
      <c r="AB18" s="9" t="s">
        <v>314</v>
      </c>
      <c r="AC18" s="9" t="s">
        <v>315</v>
      </c>
      <c r="AD18" s="9"/>
      <c r="AE18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1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-45778.125</v>
      </c>
      <c r="AG1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-85498.574999999706</v>
      </c>
      <c r="AH1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-127309.57499999995</v>
      </c>
      <c r="AI1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-167030.0250000002</v>
      </c>
      <c r="AJ1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-6057.6750000000175</v>
      </c>
      <c r="AK1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35753.324999999953</v>
      </c>
      <c r="AL1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75473.775000000198</v>
      </c>
      <c r="AM1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-167030.0250000002</v>
      </c>
      <c r="AN1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-167030.0250000002</v>
      </c>
      <c r="AO1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75473.775000000198</v>
      </c>
      <c r="AP1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75473.775000000198</v>
      </c>
      <c r="AQ1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-100966.14749999995</v>
      </c>
      <c r="AR1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70249.897499999948</v>
      </c>
      <c r="AT18" s="29"/>
    </row>
    <row r="19" spans="2:46">
      <c r="B19" s="9" t="s">
        <v>316</v>
      </c>
      <c r="C19" s="9" t="s">
        <v>169</v>
      </c>
      <c r="D19" s="9" t="s">
        <v>241</v>
      </c>
      <c r="E19" s="9">
        <v>-30</v>
      </c>
      <c r="F19" s="9">
        <v>16.545000000000002</v>
      </c>
      <c r="G19" s="7">
        <v>43175</v>
      </c>
      <c r="H19" s="7">
        <v>43238</v>
      </c>
      <c r="I19" s="7">
        <v>43238</v>
      </c>
      <c r="J19" s="9">
        <v>1240.875</v>
      </c>
      <c r="K19" s="9" t="s">
        <v>280</v>
      </c>
      <c r="L19" s="9" t="s">
        <v>317</v>
      </c>
      <c r="M19" s="9" t="s">
        <v>282</v>
      </c>
      <c r="N19" s="9">
        <v>-150000</v>
      </c>
      <c r="O19" s="9">
        <v>16.63</v>
      </c>
      <c r="P19" s="9">
        <v>0.12</v>
      </c>
      <c r="Q19" s="9" t="s">
        <v>163</v>
      </c>
      <c r="R19" s="9" t="s">
        <v>283</v>
      </c>
      <c r="S19" s="9" t="s">
        <v>284</v>
      </c>
      <c r="T19" s="9" t="s">
        <v>285</v>
      </c>
      <c r="U19" s="9" t="s">
        <v>286</v>
      </c>
      <c r="V19" s="9" t="s">
        <v>287</v>
      </c>
      <c r="W19" s="9" t="s">
        <v>288</v>
      </c>
      <c r="X19" s="9" t="s">
        <v>289</v>
      </c>
      <c r="Y19" s="9" t="s">
        <v>290</v>
      </c>
      <c r="Z19" s="9" t="s">
        <v>291</v>
      </c>
      <c r="AA19" s="9" t="s">
        <v>292</v>
      </c>
      <c r="AB19" s="9" t="s">
        <v>293</v>
      </c>
      <c r="AC19" s="9" t="s">
        <v>294</v>
      </c>
      <c r="AD19" s="9"/>
      <c r="AE19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19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-11509.124999999594</v>
      </c>
      <c r="AG19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-73871.624999999476</v>
      </c>
      <c r="AH19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-138728.62499999924</v>
      </c>
      <c r="AI19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-201091.12499999965</v>
      </c>
      <c r="AJ19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50853.375000000284</v>
      </c>
      <c r="AK19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115710.37500000058</v>
      </c>
      <c r="AL19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178072.87500000017</v>
      </c>
      <c r="AM19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-201091.12499999965</v>
      </c>
      <c r="AN19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-201091.12499999965</v>
      </c>
      <c r="AO19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178072.87500000017</v>
      </c>
      <c r="AP19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178072.87500000017</v>
      </c>
      <c r="AQ19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-135929.0249999997</v>
      </c>
      <c r="AR19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129485.77500000017</v>
      </c>
    </row>
    <row r="20" spans="2:46">
      <c r="B20" s="9" t="s">
        <v>318</v>
      </c>
      <c r="C20" s="9" t="s">
        <v>169</v>
      </c>
      <c r="D20" s="9" t="s">
        <v>241</v>
      </c>
      <c r="E20" s="9">
        <v>-37</v>
      </c>
      <c r="F20" s="9">
        <v>6818.76</v>
      </c>
      <c r="G20" s="7">
        <v>43185</v>
      </c>
      <c r="H20" s="7">
        <v>43271</v>
      </c>
      <c r="I20" s="7">
        <v>43271</v>
      </c>
      <c r="J20" s="9">
        <v>3153.6765</v>
      </c>
      <c r="K20" s="9" t="s">
        <v>280</v>
      </c>
      <c r="L20" s="9" t="s">
        <v>243</v>
      </c>
      <c r="M20" s="9" t="s">
        <v>311</v>
      </c>
      <c r="N20" s="9">
        <v>-925</v>
      </c>
      <c r="O20" s="9">
        <v>6968.5</v>
      </c>
      <c r="P20" s="9">
        <v>0.12</v>
      </c>
      <c r="Q20" s="9" t="s">
        <v>163</v>
      </c>
      <c r="R20" s="9" t="s">
        <v>179</v>
      </c>
      <c r="S20" s="9" t="s">
        <v>312</v>
      </c>
      <c r="T20" s="9" t="s">
        <v>195</v>
      </c>
      <c r="U20" s="9" t="s">
        <v>180</v>
      </c>
      <c r="V20" s="9" t="s">
        <v>313</v>
      </c>
      <c r="W20" s="9" t="s">
        <v>196</v>
      </c>
      <c r="X20" s="9" t="s">
        <v>197</v>
      </c>
      <c r="Y20" s="9" t="s">
        <v>198</v>
      </c>
      <c r="Z20" s="9" t="s">
        <v>199</v>
      </c>
      <c r="AA20" s="9" t="s">
        <v>200</v>
      </c>
      <c r="AB20" s="9" t="s">
        <v>314</v>
      </c>
      <c r="AC20" s="9" t="s">
        <v>315</v>
      </c>
      <c r="AD20" s="9"/>
      <c r="AE20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0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-135355.82349999979</v>
      </c>
      <c r="AG20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-257827.2109999989</v>
      </c>
      <c r="AH20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-386744.46099999966</v>
      </c>
      <c r="AI20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-509215.84850000043</v>
      </c>
      <c r="AJ20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-12884.435999999852</v>
      </c>
      <c r="AK20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116032.81400000004</v>
      </c>
      <c r="AL20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238504.20150000084</v>
      </c>
      <c r="AM20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-509215.84850000043</v>
      </c>
      <c r="AN20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-509215.84850000043</v>
      </c>
      <c r="AO20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238504.20150000084</v>
      </c>
      <c r="AP20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238504.20150000084</v>
      </c>
      <c r="AQ20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-309282.71787499974</v>
      </c>
      <c r="AR20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218633.42087499989</v>
      </c>
    </row>
    <row r="21" spans="2:46">
      <c r="B21" s="9" t="s">
        <v>319</v>
      </c>
      <c r="C21" s="9" t="s">
        <v>169</v>
      </c>
      <c r="D21" s="9" t="s">
        <v>241</v>
      </c>
      <c r="E21" s="9">
        <v>-30</v>
      </c>
      <c r="F21" s="9">
        <v>16.535</v>
      </c>
      <c r="G21" s="7">
        <v>43166</v>
      </c>
      <c r="H21" s="7">
        <v>43217</v>
      </c>
      <c r="I21" s="7">
        <v>43217</v>
      </c>
      <c r="J21" s="9">
        <v>-744.07499999999993</v>
      </c>
      <c r="K21" s="9" t="s">
        <v>280</v>
      </c>
      <c r="L21" s="9" t="s">
        <v>281</v>
      </c>
      <c r="M21" s="9" t="s">
        <v>282</v>
      </c>
      <c r="N21" s="9">
        <v>-150000</v>
      </c>
      <c r="O21" s="9">
        <v>16.565000000000001</v>
      </c>
      <c r="P21" s="9">
        <v>0.12</v>
      </c>
      <c r="Q21" s="9" t="s">
        <v>163</v>
      </c>
      <c r="R21" s="9" t="s">
        <v>283</v>
      </c>
      <c r="S21" s="9" t="s">
        <v>284</v>
      </c>
      <c r="T21" s="9" t="s">
        <v>285</v>
      </c>
      <c r="U21" s="9" t="s">
        <v>286</v>
      </c>
      <c r="V21" s="9" t="s">
        <v>287</v>
      </c>
      <c r="W21" s="9" t="s">
        <v>288</v>
      </c>
      <c r="X21" s="9" t="s">
        <v>289</v>
      </c>
      <c r="Y21" s="9" t="s">
        <v>290</v>
      </c>
      <c r="Z21" s="9" t="s">
        <v>291</v>
      </c>
      <c r="AA21" s="9" t="s">
        <v>292</v>
      </c>
      <c r="AB21" s="9" t="s">
        <v>293</v>
      </c>
      <c r="AC21" s="9" t="s">
        <v>294</v>
      </c>
      <c r="AD21" s="9"/>
      <c r="AE21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1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-5244.0750000001708</v>
      </c>
      <c r="AG21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-67362.824999999939</v>
      </c>
      <c r="AH21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-131966.32500000027</v>
      </c>
      <c r="AI21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-194085.07500000056</v>
      </c>
      <c r="AJ21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56874.675000000141</v>
      </c>
      <c r="AK21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121478.17499999992</v>
      </c>
      <c r="AL21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183596.92499999967</v>
      </c>
      <c r="AM21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-194085.07500000056</v>
      </c>
      <c r="AN21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-194085.07500000056</v>
      </c>
      <c r="AO21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183596.92499999967</v>
      </c>
      <c r="AP21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183596.92499999967</v>
      </c>
      <c r="AQ21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-134507.77499999997</v>
      </c>
      <c r="AR21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129869.62499999993</v>
      </c>
    </row>
    <row r="22" spans="2:46">
      <c r="B22" s="9" t="s">
        <v>320</v>
      </c>
      <c r="C22" s="9" t="s">
        <v>169</v>
      </c>
      <c r="D22" s="9" t="s">
        <v>241</v>
      </c>
      <c r="E22" s="9">
        <v>0</v>
      </c>
      <c r="F22" s="9">
        <v>1366.7</v>
      </c>
      <c r="G22" s="7">
        <v>43187</v>
      </c>
      <c r="H22" s="7">
        <v>43279</v>
      </c>
      <c r="I22" s="7">
        <v>43279</v>
      </c>
      <c r="J22" s="9">
        <v>-1298.365</v>
      </c>
      <c r="K22" s="9" t="s">
        <v>244</v>
      </c>
      <c r="L22" s="9" t="s">
        <v>321</v>
      </c>
      <c r="M22" s="9" t="s">
        <v>322</v>
      </c>
      <c r="N22" s="9">
        <v>0</v>
      </c>
      <c r="O22" s="9">
        <v>1361.4</v>
      </c>
      <c r="P22" s="9">
        <v>0.12</v>
      </c>
      <c r="Q22" s="9" t="s">
        <v>163</v>
      </c>
      <c r="R22" s="9" t="s">
        <v>323</v>
      </c>
      <c r="S22" s="9" t="s">
        <v>324</v>
      </c>
      <c r="T22" s="9" t="s">
        <v>267</v>
      </c>
      <c r="U22" s="9" t="s">
        <v>325</v>
      </c>
      <c r="V22" s="9" t="s">
        <v>326</v>
      </c>
      <c r="W22" s="9" t="s">
        <v>270</v>
      </c>
      <c r="X22" s="9" t="s">
        <v>327</v>
      </c>
      <c r="Y22" s="9" t="s">
        <v>328</v>
      </c>
      <c r="Z22" s="9" t="s">
        <v>329</v>
      </c>
      <c r="AA22" s="9" t="s">
        <v>330</v>
      </c>
      <c r="AB22" s="9" t="s">
        <v>331</v>
      </c>
      <c r="AC22" s="9" t="s">
        <v>332</v>
      </c>
      <c r="AD22" s="9"/>
      <c r="AE22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2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-1298.365</v>
      </c>
      <c r="AG22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-1298.365</v>
      </c>
      <c r="AH22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-1298.365</v>
      </c>
      <c r="AI22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-1298.365</v>
      </c>
      <c r="AJ22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-1298.365</v>
      </c>
      <c r="AK22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-1298.365</v>
      </c>
      <c r="AL22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-1298.365</v>
      </c>
      <c r="AM22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-1298.365</v>
      </c>
      <c r="AN22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-1298.365</v>
      </c>
      <c r="AO22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-1298.365</v>
      </c>
      <c r="AP22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-1298.365</v>
      </c>
      <c r="AQ22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-1298.365</v>
      </c>
      <c r="AR22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-1298.365</v>
      </c>
    </row>
    <row r="23" spans="2:46">
      <c r="B23" s="9" t="s">
        <v>333</v>
      </c>
      <c r="C23" s="9" t="s">
        <v>169</v>
      </c>
      <c r="D23" s="9" t="s">
        <v>241</v>
      </c>
      <c r="E23" s="9">
        <v>-30</v>
      </c>
      <c r="F23" s="9">
        <v>16.59</v>
      </c>
      <c r="G23" s="7">
        <v>43187</v>
      </c>
      <c r="H23" s="7">
        <v>43238</v>
      </c>
      <c r="I23" s="7">
        <v>43238</v>
      </c>
      <c r="J23" s="9">
        <v>-1244.25</v>
      </c>
      <c r="K23" s="9" t="s">
        <v>280</v>
      </c>
      <c r="L23" s="9" t="s">
        <v>317</v>
      </c>
      <c r="M23" s="9" t="s">
        <v>282</v>
      </c>
      <c r="N23" s="9">
        <v>-150000</v>
      </c>
      <c r="O23" s="9">
        <v>16.63</v>
      </c>
      <c r="P23" s="9">
        <v>0.12</v>
      </c>
      <c r="Q23" s="9" t="s">
        <v>163</v>
      </c>
      <c r="R23" s="9" t="s">
        <v>283</v>
      </c>
      <c r="S23" s="9" t="s">
        <v>284</v>
      </c>
      <c r="T23" s="9" t="s">
        <v>285</v>
      </c>
      <c r="U23" s="9" t="s">
        <v>286</v>
      </c>
      <c r="V23" s="9" t="s">
        <v>287</v>
      </c>
      <c r="W23" s="9" t="s">
        <v>288</v>
      </c>
      <c r="X23" s="9" t="s">
        <v>289</v>
      </c>
      <c r="Y23" s="9" t="s">
        <v>290</v>
      </c>
      <c r="Z23" s="9" t="s">
        <v>291</v>
      </c>
      <c r="AA23" s="9" t="s">
        <v>292</v>
      </c>
      <c r="AB23" s="9" t="s">
        <v>293</v>
      </c>
      <c r="AC23" s="9" t="s">
        <v>294</v>
      </c>
      <c r="AD23" s="9"/>
      <c r="AE23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3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-7244.2499999998718</v>
      </c>
      <c r="AG23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-69606.749999999753</v>
      </c>
      <c r="AH23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-134463.74999999951</v>
      </c>
      <c r="AI23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-196826.24999999991</v>
      </c>
      <c r="AJ23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55118.250000000007</v>
      </c>
      <c r="AK23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119975.25000000031</v>
      </c>
      <c r="AL23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182337.74999999991</v>
      </c>
      <c r="AM23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-196826.24999999991</v>
      </c>
      <c r="AN23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-196826.24999999991</v>
      </c>
      <c r="AO23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182337.74999999991</v>
      </c>
      <c r="AP23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182337.74999999991</v>
      </c>
      <c r="AQ23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-136051.64999999979</v>
      </c>
      <c r="AR23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129363.15000000007</v>
      </c>
    </row>
    <row r="24" spans="2:46">
      <c r="B24" s="9" t="s">
        <v>334</v>
      </c>
      <c r="C24" s="9" t="s">
        <v>169</v>
      </c>
      <c r="D24" s="9" t="s">
        <v>241</v>
      </c>
      <c r="E24" s="9">
        <v>-24</v>
      </c>
      <c r="F24" s="9">
        <v>2051</v>
      </c>
      <c r="G24" s="7">
        <v>43187</v>
      </c>
      <c r="H24" s="7">
        <v>43209</v>
      </c>
      <c r="I24" s="7">
        <v>43209</v>
      </c>
      <c r="J24" s="9">
        <v>-615.30000000000007</v>
      </c>
      <c r="K24" s="9" t="s">
        <v>280</v>
      </c>
      <c r="L24" s="9" t="s">
        <v>295</v>
      </c>
      <c r="M24" s="9" t="s">
        <v>296</v>
      </c>
      <c r="N24" s="9">
        <v>-600</v>
      </c>
      <c r="O24" s="9">
        <v>2211</v>
      </c>
      <c r="P24" s="9">
        <v>0.12</v>
      </c>
      <c r="Q24" s="9" t="s">
        <v>163</v>
      </c>
      <c r="R24" s="9" t="s">
        <v>297</v>
      </c>
      <c r="S24" s="9" t="s">
        <v>298</v>
      </c>
      <c r="T24" s="9" t="s">
        <v>299</v>
      </c>
      <c r="U24" s="9" t="s">
        <v>300</v>
      </c>
      <c r="V24" s="9" t="s">
        <v>301</v>
      </c>
      <c r="W24" s="9" t="s">
        <v>302</v>
      </c>
      <c r="X24" s="9" t="s">
        <v>303</v>
      </c>
      <c r="Y24" s="9" t="s">
        <v>304</v>
      </c>
      <c r="Z24" s="9" t="s">
        <v>305</v>
      </c>
      <c r="AA24" s="9" t="s">
        <v>306</v>
      </c>
      <c r="AB24" s="9" t="s">
        <v>307</v>
      </c>
      <c r="AC24" s="9" t="s">
        <v>308</v>
      </c>
      <c r="AD24" s="9"/>
      <c r="AE24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4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-96615.3</v>
      </c>
      <c r="AG24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-117840.90000000013</v>
      </c>
      <c r="AH24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-139066.49999999997</v>
      </c>
      <c r="AI24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-160292.10000000009</v>
      </c>
      <c r="AJ24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-75389.699999999881</v>
      </c>
      <c r="AK24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-54164.100000000035</v>
      </c>
      <c r="AL24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-32938.499999999905</v>
      </c>
      <c r="AM24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-160292.10000000009</v>
      </c>
      <c r="AN24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-160292.10000000009</v>
      </c>
      <c r="AO24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-32938.499999999905</v>
      </c>
      <c r="AP24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-32938.499999999905</v>
      </c>
      <c r="AQ24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-79253.370000000024</v>
      </c>
      <c r="AR24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10822.769999999973</v>
      </c>
    </row>
    <row r="25" spans="2:46">
      <c r="B25" s="9" t="s">
        <v>335</v>
      </c>
      <c r="C25" s="9" t="s">
        <v>169</v>
      </c>
      <c r="D25" s="9" t="s">
        <v>241</v>
      </c>
      <c r="E25" s="9">
        <v>-52</v>
      </c>
      <c r="F25" s="9">
        <v>6631.92</v>
      </c>
      <c r="G25" s="7">
        <v>43186</v>
      </c>
      <c r="H25" s="7">
        <v>43273</v>
      </c>
      <c r="I25" s="7">
        <v>43273</v>
      </c>
      <c r="J25" s="9">
        <v>-4310.7479999999996</v>
      </c>
      <c r="K25" s="9" t="s">
        <v>280</v>
      </c>
      <c r="L25" s="9" t="s">
        <v>243</v>
      </c>
      <c r="M25" s="9" t="s">
        <v>311</v>
      </c>
      <c r="N25" s="9">
        <v>-1300</v>
      </c>
      <c r="O25" s="9">
        <v>6968.5</v>
      </c>
      <c r="P25" s="9">
        <v>0.12</v>
      </c>
      <c r="Q25" s="9" t="s">
        <v>163</v>
      </c>
      <c r="R25" s="9" t="s">
        <v>179</v>
      </c>
      <c r="S25" s="9" t="s">
        <v>312</v>
      </c>
      <c r="T25" s="9" t="s">
        <v>195</v>
      </c>
      <c r="U25" s="9" t="s">
        <v>180</v>
      </c>
      <c r="V25" s="9" t="s">
        <v>313</v>
      </c>
      <c r="W25" s="9" t="s">
        <v>196</v>
      </c>
      <c r="X25" s="9" t="s">
        <v>197</v>
      </c>
      <c r="Y25" s="9" t="s">
        <v>198</v>
      </c>
      <c r="Z25" s="9" t="s">
        <v>199</v>
      </c>
      <c r="AA25" s="9" t="s">
        <v>200</v>
      </c>
      <c r="AB25" s="9" t="s">
        <v>314</v>
      </c>
      <c r="AC25" s="9" t="s">
        <v>315</v>
      </c>
      <c r="AD25" s="9"/>
      <c r="AE25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5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-441864.74799999991</v>
      </c>
      <c r="AG25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-613986.69799999869</v>
      </c>
      <c r="AH25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-795167.69799999974</v>
      </c>
      <c r="AI25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-967289.64800000086</v>
      </c>
      <c r="AJ25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-269742.79800000001</v>
      </c>
      <c r="AK25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-88561.798000000126</v>
      </c>
      <c r="AL25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83560.152000000991</v>
      </c>
      <c r="AM25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-967289.64800000086</v>
      </c>
      <c r="AN25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-967289.64800000086</v>
      </c>
      <c r="AO25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83560.152000000991</v>
      </c>
      <c r="AP25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83560.152000000991</v>
      </c>
      <c r="AQ25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-528422.74549999961</v>
      </c>
      <c r="AR25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213513.44949999978</v>
      </c>
    </row>
    <row r="26" spans="2:46">
      <c r="B26" s="9" t="s">
        <v>239</v>
      </c>
      <c r="C26" s="9" t="s">
        <v>169</v>
      </c>
      <c r="D26" s="9" t="s">
        <v>241</v>
      </c>
      <c r="E26" s="9">
        <v>-37</v>
      </c>
      <c r="F26" s="9">
        <v>6662.89</v>
      </c>
      <c r="G26" s="7">
        <v>43188.625</v>
      </c>
      <c r="H26" s="7">
        <v>43313.625</v>
      </c>
      <c r="I26" s="7">
        <v>43313.625</v>
      </c>
      <c r="J26" s="9">
        <v>-3081.5866249999999</v>
      </c>
      <c r="K26" s="9" t="s">
        <v>244</v>
      </c>
      <c r="L26" s="9" t="s">
        <v>243</v>
      </c>
      <c r="M26" s="9" t="s">
        <v>311</v>
      </c>
      <c r="N26" s="9">
        <v>-925</v>
      </c>
      <c r="O26" s="9">
        <v>6968.5</v>
      </c>
      <c r="P26" s="9">
        <v>0.12</v>
      </c>
      <c r="Q26" s="9" t="s">
        <v>163</v>
      </c>
      <c r="R26" s="9" t="s">
        <v>179</v>
      </c>
      <c r="S26" s="9" t="s">
        <v>312</v>
      </c>
      <c r="T26" s="9" t="s">
        <v>195</v>
      </c>
      <c r="U26" s="9" t="s">
        <v>180</v>
      </c>
      <c r="V26" s="9" t="s">
        <v>313</v>
      </c>
      <c r="W26" s="9" t="s">
        <v>196</v>
      </c>
      <c r="X26" s="9" t="s">
        <v>197</v>
      </c>
      <c r="Y26" s="9" t="s">
        <v>198</v>
      </c>
      <c r="Z26" s="9" t="s">
        <v>199</v>
      </c>
      <c r="AA26" s="9" t="s">
        <v>200</v>
      </c>
      <c r="AB26" s="9" t="s">
        <v>314</v>
      </c>
      <c r="AC26" s="9" t="s">
        <v>315</v>
      </c>
      <c r="AD26" s="9"/>
      <c r="AE26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6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279607.66337499971</v>
      </c>
      <c r="AG26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402079.05087499879</v>
      </c>
      <c r="AH26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530996.30087499949</v>
      </c>
      <c r="AI26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653467.68837500038</v>
      </c>
      <c r="AJ26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157136.27587499976</v>
      </c>
      <c r="AK26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28219.02587499985</v>
      </c>
      <c r="AL26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-94252.361625000936</v>
      </c>
      <c r="AM26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653467.68837500038</v>
      </c>
      <c r="AN26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653467.68837500038</v>
      </c>
      <c r="AO26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-94252.361625000936</v>
      </c>
      <c r="AP26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-94252.361625000936</v>
      </c>
      <c r="AQ26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359817.72024999972</v>
      </c>
      <c r="AR26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-168098.41849999994</v>
      </c>
    </row>
    <row r="27" spans="2:46">
      <c r="B27" s="9" t="s">
        <v>247</v>
      </c>
      <c r="C27" s="9" t="s">
        <v>253</v>
      </c>
      <c r="D27" s="9" t="s">
        <v>165</v>
      </c>
      <c r="E27" s="9">
        <v>-300</v>
      </c>
      <c r="F27" s="9">
        <v>3119.52</v>
      </c>
      <c r="G27" s="7">
        <v>43187</v>
      </c>
      <c r="H27" s="7">
        <v>43217.625</v>
      </c>
      <c r="I27" s="7">
        <v>43187</v>
      </c>
      <c r="J27" s="9">
        <v>0</v>
      </c>
      <c r="K27" s="9" t="s">
        <v>6</v>
      </c>
      <c r="L27" s="9" t="s">
        <v>64</v>
      </c>
      <c r="M27" s="9" t="s">
        <v>62</v>
      </c>
      <c r="N27" s="9">
        <v>-3000</v>
      </c>
      <c r="O27" s="9">
        <v>3395</v>
      </c>
      <c r="P27" s="9">
        <v>0.18</v>
      </c>
      <c r="Q27" s="9" t="s">
        <v>163</v>
      </c>
      <c r="R27" s="9" t="s">
        <v>255</v>
      </c>
      <c r="S27" s="9" t="s">
        <v>256</v>
      </c>
      <c r="T27" s="9" t="s">
        <v>257</v>
      </c>
      <c r="U27" s="9" t="s">
        <v>258</v>
      </c>
      <c r="V27" s="9" t="s">
        <v>259</v>
      </c>
      <c r="W27" s="9" t="s">
        <v>260</v>
      </c>
      <c r="X27" s="9" t="s">
        <v>261</v>
      </c>
      <c r="Y27" s="9" t="s">
        <v>262</v>
      </c>
      <c r="Z27" s="9" t="s">
        <v>263</v>
      </c>
      <c r="AA27" s="9" t="s">
        <v>264</v>
      </c>
      <c r="AB27" s="9" t="s">
        <v>265</v>
      </c>
      <c r="AC27" s="9" t="s">
        <v>266</v>
      </c>
      <c r="AD27" s="9"/>
      <c r="AE27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0.18</v>
      </c>
      <c r="AF27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-1816.0226683197695</v>
      </c>
      <c r="AG27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-93.568668823559804</v>
      </c>
      <c r="AH27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-2.9160513908258876</v>
      </c>
      <c r="AI27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-4.6841328975846676E-2</v>
      </c>
      <c r="AJ27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-18668.33457070023</v>
      </c>
      <c r="AK27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-98313.8861151655</v>
      </c>
      <c r="AL27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-310117.53165824938</v>
      </c>
      <c r="AM27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-0.46985512159323273</v>
      </c>
      <c r="AN27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-2.2087562723467763E-3</v>
      </c>
      <c r="AO27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-321107.50765464979</v>
      </c>
      <c r="AP27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-299722.46419467934</v>
      </c>
      <c r="AQ27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-4.675784682577419E-9</v>
      </c>
      <c r="AR27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-469610.47990773508</v>
      </c>
    </row>
    <row r="28" spans="2:46">
      <c r="B28" s="9" t="s">
        <v>248</v>
      </c>
      <c r="C28" s="9" t="s">
        <v>253</v>
      </c>
      <c r="D28" s="9" t="s">
        <v>165</v>
      </c>
      <c r="E28" s="9">
        <v>360</v>
      </c>
      <c r="F28" s="9">
        <v>3312.48</v>
      </c>
      <c r="G28" s="7">
        <v>43187</v>
      </c>
      <c r="H28" s="7">
        <v>43217.625</v>
      </c>
      <c r="I28" s="7">
        <v>43187</v>
      </c>
      <c r="J28" s="9">
        <v>0</v>
      </c>
      <c r="K28" s="9" t="s">
        <v>43</v>
      </c>
      <c r="L28" s="9" t="s">
        <v>64</v>
      </c>
      <c r="M28" s="9" t="s">
        <v>62</v>
      </c>
      <c r="N28" s="9">
        <v>3600</v>
      </c>
      <c r="O28" s="9">
        <v>3395</v>
      </c>
      <c r="P28" s="9">
        <v>0.18</v>
      </c>
      <c r="Q28" s="9" t="s">
        <v>163</v>
      </c>
      <c r="R28" s="9" t="s">
        <v>255</v>
      </c>
      <c r="S28" s="9" t="s">
        <v>256</v>
      </c>
      <c r="T28" s="9" t="s">
        <v>257</v>
      </c>
      <c r="U28" s="9" t="s">
        <v>258</v>
      </c>
      <c r="V28" s="9" t="s">
        <v>259</v>
      </c>
      <c r="W28" s="9" t="s">
        <v>260</v>
      </c>
      <c r="X28" s="9" t="s">
        <v>261</v>
      </c>
      <c r="Y28" s="9" t="s">
        <v>262</v>
      </c>
      <c r="Z28" s="9" t="s">
        <v>263</v>
      </c>
      <c r="AA28" s="9" t="s">
        <v>264</v>
      </c>
      <c r="AB28" s="9" t="s">
        <v>265</v>
      </c>
      <c r="AC28" s="9" t="s">
        <v>266</v>
      </c>
      <c r="AD28" s="9"/>
      <c r="AE28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0.18</v>
      </c>
      <c r="AF28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369923.25273260754</v>
      </c>
      <c r="AG28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748395.95851784199</v>
      </c>
      <c r="AH28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1164978.7232401739</v>
      </c>
      <c r="AI28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1603429.9800302063</v>
      </c>
      <c r="AJ28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118955.16285744037</v>
      </c>
      <c r="AK28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21364.3976351778</v>
      </c>
      <c r="AL28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1577.9811746243788</v>
      </c>
      <c r="AM28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1603578.5584740278</v>
      </c>
      <c r="AN28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1603378.6112288521</v>
      </c>
      <c r="AO28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3151.2734314853669</v>
      </c>
      <c r="AP28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651.56839719642267</v>
      </c>
      <c r="AQ28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1014200.9838566558</v>
      </c>
      <c r="AR28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2.684457282664289E-4</v>
      </c>
    </row>
    <row r="29" spans="2:46">
      <c r="B29" s="9" t="s">
        <v>338</v>
      </c>
      <c r="C29" s="9" t="s">
        <v>169</v>
      </c>
      <c r="D29" s="9" t="s">
        <v>241</v>
      </c>
      <c r="E29" s="9">
        <v>-58</v>
      </c>
      <c r="F29" s="9">
        <v>2117.38</v>
      </c>
      <c r="G29" s="7">
        <v>43200.625</v>
      </c>
      <c r="H29" s="7">
        <v>43286.625</v>
      </c>
      <c r="I29" s="7">
        <v>43286</v>
      </c>
      <c r="J29" s="9">
        <v>1535.1005</v>
      </c>
      <c r="K29" s="9" t="s">
        <v>6</v>
      </c>
      <c r="L29" s="9" t="s">
        <v>295</v>
      </c>
      <c r="M29" s="9" t="s">
        <v>296</v>
      </c>
      <c r="N29" s="9">
        <v>-1450</v>
      </c>
      <c r="O29" s="9">
        <v>2211</v>
      </c>
      <c r="P29" s="9">
        <v>0.12</v>
      </c>
      <c r="Q29" s="9" t="s">
        <v>163</v>
      </c>
      <c r="R29" s="9" t="s">
        <v>297</v>
      </c>
      <c r="S29" s="9" t="s">
        <v>298</v>
      </c>
      <c r="T29" s="9" t="s">
        <v>299</v>
      </c>
      <c r="U29" s="9" t="s">
        <v>300</v>
      </c>
      <c r="V29" s="9" t="s">
        <v>301</v>
      </c>
      <c r="W29" s="9" t="s">
        <v>302</v>
      </c>
      <c r="X29" s="9" t="s">
        <v>303</v>
      </c>
      <c r="Y29" s="9" t="s">
        <v>304</v>
      </c>
      <c r="Z29" s="9" t="s">
        <v>305</v>
      </c>
      <c r="AA29" s="9" t="s">
        <v>306</v>
      </c>
      <c r="AB29" s="9" t="s">
        <v>307</v>
      </c>
      <c r="AC29" s="9" t="s">
        <v>308</v>
      </c>
      <c r="AD29" s="9"/>
      <c r="AE29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29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137284.10049999985</v>
      </c>
      <c r="AG29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188579.30050000013</v>
      </c>
      <c r="AH29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239874.50049999976</v>
      </c>
      <c r="AI29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291169.70050000009</v>
      </c>
      <c r="AJ29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85988.900499999552</v>
      </c>
      <c r="AK29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34693.700499999912</v>
      </c>
      <c r="AL29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-16601.499500000384</v>
      </c>
      <c r="AM29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291169.70050000009</v>
      </c>
      <c r="AN29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291169.70050000009</v>
      </c>
      <c r="AO29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-16601.499500000384</v>
      </c>
      <c r="AP29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-16601.499500000384</v>
      </c>
      <c r="AQ29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157889.25299999997</v>
      </c>
      <c r="AR29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-59794.751999999986</v>
      </c>
    </row>
    <row r="30" spans="2:46">
      <c r="B30" s="9" t="s">
        <v>342</v>
      </c>
      <c r="C30" s="9" t="s">
        <v>169</v>
      </c>
      <c r="D30" s="9" t="s">
        <v>241</v>
      </c>
      <c r="E30" s="9">
        <v>-8</v>
      </c>
      <c r="F30" s="9">
        <v>2185.5</v>
      </c>
      <c r="G30" s="7">
        <v>43201.625</v>
      </c>
      <c r="H30" s="7">
        <v>43286.625</v>
      </c>
      <c r="I30" s="7">
        <v>43286</v>
      </c>
      <c r="J30" s="9">
        <v>218.55</v>
      </c>
      <c r="K30" s="9" t="s">
        <v>43</v>
      </c>
      <c r="L30" s="9" t="s">
        <v>295</v>
      </c>
      <c r="M30" s="9" t="s">
        <v>296</v>
      </c>
      <c r="N30" s="9">
        <v>-200</v>
      </c>
      <c r="O30" s="9">
        <v>2211</v>
      </c>
      <c r="P30" s="9">
        <v>0.12</v>
      </c>
      <c r="Q30" s="9" t="s">
        <v>163</v>
      </c>
      <c r="R30" s="9" t="s">
        <v>297</v>
      </c>
      <c r="S30" s="9" t="s">
        <v>298</v>
      </c>
      <c r="T30" s="9" t="s">
        <v>299</v>
      </c>
      <c r="U30" s="9" t="s">
        <v>300</v>
      </c>
      <c r="V30" s="9" t="s">
        <v>301</v>
      </c>
      <c r="W30" s="9" t="s">
        <v>302</v>
      </c>
      <c r="X30" s="9" t="s">
        <v>303</v>
      </c>
      <c r="Y30" s="9" t="s">
        <v>304</v>
      </c>
      <c r="Z30" s="9" t="s">
        <v>305</v>
      </c>
      <c r="AA30" s="9" t="s">
        <v>306</v>
      </c>
      <c r="AB30" s="9" t="s">
        <v>307</v>
      </c>
      <c r="AC30" s="9" t="s">
        <v>308</v>
      </c>
      <c r="AD30" s="9"/>
      <c r="AE30" s="10">
        <f>IF(tbl_senario[[#This Row],[vol_ref]] &gt;0, (-tbl_senario[[#This Row],[trade_date]]+$B$4)/(tbl_senario[[#This Row],[exp_date]]-tbl_senario[[#This Row],[trade_date]])*(tbl_senario[[#This Row],[vol]]-tbl_senario[[#This Row],[vol_ref]])+tbl_senario[[#This Row],[vol_ref]], tbl_senario[[#This Row],[vol]])</f>
        <v>0.12</v>
      </c>
      <c r="AF30" s="8">
        <f ca="1">IF(tbl_senario[[#This Row],[prem_date]]&lt;=$B$4, 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Row],[param_senario1]],"|",2),tbl_senario[[#This Row],[qty]]*OptionPricer(tbl_senario[[#This Row],[prd_type]],"p", tbl_senario[[#This Row],[type]], StrSplit(tbl_senario[[#This Row],[param_senario1]],"|",0)*tbl_senario[[#This Row],[price_st]], tbl_senario[[#This Row],[k]], (tbl_senario[[#This Row],[exp_date]]-$B$4)/365, 0.02, 0, StrSplit(tbl_senario[[#This Row],[param_senario1]],"|",1)*tbl_senario[[#This Row],[vol_adj]], 0.01) * StrSplit(tbl_senario[[#This Row],[param_senario1]],"|",2)+tbl_senario[[#This Row],[prem]])</f>
        <v>-4881.45</v>
      </c>
      <c r="AG30" s="8">
        <f ca="1">IF(tbl_senario[[#This Row],[prem_date]]&lt;=$B$4, 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Row],[param_senario2]],"|",2),tbl_senario[[#This Row],[qty]]*OptionPricer(tbl_senario[[#This Row],[prd_type]],"p", tbl_senario[[#This Row],[type]], StrSplit(tbl_senario[[#This Row],[param_senario2]],"|",0)*tbl_senario[[#This Row],[price_st]], tbl_senario[[#This Row],[k]], (tbl_senario[[#This Row],[exp_date]]-$B$4)/365, 0.02, 0, StrSplit(tbl_senario[[#This Row],[param_senario2]],"|",1)*tbl_senario[[#This Row],[vol_adj]], 0.01) * StrSplit(tbl_senario[[#This Row],[param_senario2]],"|",2)+tbl_senario[[#This Row],[prem]])</f>
        <v>-11956.650000000041</v>
      </c>
      <c r="AH30" s="8">
        <f ca="1">IF(tbl_senario[[#This Row],[prem_date]]&lt;=$B$4, 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Row],[param_senario3]],"|",2),tbl_senario[[#This Row],[qty]]*OptionPricer(tbl_senario[[#This Row],[prd_type]],"p", tbl_senario[[#This Row],[type]], StrSplit(tbl_senario[[#This Row],[param_senario3]],"|",0)*tbl_senario[[#This Row],[price_st]], tbl_senario[[#This Row],[k]], (tbl_senario[[#This Row],[exp_date]]-$B$4)/365, 0.02, 0, StrSplit(tbl_senario[[#This Row],[param_senario3]],"|",1)*tbl_senario[[#This Row],[vol_adj]], 0.01) * StrSplit(tbl_senario[[#This Row],[param_senario3]],"|",2)+tbl_senario[[#This Row],[prem]])</f>
        <v>-19031.849999999991</v>
      </c>
      <c r="AI30" s="8">
        <f ca="1">IF(tbl_senario[[#This Row],[prem_date]]&lt;=$B$4, 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Row],[param_senario4]],"|",2),tbl_senario[[#This Row],[qty]]*OptionPricer(tbl_senario[[#This Row],[prd_type]],"p", tbl_senario[[#This Row],[type]], StrSplit(tbl_senario[[#This Row],[param_senario4]],"|",0)*tbl_senario[[#This Row],[price_st]], tbl_senario[[#This Row],[k]], (tbl_senario[[#This Row],[exp_date]]-$B$4)/365, 0.02, 0, StrSplit(tbl_senario[[#This Row],[param_senario4]],"|",1)*tbl_senario[[#This Row],[vol_adj]], 0.01) * StrSplit(tbl_senario[[#This Row],[param_senario4]],"|",2)+tbl_senario[[#This Row],[prem]])</f>
        <v>-26107.050000000032</v>
      </c>
      <c r="AJ30" s="8">
        <f ca="1">IF(tbl_senario[[#This Row],[prem_date]]&lt;=$B$4, 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Row],[param_senario5]],"|",2),tbl_senario[[#This Row],[qty]]*OptionPricer(tbl_senario[[#This Row],[prd_type]],"p", tbl_senario[[#This Row],[type]], StrSplit(tbl_senario[[#This Row],[param_senario5]],"|",0)*tbl_senario[[#This Row],[price_st]], tbl_senario[[#This Row],[k]], (tbl_senario[[#This Row],[exp_date]]-$B$4)/365, 0.02, 0, StrSplit(tbl_senario[[#This Row],[param_senario5]],"|",1)*tbl_senario[[#This Row],[vol_adj]], 0.01) * StrSplit(tbl_senario[[#This Row],[param_senario5]],"|",2)+tbl_senario[[#This Row],[prem]])</f>
        <v>2193.7500000000409</v>
      </c>
      <c r="AK30" s="8">
        <f ca="1">IF(tbl_senario[[#This Row],[prem_date]]&lt;=$B$4, 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Row],[param_senario6]],"|",2),tbl_senario[[#This Row],[qty]]*OptionPricer(tbl_senario[[#This Row],[prd_type]],"p", tbl_senario[[#This Row],[type]], StrSplit(tbl_senario[[#This Row],[param_senario6]],"|",0)*tbl_senario[[#This Row],[price_st]], tbl_senario[[#This Row],[k]], (tbl_senario[[#This Row],[exp_date]]-$B$4)/365, 0.02, 0, StrSplit(tbl_senario[[#This Row],[param_senario6]],"|",1)*tbl_senario[[#This Row],[vol_adj]], 0.01) * StrSplit(tbl_senario[[#This Row],[param_senario6]],"|",2)+tbl_senario[[#This Row],[prem]])</f>
        <v>9268.9499999999898</v>
      </c>
      <c r="AL30" s="8">
        <f ca="1">IF(tbl_senario[[#This Row],[prem_date]]&lt;=$B$4, 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Row],[param_senario7]],"|",2),tbl_senario[[#This Row],[qty]]*OptionPricer(tbl_senario[[#This Row],[prd_type]],"p", tbl_senario[[#This Row],[type]], StrSplit(tbl_senario[[#This Row],[param_senario7]],"|",0)*tbl_senario[[#This Row],[price_st]], tbl_senario[[#This Row],[k]], (tbl_senario[[#This Row],[exp_date]]-$B$4)/365, 0.02, 0, StrSplit(tbl_senario[[#This Row],[param_senario7]],"|",1)*tbl_senario[[#This Row],[vol_adj]], 0.01) * StrSplit(tbl_senario[[#This Row],[param_senario7]],"|",2)+tbl_senario[[#This Row],[prem]])</f>
        <v>16344.150000000031</v>
      </c>
      <c r="AM30" s="8">
        <f ca="1">IF(tbl_senario[[#This Row],[prem_date]]&lt;=$B$4, 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Row],[param_senario8]],"|",2),tbl_senario[[#This Row],[qty]]*OptionPricer(tbl_senario[[#This Row],[prd_type]],"p", tbl_senario[[#This Row],[type]], StrSplit(tbl_senario[[#This Row],[param_senario8]],"|",0)*tbl_senario[[#This Row],[price_st]], tbl_senario[[#This Row],[k]], (tbl_senario[[#This Row],[exp_date]]-$B$4)/365, 0.02, 0, StrSplit(tbl_senario[[#This Row],[param_senario8]],"|",1)*tbl_senario[[#This Row],[vol_adj]], 0.01) * StrSplit(tbl_senario[[#This Row],[param_senario8]],"|",2)+tbl_senario[[#This Row],[prem]])</f>
        <v>-26107.050000000032</v>
      </c>
      <c r="AN30" s="8">
        <f ca="1">IF(tbl_senario[[#This Row],[prem_date]]&lt;=$B$4, 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Row],[param_senario9]],"|",2),tbl_senario[[#This Row],[qty]]*OptionPricer(tbl_senario[[#This Row],[prd_type]],"p", tbl_senario[[#This Row],[type]], StrSplit(tbl_senario[[#This Row],[param_senario9]],"|",0)*tbl_senario[[#This Row],[price_st]], tbl_senario[[#This Row],[k]], (tbl_senario[[#This Row],[exp_date]]-$B$4)/365, 0.02, 0, StrSplit(tbl_senario[[#This Row],[param_senario9]],"|",1)*tbl_senario[[#This Row],[vol_adj]], 0.01) * StrSplit(tbl_senario[[#This Row],[param_senario9]],"|",2)+tbl_senario[[#This Row],[prem]])</f>
        <v>-26107.050000000032</v>
      </c>
      <c r="AO30" s="8">
        <f ca="1">IF(tbl_senario[[#This Row],[prem_date]]&lt;=$B$4, 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Row],[param_senario10]],"|",2),tbl_senario[[#This Row],[qty]]*OptionPricer(tbl_senario[[#This Row],[prd_type]],"p", tbl_senario[[#This Row],[type]], StrSplit(tbl_senario[[#This Row],[param_senario10]],"|",0)*tbl_senario[[#This Row],[price_st]], tbl_senario[[#This Row],[k]], (tbl_senario[[#This Row],[exp_date]]-$B$4)/365, 0.02, 0, StrSplit(tbl_senario[[#This Row],[param_senario10]],"|",1)*tbl_senario[[#This Row],[vol_adj]], 0.01) * StrSplit(tbl_senario[[#This Row],[param_senario10]],"|",2)+tbl_senario[[#This Row],[prem]])</f>
        <v>16344.150000000031</v>
      </c>
      <c r="AP30" s="8">
        <f ca="1">IF(tbl_senario[[#This Row],[prem_date]]&lt;=$B$4, 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Row],[param_senario11]],"|",2),tbl_senario[[#This Row],[qty]]*OptionPricer(tbl_senario[[#This Row],[prd_type]],"p", tbl_senario[[#This Row],[type]], StrSplit(tbl_senario[[#This Row],[param_senario11]],"|",0)*tbl_senario[[#This Row],[price_st]], tbl_senario[[#This Row],[k]], (tbl_senario[[#This Row],[exp_date]]-$B$4)/365, 0.02, 0, StrSplit(tbl_senario[[#This Row],[param_senario11]],"|",1)*tbl_senario[[#This Row],[vol_adj]], 0.01) * StrSplit(tbl_senario[[#This Row],[param_senario11]],"|",2)+tbl_senario[[#This Row],[prem]])</f>
        <v>16344.150000000031</v>
      </c>
      <c r="AQ30" s="8">
        <f ca="1">IF(tbl_senario[[#This Row],[prem_date]]&lt;=$B$4, 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Row],[param_senario12]],"|",2),tbl_senario[[#This Row],[qty]]*OptionPricer(tbl_senario[[#This Row],[prd_type]],"p", tbl_senario[[#This Row],[type]], StrSplit(tbl_senario[[#This Row],[param_senario12]],"|",0)*tbl_senario[[#This Row],[price_st]], tbl_senario[[#This Row],[k]], (tbl_senario[[#This Row],[exp_date]]-$B$4)/365, 0.02, 0, StrSplit(tbl_senario[[#This Row],[param_senario12]],"|",1)*tbl_senario[[#This Row],[vol_adj]], 0.01) * StrSplit(tbl_senario[[#This Row],[param_senario12]],"|",2)+tbl_senario[[#This Row],[prem]])</f>
        <v>-16579.140000000007</v>
      </c>
      <c r="AR30" s="8">
        <f ca="1">IF(tbl_senario[[#This Row],[prem_date]]&lt;=$B$4, 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Row],[param_senario13]],"|",2),tbl_senario[[#This Row],[qty]]*OptionPricer(tbl_senario[[#This Row],[prd_type]],"p", tbl_senario[[#This Row],[type]], StrSplit(tbl_senario[[#This Row],[param_senario13]],"|",0)*tbl_senario[[#This Row],[price_st]], tbl_senario[[#This Row],[k]], (tbl_senario[[#This Row],[exp_date]]-$B$4)/365, 0.02, 0, StrSplit(tbl_senario[[#This Row],[param_senario13]],"|",1)*tbl_senario[[#This Row],[vol_adj]], 0.01) * StrSplit(tbl_senario[[#This Row],[param_senario13]],"|",2)+tbl_senario[[#This Row],[prem]])</f>
        <v>13446.239999999989</v>
      </c>
    </row>
  </sheetData>
  <phoneticPr fontId="1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autoLine="0" r:id="rId4">
            <anchor moveWithCells="1">
              <from>
                <xdr:col>2</xdr:col>
                <xdr:colOff>0</xdr:colOff>
                <xdr:row>2</xdr:row>
                <xdr:rowOff>0</xdr:rowOff>
              </from>
              <to>
                <xdr:col>2</xdr:col>
                <xdr:colOff>685800</xdr:colOff>
                <xdr:row>4</xdr:row>
                <xdr:rowOff>19050</xdr:rowOff>
              </to>
            </anchor>
          </controlPr>
        </control>
      </mc:Choice>
      <mc:Fallback>
        <control shapeId="1025" r:id="rId3" name="CommandButton1"/>
      </mc:Fallback>
    </mc:AlternateContent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8:N50"/>
  <sheetViews>
    <sheetView zoomScale="85" zoomScaleNormal="85" workbookViewId="0">
      <selection activeCell="D26" sqref="D26"/>
    </sheetView>
  </sheetViews>
  <sheetFormatPr defaultRowHeight="11.25"/>
  <cols>
    <col min="1" max="1" width="9" style="9"/>
    <col min="2" max="2" width="34.5" style="9" bestFit="1" customWidth="1"/>
    <col min="3" max="3" width="9.5" style="9" customWidth="1"/>
    <col min="4" max="4" width="13.625" style="9" bestFit="1" customWidth="1"/>
    <col min="5" max="5" width="11.5" style="9" bestFit="1" customWidth="1"/>
    <col min="6" max="6" width="14.75" style="9" bestFit="1" customWidth="1"/>
    <col min="7" max="7" width="12.5" style="9" bestFit="1" customWidth="1"/>
    <col min="8" max="8" width="11.25" style="9" bestFit="1" customWidth="1"/>
    <col min="9" max="9" width="12.25" style="9" bestFit="1" customWidth="1"/>
    <col min="10" max="10" width="7.5" style="9" bestFit="1" customWidth="1"/>
    <col min="11" max="11" width="11.5" style="9" bestFit="1" customWidth="1"/>
    <col min="12" max="12" width="13.625" style="9" bestFit="1" customWidth="1"/>
    <col min="13" max="13" width="36.625" style="9" bestFit="1" customWidth="1"/>
    <col min="14" max="14" width="10.5" style="9" bestFit="1" customWidth="1"/>
    <col min="15" max="16384" width="9" style="9"/>
  </cols>
  <sheetData>
    <row r="8" spans="2:14">
      <c r="B8" s="15" t="s">
        <v>184</v>
      </c>
      <c r="C8" s="16" t="s">
        <v>72</v>
      </c>
      <c r="D8" s="16" t="s">
        <v>73</v>
      </c>
      <c r="E8" s="17" t="s">
        <v>74</v>
      </c>
      <c r="F8" s="16" t="s">
        <v>75</v>
      </c>
      <c r="G8" s="16" t="s">
        <v>76</v>
      </c>
      <c r="H8" s="16" t="s">
        <v>77</v>
      </c>
      <c r="I8" s="16" t="s">
        <v>78</v>
      </c>
      <c r="J8" s="16" t="s">
        <v>79</v>
      </c>
      <c r="K8" s="16" t="s">
        <v>164</v>
      </c>
      <c r="L8" s="16" t="s">
        <v>4</v>
      </c>
      <c r="M8" s="16" t="s">
        <v>80</v>
      </c>
      <c r="N8" s="18" t="s">
        <v>90</v>
      </c>
    </row>
    <row r="9" spans="2:14">
      <c r="B9" s="18" t="s">
        <v>203</v>
      </c>
      <c r="C9" s="18">
        <v>1000</v>
      </c>
      <c r="D9" s="19">
        <v>43166</v>
      </c>
      <c r="E9" s="19">
        <v>43196.625</v>
      </c>
      <c r="F9" s="19">
        <v>43196</v>
      </c>
      <c r="G9" s="19">
        <v>43196</v>
      </c>
      <c r="H9" s="20">
        <v>13749.99999912</v>
      </c>
      <c r="I9" s="20">
        <v>-209999.9664</v>
      </c>
      <c r="J9" s="18" t="s">
        <v>6</v>
      </c>
      <c r="K9" s="18" t="s">
        <v>93</v>
      </c>
      <c r="L9" s="18" t="s">
        <v>9</v>
      </c>
      <c r="M9" s="18" t="s">
        <v>204</v>
      </c>
      <c r="N9" s="18">
        <v>0.12</v>
      </c>
    </row>
    <row r="10" spans="2:14">
      <c r="B10" s="18" t="s">
        <v>66</v>
      </c>
      <c r="C10" s="18">
        <v>500</v>
      </c>
      <c r="D10" s="19">
        <v>43140</v>
      </c>
      <c r="E10" s="19">
        <v>43219.625</v>
      </c>
      <c r="F10" s="19">
        <v>43219</v>
      </c>
      <c r="G10" s="19">
        <v>43219.625</v>
      </c>
      <c r="H10" s="20">
        <v>3699.9999992799999</v>
      </c>
      <c r="I10" s="20">
        <v>-275000.00800000003</v>
      </c>
      <c r="J10" s="18" t="s">
        <v>6</v>
      </c>
      <c r="K10" s="18" t="s">
        <v>93</v>
      </c>
      <c r="L10" s="18" t="s">
        <v>64</v>
      </c>
      <c r="M10" s="18" t="s">
        <v>109</v>
      </c>
      <c r="N10" s="18">
        <v>0.125</v>
      </c>
    </row>
    <row r="11" spans="2:14">
      <c r="B11" s="18" t="s">
        <v>67</v>
      </c>
      <c r="C11" s="18">
        <v>1000</v>
      </c>
      <c r="D11" s="19">
        <v>43140</v>
      </c>
      <c r="E11" s="19">
        <v>43203.625</v>
      </c>
      <c r="F11" s="19">
        <v>43203</v>
      </c>
      <c r="G11" s="19">
        <v>43203.625</v>
      </c>
      <c r="H11" s="20">
        <v>3720.0000015999999</v>
      </c>
      <c r="I11" s="20">
        <v>-499999.99575</v>
      </c>
      <c r="J11" s="18" t="s">
        <v>6</v>
      </c>
      <c r="K11" s="18" t="s">
        <v>93</v>
      </c>
      <c r="L11" s="18" t="s">
        <v>64</v>
      </c>
      <c r="M11" s="18" t="s">
        <v>110</v>
      </c>
      <c r="N11" s="18">
        <v>0.125</v>
      </c>
    </row>
    <row r="12" spans="2:14">
      <c r="B12" s="18" t="s">
        <v>94</v>
      </c>
      <c r="C12" s="18">
        <v>100</v>
      </c>
      <c r="D12" s="19">
        <v>43139</v>
      </c>
      <c r="E12" s="19">
        <v>43201.625</v>
      </c>
      <c r="F12" s="19">
        <v>43201</v>
      </c>
      <c r="G12" s="19">
        <v>43201.625</v>
      </c>
      <c r="H12" s="18">
        <v>524</v>
      </c>
      <c r="I12" s="18">
        <v>-235800</v>
      </c>
      <c r="J12" s="18" t="s">
        <v>6</v>
      </c>
      <c r="K12" s="18" t="s">
        <v>93</v>
      </c>
      <c r="L12" s="18" t="s">
        <v>105</v>
      </c>
      <c r="M12" s="18" t="s">
        <v>111</v>
      </c>
      <c r="N12" s="18">
        <v>0.125</v>
      </c>
    </row>
    <row r="13" spans="2:14">
      <c r="B13" s="18" t="s">
        <v>95</v>
      </c>
      <c r="C13" s="18">
        <v>100</v>
      </c>
      <c r="D13" s="19">
        <v>43139</v>
      </c>
      <c r="E13" s="19">
        <v>43201.625</v>
      </c>
      <c r="F13" s="19">
        <v>43201</v>
      </c>
      <c r="G13" s="19">
        <v>43201.625</v>
      </c>
      <c r="H13" s="18">
        <v>524</v>
      </c>
      <c r="I13" s="18">
        <v>-235800</v>
      </c>
      <c r="J13" s="18" t="s">
        <v>43</v>
      </c>
      <c r="K13" s="18" t="s">
        <v>93</v>
      </c>
      <c r="L13" s="18" t="s">
        <v>105</v>
      </c>
      <c r="M13" s="18" t="s">
        <v>111</v>
      </c>
      <c r="N13" s="18">
        <v>0.125</v>
      </c>
    </row>
    <row r="14" spans="2:14">
      <c r="B14" s="18" t="s">
        <v>68</v>
      </c>
      <c r="C14" s="18">
        <v>1000</v>
      </c>
      <c r="D14" s="19">
        <v>43129</v>
      </c>
      <c r="E14" s="19">
        <v>43189.625</v>
      </c>
      <c r="F14" s="19">
        <v>43189</v>
      </c>
      <c r="G14" s="19">
        <v>43189.625</v>
      </c>
      <c r="H14" s="18">
        <v>3650.0000014560001</v>
      </c>
      <c r="I14" s="18">
        <v>-470000.00880000001</v>
      </c>
      <c r="J14" s="18" t="s">
        <v>6</v>
      </c>
      <c r="K14" s="18" t="s">
        <v>93</v>
      </c>
      <c r="L14" s="18" t="s">
        <v>64</v>
      </c>
      <c r="M14" s="18" t="s">
        <v>110</v>
      </c>
      <c r="N14" s="18">
        <v>0.125</v>
      </c>
    </row>
    <row r="15" spans="2:14">
      <c r="B15" s="18" t="s">
        <v>8</v>
      </c>
      <c r="C15" s="18">
        <v>400</v>
      </c>
      <c r="D15" s="19">
        <v>43118</v>
      </c>
      <c r="E15" s="19">
        <v>43200.625</v>
      </c>
      <c r="F15" s="19">
        <v>43202</v>
      </c>
      <c r="G15" s="19">
        <v>43200.625</v>
      </c>
      <c r="H15" s="18">
        <v>14500.000004</v>
      </c>
      <c r="I15" s="18">
        <v>-400000</v>
      </c>
      <c r="J15" s="18" t="s">
        <v>6</v>
      </c>
      <c r="K15" s="18" t="s">
        <v>93</v>
      </c>
      <c r="L15" s="18" t="s">
        <v>9</v>
      </c>
      <c r="M15" s="18" t="s">
        <v>112</v>
      </c>
      <c r="N15" s="18">
        <v>0.12</v>
      </c>
    </row>
    <row r="16" spans="2:14">
      <c r="B16" s="18" t="s">
        <v>69</v>
      </c>
      <c r="C16" s="18">
        <v>500</v>
      </c>
      <c r="D16" s="19">
        <v>43104</v>
      </c>
      <c r="E16" s="19">
        <v>43167.625</v>
      </c>
      <c r="F16" s="19">
        <v>43167</v>
      </c>
      <c r="G16" s="19">
        <v>43167.625</v>
      </c>
      <c r="H16" s="18">
        <v>3550.00000086</v>
      </c>
      <c r="I16" s="18">
        <v>-315000.00594</v>
      </c>
      <c r="J16" s="18" t="s">
        <v>6</v>
      </c>
      <c r="K16" s="18" t="s">
        <v>93</v>
      </c>
      <c r="L16" s="18" t="s">
        <v>64</v>
      </c>
      <c r="M16" s="18" t="s">
        <v>110</v>
      </c>
      <c r="N16" s="18">
        <v>0.125</v>
      </c>
    </row>
    <row r="17" spans="2:14">
      <c r="B17" s="18" t="s">
        <v>41</v>
      </c>
      <c r="C17" s="18">
        <v>125</v>
      </c>
      <c r="D17" s="19">
        <v>43098</v>
      </c>
      <c r="E17" s="19">
        <v>43159.625</v>
      </c>
      <c r="F17" s="19">
        <v>43279</v>
      </c>
      <c r="G17" s="19">
        <v>43098</v>
      </c>
      <c r="H17" s="18">
        <v>10039.999997630001</v>
      </c>
      <c r="I17" s="18">
        <v>0</v>
      </c>
      <c r="J17" s="18" t="s">
        <v>43</v>
      </c>
      <c r="K17" s="18" t="s">
        <v>93</v>
      </c>
      <c r="L17" s="18" t="s">
        <v>44</v>
      </c>
      <c r="M17" s="18" t="s">
        <v>113</v>
      </c>
      <c r="N17" s="18"/>
    </row>
    <row r="18" spans="2:14">
      <c r="B18" s="18" t="s">
        <v>42</v>
      </c>
      <c r="C18" s="18">
        <v>-125</v>
      </c>
      <c r="D18" s="19">
        <v>43098</v>
      </c>
      <c r="E18" s="19">
        <v>43159.625</v>
      </c>
      <c r="F18" s="19">
        <v>43279</v>
      </c>
      <c r="G18" s="19">
        <v>43098</v>
      </c>
      <c r="H18" s="18">
        <v>9500.0000023699995</v>
      </c>
      <c r="I18" s="18">
        <v>9375</v>
      </c>
      <c r="J18" s="18" t="s">
        <v>6</v>
      </c>
      <c r="K18" s="18" t="s">
        <v>93</v>
      </c>
      <c r="L18" s="18" t="s">
        <v>44</v>
      </c>
      <c r="M18" s="18" t="s">
        <v>113</v>
      </c>
      <c r="N18" s="18"/>
    </row>
    <row r="19" spans="2:14">
      <c r="B19" s="18" t="s">
        <v>96</v>
      </c>
      <c r="C19" s="18">
        <v>-50</v>
      </c>
      <c r="D19" s="19">
        <v>43077</v>
      </c>
      <c r="E19" s="19">
        <v>43189.625</v>
      </c>
      <c r="F19" s="19">
        <v>43194</v>
      </c>
      <c r="G19" s="19">
        <v>43076</v>
      </c>
      <c r="H19" s="18">
        <v>1258</v>
      </c>
      <c r="I19" s="18">
        <v>297000</v>
      </c>
      <c r="J19" s="18" t="s">
        <v>6</v>
      </c>
      <c r="K19" s="18" t="s">
        <v>93</v>
      </c>
      <c r="L19" s="18" t="s">
        <v>106</v>
      </c>
      <c r="M19" s="18" t="s">
        <v>114</v>
      </c>
      <c r="N19" s="18"/>
    </row>
    <row r="20" spans="2:14">
      <c r="B20" s="18" t="s">
        <v>97</v>
      </c>
      <c r="C20" s="18">
        <v>-50</v>
      </c>
      <c r="D20" s="19">
        <v>43077</v>
      </c>
      <c r="E20" s="19">
        <v>43189.625</v>
      </c>
      <c r="F20" s="19">
        <v>43194</v>
      </c>
      <c r="G20" s="19">
        <v>43076</v>
      </c>
      <c r="H20" s="18">
        <v>1258</v>
      </c>
      <c r="I20" s="18">
        <v>297000</v>
      </c>
      <c r="J20" s="18" t="s">
        <v>43</v>
      </c>
      <c r="K20" s="18" t="s">
        <v>93</v>
      </c>
      <c r="L20" s="18" t="s">
        <v>106</v>
      </c>
      <c r="M20" s="18" t="s">
        <v>114</v>
      </c>
      <c r="N20" s="18"/>
    </row>
    <row r="21" spans="2:14">
      <c r="B21" s="18" t="s">
        <v>98</v>
      </c>
      <c r="C21" s="18">
        <v>2000</v>
      </c>
      <c r="D21" s="19">
        <v>43067</v>
      </c>
      <c r="E21" s="19">
        <v>43189.625</v>
      </c>
      <c r="F21" s="19">
        <v>43189</v>
      </c>
      <c r="G21" s="19">
        <v>43189.625</v>
      </c>
      <c r="H21" s="18">
        <v>1199.9999998999999</v>
      </c>
      <c r="I21" s="18">
        <v>-5999999.9280000003</v>
      </c>
      <c r="J21" s="18" t="s">
        <v>6</v>
      </c>
      <c r="K21" s="18" t="s">
        <v>93</v>
      </c>
      <c r="L21" s="18" t="s">
        <v>106</v>
      </c>
      <c r="M21" s="18" t="s">
        <v>115</v>
      </c>
      <c r="N21" s="18">
        <v>0.32</v>
      </c>
    </row>
    <row r="22" spans="2:14">
      <c r="B22" s="18" t="s">
        <v>99</v>
      </c>
      <c r="C22" s="18">
        <v>300</v>
      </c>
      <c r="D22" s="19">
        <v>43054</v>
      </c>
      <c r="E22" s="19">
        <v>43189.625</v>
      </c>
      <c r="F22" s="19">
        <v>43190</v>
      </c>
      <c r="G22" s="19">
        <v>43189.625</v>
      </c>
      <c r="H22" s="18">
        <v>13000.000006799999</v>
      </c>
      <c r="I22" s="18">
        <v>-1791000.0179999999</v>
      </c>
      <c r="J22" s="18" t="s">
        <v>6</v>
      </c>
      <c r="K22" s="18" t="s">
        <v>93</v>
      </c>
      <c r="L22" s="18" t="s">
        <v>107</v>
      </c>
      <c r="M22" s="18" t="s">
        <v>115</v>
      </c>
      <c r="N22" s="18">
        <v>0.26</v>
      </c>
    </row>
    <row r="23" spans="2:14">
      <c r="B23" s="18" t="s">
        <v>100</v>
      </c>
      <c r="C23" s="18">
        <v>-500</v>
      </c>
      <c r="D23" s="19">
        <v>43048</v>
      </c>
      <c r="E23" s="19">
        <v>43203.625</v>
      </c>
      <c r="F23" s="19">
        <v>43203</v>
      </c>
      <c r="G23" s="19">
        <v>43048</v>
      </c>
      <c r="H23" s="18">
        <v>3599.9999997999998</v>
      </c>
      <c r="I23" s="18">
        <v>931199.99399999995</v>
      </c>
      <c r="J23" s="18" t="s">
        <v>6</v>
      </c>
      <c r="K23" s="18" t="s">
        <v>93</v>
      </c>
      <c r="L23" s="18" t="s">
        <v>108</v>
      </c>
      <c r="M23" s="18" t="s">
        <v>114</v>
      </c>
      <c r="N23" s="18"/>
    </row>
    <row r="24" spans="2:14">
      <c r="B24" s="18" t="s">
        <v>101</v>
      </c>
      <c r="C24" s="18">
        <v>-500</v>
      </c>
      <c r="D24" s="19">
        <v>43048</v>
      </c>
      <c r="E24" s="19">
        <v>43203.625</v>
      </c>
      <c r="F24" s="19">
        <v>43203</v>
      </c>
      <c r="G24" s="19">
        <v>43048</v>
      </c>
      <c r="H24" s="18">
        <v>4000.0000002000002</v>
      </c>
      <c r="I24" s="18">
        <v>1122200.0019999999</v>
      </c>
      <c r="J24" s="18" t="s">
        <v>43</v>
      </c>
      <c r="K24" s="18" t="s">
        <v>93</v>
      </c>
      <c r="L24" s="18" t="s">
        <v>108</v>
      </c>
      <c r="M24" s="18" t="s">
        <v>114</v>
      </c>
      <c r="N24" s="18"/>
    </row>
    <row r="25" spans="2:14">
      <c r="B25" s="18" t="s">
        <v>102</v>
      </c>
      <c r="C25" s="18">
        <v>500</v>
      </c>
      <c r="D25" s="19">
        <v>43048</v>
      </c>
      <c r="E25" s="19">
        <v>43203.625</v>
      </c>
      <c r="F25" s="19">
        <v>43203</v>
      </c>
      <c r="G25" s="19">
        <v>43203.625</v>
      </c>
      <c r="H25" s="18">
        <v>450</v>
      </c>
      <c r="I25" s="18">
        <v>-760500</v>
      </c>
      <c r="J25" s="18" t="s">
        <v>6</v>
      </c>
      <c r="K25" s="18" t="s">
        <v>93</v>
      </c>
      <c r="L25" s="18" t="s">
        <v>105</v>
      </c>
      <c r="M25" s="18" t="s">
        <v>115</v>
      </c>
      <c r="N25" s="18">
        <v>0.27</v>
      </c>
    </row>
    <row r="26" spans="2:14">
      <c r="B26" s="18" t="s">
        <v>103</v>
      </c>
      <c r="C26" s="18">
        <v>1500</v>
      </c>
      <c r="D26" s="19">
        <v>43048</v>
      </c>
      <c r="E26" s="19">
        <v>43203.625</v>
      </c>
      <c r="F26" s="19">
        <v>43203</v>
      </c>
      <c r="G26" s="19">
        <v>43203.625</v>
      </c>
      <c r="H26" s="18">
        <v>4000</v>
      </c>
      <c r="I26" s="18">
        <v>-2317950</v>
      </c>
      <c r="J26" s="18" t="s">
        <v>43</v>
      </c>
      <c r="K26" s="18" t="s">
        <v>93</v>
      </c>
      <c r="L26" s="18" t="s">
        <v>108</v>
      </c>
      <c r="M26" s="18" t="s">
        <v>115</v>
      </c>
      <c r="N26" s="18">
        <v>0.255</v>
      </c>
    </row>
    <row r="27" spans="2:14">
      <c r="B27" s="18" t="s">
        <v>104</v>
      </c>
      <c r="C27" s="18">
        <v>1500</v>
      </c>
      <c r="D27" s="19">
        <v>43048</v>
      </c>
      <c r="E27" s="19">
        <v>43203.625</v>
      </c>
      <c r="F27" s="19">
        <v>43203</v>
      </c>
      <c r="G27" s="19">
        <v>43203.625</v>
      </c>
      <c r="H27" s="18">
        <v>3600</v>
      </c>
      <c r="I27" s="18">
        <v>-2277450</v>
      </c>
      <c r="J27" s="18" t="s">
        <v>6</v>
      </c>
      <c r="K27" s="18" t="s">
        <v>93</v>
      </c>
      <c r="L27" s="18" t="s">
        <v>108</v>
      </c>
      <c r="M27" s="18" t="s">
        <v>116</v>
      </c>
      <c r="N27" s="18">
        <v>0.255</v>
      </c>
    </row>
    <row r="28" spans="2:14">
      <c r="B28" s="18" t="s">
        <v>337</v>
      </c>
      <c r="C28" s="18">
        <v>-1500</v>
      </c>
      <c r="D28" s="19">
        <v>43048</v>
      </c>
      <c r="E28" s="19">
        <v>43203.625</v>
      </c>
      <c r="F28" s="19">
        <v>43203</v>
      </c>
      <c r="G28" s="19">
        <v>43203.625</v>
      </c>
      <c r="H28" s="18">
        <v>3600</v>
      </c>
      <c r="I28" s="18">
        <v>930000</v>
      </c>
      <c r="J28" s="18" t="s">
        <v>6</v>
      </c>
      <c r="K28" s="18" t="s">
        <v>93</v>
      </c>
      <c r="L28" s="18" t="s">
        <v>108</v>
      </c>
      <c r="M28" s="18" t="s">
        <v>116</v>
      </c>
      <c r="N28" s="18">
        <v>0.255</v>
      </c>
    </row>
    <row r="29" spans="2:14">
      <c r="B29" s="18" t="s">
        <v>5</v>
      </c>
      <c r="C29" s="18">
        <v>100</v>
      </c>
      <c r="D29" s="19">
        <v>43123</v>
      </c>
      <c r="E29" s="19">
        <v>43183.625</v>
      </c>
      <c r="F29" s="19">
        <v>43183</v>
      </c>
      <c r="G29" s="19">
        <v>43183.625</v>
      </c>
      <c r="H29" s="18">
        <v>50000.000004000001</v>
      </c>
      <c r="I29" s="18">
        <v>-50000.004000000001</v>
      </c>
      <c r="J29" s="18" t="s">
        <v>6</v>
      </c>
      <c r="K29" s="18" t="s">
        <v>93</v>
      </c>
      <c r="L29" s="18" t="s">
        <v>7</v>
      </c>
      <c r="M29" s="18" t="s">
        <v>126</v>
      </c>
      <c r="N29" s="18">
        <v>0.12</v>
      </c>
    </row>
    <row r="30" spans="2:14">
      <c r="B30" s="18" t="s">
        <v>161</v>
      </c>
      <c r="C30" s="18">
        <v>1000</v>
      </c>
      <c r="D30" s="19">
        <v>43154</v>
      </c>
      <c r="E30" s="19">
        <v>43182.625</v>
      </c>
      <c r="F30" s="19">
        <v>43184</v>
      </c>
      <c r="G30" s="19">
        <v>43154</v>
      </c>
      <c r="H30" s="20">
        <v>3929.9999985759996</v>
      </c>
      <c r="I30" s="20">
        <v>-271800</v>
      </c>
      <c r="J30" s="18" t="s">
        <v>43</v>
      </c>
      <c r="K30" s="18" t="s">
        <v>93</v>
      </c>
      <c r="L30" s="18" t="s">
        <v>108</v>
      </c>
      <c r="M30" s="18" t="s">
        <v>115</v>
      </c>
      <c r="N30" s="18">
        <v>0.13500000000000001</v>
      </c>
    </row>
    <row r="31" spans="2:14">
      <c r="B31" s="18" t="s">
        <v>162</v>
      </c>
      <c r="C31" s="18">
        <v>1000</v>
      </c>
      <c r="D31" s="19">
        <v>43154</v>
      </c>
      <c r="E31" s="19">
        <v>43182.625</v>
      </c>
      <c r="F31" s="19">
        <v>43184</v>
      </c>
      <c r="G31" s="19">
        <v>43154</v>
      </c>
      <c r="H31" s="20">
        <v>3799.999998368</v>
      </c>
      <c r="I31" s="20">
        <v>-388800</v>
      </c>
      <c r="J31" s="18" t="s">
        <v>6</v>
      </c>
      <c r="K31" s="18" t="s">
        <v>93</v>
      </c>
      <c r="L31" s="18" t="s">
        <v>108</v>
      </c>
      <c r="M31" s="18" t="s">
        <v>115</v>
      </c>
      <c r="N31" s="18">
        <v>0.13500000000000001</v>
      </c>
    </row>
    <row r="32" spans="2:14">
      <c r="B32" s="18" t="s">
        <v>171</v>
      </c>
      <c r="C32" s="18">
        <v>-64</v>
      </c>
      <c r="D32" s="19">
        <v>43157</v>
      </c>
      <c r="E32" s="19">
        <v>43217</v>
      </c>
      <c r="F32" s="19">
        <v>43217</v>
      </c>
      <c r="G32" s="19">
        <v>43217</v>
      </c>
      <c r="H32" s="20">
        <v>16.545999999999999</v>
      </c>
      <c r="I32" s="20">
        <v>751.95</v>
      </c>
      <c r="J32" s="18" t="s">
        <v>181</v>
      </c>
      <c r="K32" s="18" t="s">
        <v>172</v>
      </c>
      <c r="L32" s="18" t="s">
        <v>173</v>
      </c>
      <c r="M32" s="18" t="s">
        <v>169</v>
      </c>
      <c r="N32" s="18"/>
    </row>
    <row r="33" spans="2:14">
      <c r="B33" s="18" t="s">
        <v>174</v>
      </c>
      <c r="C33" s="18">
        <v>-24</v>
      </c>
      <c r="D33" s="19">
        <v>43122</v>
      </c>
      <c r="E33" s="19">
        <v>43209</v>
      </c>
      <c r="F33" s="19">
        <v>43209</v>
      </c>
      <c r="G33" s="19">
        <v>43209</v>
      </c>
      <c r="H33" s="20">
        <v>2236</v>
      </c>
      <c r="I33" s="20">
        <v>402.48</v>
      </c>
      <c r="J33" s="18" t="s">
        <v>182</v>
      </c>
      <c r="K33" s="18" t="s">
        <v>242</v>
      </c>
      <c r="L33" s="18" t="s">
        <v>175</v>
      </c>
      <c r="M33" s="18" t="s">
        <v>169</v>
      </c>
      <c r="N33" s="18"/>
    </row>
    <row r="34" spans="2:14">
      <c r="B34" s="18" t="s">
        <v>183</v>
      </c>
      <c r="C34" s="18">
        <v>-30</v>
      </c>
      <c r="D34" s="19">
        <v>43158</v>
      </c>
      <c r="E34" s="19">
        <v>43217</v>
      </c>
      <c r="F34" s="19">
        <v>43217</v>
      </c>
      <c r="G34" s="19">
        <v>43217</v>
      </c>
      <c r="H34" s="20">
        <v>16.71</v>
      </c>
      <c r="I34" s="20">
        <v>751.95</v>
      </c>
      <c r="J34" s="18" t="s">
        <v>185</v>
      </c>
      <c r="K34" s="18" t="s">
        <v>186</v>
      </c>
      <c r="L34" s="18" t="s">
        <v>168</v>
      </c>
      <c r="M34" s="18" t="s">
        <v>169</v>
      </c>
      <c r="N34" s="18"/>
    </row>
    <row r="35" spans="2:14">
      <c r="B35" s="18" t="s">
        <v>210</v>
      </c>
      <c r="C35" s="18">
        <v>-12</v>
      </c>
      <c r="D35" s="19">
        <v>43168.625</v>
      </c>
      <c r="E35" s="19">
        <v>43257.625</v>
      </c>
      <c r="F35" s="19">
        <v>43259</v>
      </c>
      <c r="G35" s="19">
        <v>43257</v>
      </c>
      <c r="H35" s="20">
        <v>6812.5</v>
      </c>
      <c r="I35" s="20">
        <v>1021.875</v>
      </c>
      <c r="J35" s="18" t="s">
        <v>211</v>
      </c>
      <c r="K35" s="18" t="s">
        <v>212</v>
      </c>
      <c r="L35" s="18" t="s">
        <v>213</v>
      </c>
      <c r="M35" s="18" t="s">
        <v>169</v>
      </c>
      <c r="N35" s="18"/>
    </row>
    <row r="36" spans="2:14">
      <c r="B36" s="18" t="s">
        <v>219</v>
      </c>
      <c r="C36" s="18">
        <v>-30</v>
      </c>
      <c r="D36" s="19">
        <v>43175</v>
      </c>
      <c r="E36" s="19">
        <v>43238</v>
      </c>
      <c r="F36" s="19">
        <v>43238</v>
      </c>
      <c r="G36" s="19">
        <v>43238</v>
      </c>
      <c r="H36" s="27">
        <v>16.545000000000002</v>
      </c>
      <c r="I36" s="20">
        <v>1240.875</v>
      </c>
      <c r="J36" s="18" t="s">
        <v>185</v>
      </c>
      <c r="K36" s="18" t="s">
        <v>172</v>
      </c>
      <c r="L36" s="18" t="s">
        <v>218</v>
      </c>
      <c r="M36" s="18" t="s">
        <v>169</v>
      </c>
      <c r="N36" s="18"/>
    </row>
    <row r="37" spans="2:14">
      <c r="B37" s="18" t="s">
        <v>220</v>
      </c>
      <c r="C37" s="18">
        <v>-37</v>
      </c>
      <c r="D37" s="19">
        <v>43185</v>
      </c>
      <c r="E37" s="19">
        <v>43271</v>
      </c>
      <c r="F37" s="19">
        <v>43271</v>
      </c>
      <c r="G37" s="19">
        <v>43271</v>
      </c>
      <c r="H37" s="18">
        <v>6818.76</v>
      </c>
      <c r="I37" s="18">
        <v>3153.6765</v>
      </c>
      <c r="J37" s="18" t="s">
        <v>223</v>
      </c>
      <c r="K37" s="18" t="s">
        <v>221</v>
      </c>
      <c r="L37" s="18" t="s">
        <v>222</v>
      </c>
      <c r="M37" s="18" t="s">
        <v>169</v>
      </c>
      <c r="N37" s="18"/>
    </row>
    <row r="38" spans="2:14" ht="13.5">
      <c r="B38" s="18" t="s">
        <v>224</v>
      </c>
      <c r="C38" s="33">
        <v>-30</v>
      </c>
      <c r="D38" s="31">
        <v>43166</v>
      </c>
      <c r="E38" s="19">
        <v>43217</v>
      </c>
      <c r="F38" s="19">
        <v>43217.625</v>
      </c>
      <c r="G38" s="19">
        <v>43217</v>
      </c>
      <c r="H38" s="30">
        <v>16.535</v>
      </c>
      <c r="I38" s="18">
        <v>-744.07499999999993</v>
      </c>
      <c r="J38" t="s">
        <v>234</v>
      </c>
      <c r="K38" s="18" t="s">
        <v>172</v>
      </c>
      <c r="L38" s="18" t="s">
        <v>229</v>
      </c>
      <c r="M38" s="18" t="s">
        <v>169</v>
      </c>
      <c r="N38" s="18"/>
    </row>
    <row r="39" spans="2:14" ht="13.5">
      <c r="B39" s="18" t="s">
        <v>225</v>
      </c>
      <c r="C39" s="33">
        <v>0</v>
      </c>
      <c r="D39" s="31">
        <v>43187</v>
      </c>
      <c r="E39" s="19">
        <v>43279</v>
      </c>
      <c r="F39" s="19">
        <v>43279.625</v>
      </c>
      <c r="G39" s="19">
        <v>43279</v>
      </c>
      <c r="H39" s="30">
        <v>1366.7</v>
      </c>
      <c r="I39" s="18">
        <v>-1298.365</v>
      </c>
      <c r="J39" t="s">
        <v>235</v>
      </c>
      <c r="K39" s="18" t="s">
        <v>186</v>
      </c>
      <c r="L39" s="18" t="s">
        <v>230</v>
      </c>
      <c r="M39" s="18" t="s">
        <v>169</v>
      </c>
      <c r="N39" s="18"/>
    </row>
    <row r="40" spans="2:14" ht="13.5">
      <c r="B40" s="18" t="s">
        <v>226</v>
      </c>
      <c r="C40" s="33">
        <v>-30</v>
      </c>
      <c r="D40" s="31">
        <v>43187</v>
      </c>
      <c r="E40" s="19">
        <v>43238</v>
      </c>
      <c r="F40" s="19">
        <v>43238.625</v>
      </c>
      <c r="G40" s="19">
        <v>43238</v>
      </c>
      <c r="H40" s="30">
        <v>16.59</v>
      </c>
      <c r="I40" s="20">
        <v>-1244.25</v>
      </c>
      <c r="J40" t="s">
        <v>236</v>
      </c>
      <c r="K40" s="18" t="s">
        <v>212</v>
      </c>
      <c r="L40" s="18" t="s">
        <v>231</v>
      </c>
      <c r="M40" s="18" t="s">
        <v>169</v>
      </c>
      <c r="N40" s="18"/>
    </row>
    <row r="41" spans="2:14" ht="13.5">
      <c r="B41" s="18" t="s">
        <v>227</v>
      </c>
      <c r="C41" s="33">
        <v>-24</v>
      </c>
      <c r="D41" s="31">
        <v>43187</v>
      </c>
      <c r="E41" s="19">
        <v>43209</v>
      </c>
      <c r="F41" s="19">
        <v>43209.625</v>
      </c>
      <c r="G41" s="19">
        <v>43209</v>
      </c>
      <c r="H41" s="30">
        <v>2051</v>
      </c>
      <c r="I41" s="20">
        <v>-615.30000000000007</v>
      </c>
      <c r="J41" t="s">
        <v>236</v>
      </c>
      <c r="K41" s="18" t="s">
        <v>172</v>
      </c>
      <c r="L41" s="18" t="s">
        <v>232</v>
      </c>
      <c r="M41" s="18" t="s">
        <v>169</v>
      </c>
      <c r="N41" s="18"/>
    </row>
    <row r="42" spans="2:14" ht="13.5">
      <c r="B42" s="18" t="s">
        <v>228</v>
      </c>
      <c r="C42" s="33">
        <v>-52</v>
      </c>
      <c r="D42" s="31">
        <v>43186</v>
      </c>
      <c r="E42" s="19">
        <v>43273</v>
      </c>
      <c r="F42" s="19">
        <v>43273.625</v>
      </c>
      <c r="G42" s="19">
        <v>43273</v>
      </c>
      <c r="H42" s="30">
        <v>6631.92</v>
      </c>
      <c r="I42" s="20">
        <v>-4310.7479999999996</v>
      </c>
      <c r="J42" t="s">
        <v>236</v>
      </c>
      <c r="K42" s="18" t="s">
        <v>221</v>
      </c>
      <c r="L42" s="18" t="s">
        <v>233</v>
      </c>
      <c r="M42" s="18" t="s">
        <v>169</v>
      </c>
      <c r="N42" s="18"/>
    </row>
    <row r="43" spans="2:14">
      <c r="B43" s="18" t="s">
        <v>240</v>
      </c>
      <c r="C43" s="18">
        <v>-37</v>
      </c>
      <c r="D43" s="19">
        <v>43188.625</v>
      </c>
      <c r="E43" s="19">
        <v>43313.625</v>
      </c>
      <c r="F43" s="19">
        <v>43313.625</v>
      </c>
      <c r="G43" s="19">
        <v>43313.625</v>
      </c>
      <c r="H43" s="20">
        <v>6662.89</v>
      </c>
      <c r="I43" s="20">
        <v>-3081.5866249999999</v>
      </c>
      <c r="J43" s="18" t="s">
        <v>245</v>
      </c>
      <c r="K43" s="18" t="s">
        <v>242</v>
      </c>
      <c r="L43" s="18" t="s">
        <v>246</v>
      </c>
      <c r="M43" s="18" t="s">
        <v>169</v>
      </c>
      <c r="N43" s="18"/>
    </row>
    <row r="44" spans="2:14" ht="12">
      <c r="B44" s="18" t="s">
        <v>247</v>
      </c>
      <c r="C44" s="34">
        <v>-300</v>
      </c>
      <c r="D44" s="35">
        <v>43187</v>
      </c>
      <c r="E44" s="35">
        <v>43217.625</v>
      </c>
      <c r="F44" s="35">
        <v>43217</v>
      </c>
      <c r="G44" s="35">
        <v>43187</v>
      </c>
      <c r="H44" s="34">
        <v>3119.52</v>
      </c>
      <c r="I44" s="20">
        <v>0</v>
      </c>
      <c r="J44" s="18" t="s">
        <v>249</v>
      </c>
      <c r="K44" s="18" t="s">
        <v>251</v>
      </c>
      <c r="L44" s="18" t="s">
        <v>252</v>
      </c>
      <c r="M44" s="34" t="s">
        <v>253</v>
      </c>
      <c r="N44" s="18"/>
    </row>
    <row r="45" spans="2:14" ht="12">
      <c r="B45" s="18" t="s">
        <v>248</v>
      </c>
      <c r="C45" s="34">
        <v>360</v>
      </c>
      <c r="D45" s="35">
        <v>43187</v>
      </c>
      <c r="E45" s="35">
        <v>43217.625</v>
      </c>
      <c r="F45" s="35">
        <v>43217</v>
      </c>
      <c r="G45" s="35">
        <v>43187</v>
      </c>
      <c r="H45" s="34">
        <v>3312.48</v>
      </c>
      <c r="I45" s="18">
        <v>0</v>
      </c>
      <c r="J45" s="18" t="s">
        <v>250</v>
      </c>
      <c r="K45" s="18" t="s">
        <v>93</v>
      </c>
      <c r="L45" s="18" t="s">
        <v>252</v>
      </c>
      <c r="M45" s="34" t="s">
        <v>253</v>
      </c>
      <c r="N45" s="18"/>
    </row>
    <row r="46" spans="2:14" ht="12">
      <c r="B46" s="18" t="s">
        <v>338</v>
      </c>
      <c r="C46" s="18">
        <v>-58</v>
      </c>
      <c r="D46" s="35">
        <v>43200.625</v>
      </c>
      <c r="E46" s="35">
        <v>43286.625</v>
      </c>
      <c r="F46" s="35">
        <v>43286</v>
      </c>
      <c r="G46" s="35">
        <v>43286</v>
      </c>
      <c r="H46" s="18">
        <v>2117.38</v>
      </c>
      <c r="I46" s="36">
        <v>1535.1005</v>
      </c>
      <c r="J46" s="18" t="s">
        <v>339</v>
      </c>
      <c r="K46" s="18" t="s">
        <v>242</v>
      </c>
      <c r="L46" s="18" t="s">
        <v>340</v>
      </c>
      <c r="M46" s="18" t="s">
        <v>169</v>
      </c>
      <c r="N46" s="18"/>
    </row>
    <row r="47" spans="2:14">
      <c r="B47" s="18" t="s">
        <v>342</v>
      </c>
      <c r="C47" s="18">
        <v>-8</v>
      </c>
      <c r="D47" s="19">
        <v>43201.625</v>
      </c>
      <c r="E47" s="19">
        <v>43286.625</v>
      </c>
      <c r="F47" s="19">
        <v>43286</v>
      </c>
      <c r="G47" s="19">
        <v>43286</v>
      </c>
      <c r="H47" s="18">
        <v>2185.5</v>
      </c>
      <c r="I47" s="36">
        <v>218.55</v>
      </c>
      <c r="J47" s="18" t="s">
        <v>343</v>
      </c>
      <c r="K47" s="18" t="s">
        <v>242</v>
      </c>
      <c r="L47" s="18" t="s">
        <v>175</v>
      </c>
      <c r="M47" s="18" t="s">
        <v>169</v>
      </c>
      <c r="N47" s="18"/>
    </row>
    <row r="48" spans="2:14">
      <c r="G48" s="32"/>
      <c r="I48" s="32"/>
    </row>
    <row r="49" spans="7:9">
      <c r="G49" s="32"/>
      <c r="I49" s="32"/>
    </row>
    <row r="50" spans="7:9">
      <c r="I50" s="32"/>
    </row>
  </sheetData>
  <phoneticPr fontId="1" type="noConversion"/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5:J21"/>
  <sheetViews>
    <sheetView workbookViewId="0">
      <selection activeCell="F29" sqref="F29"/>
    </sheetView>
  </sheetViews>
  <sheetFormatPr defaultRowHeight="12"/>
  <cols>
    <col min="1" max="1" width="9" style="1"/>
    <col min="2" max="2" width="9.5" style="1" customWidth="1"/>
    <col min="3" max="3" width="7.5" style="1" bestFit="1" customWidth="1"/>
    <col min="4" max="5" width="11.5" style="1" bestFit="1" customWidth="1"/>
    <col min="6" max="6" width="13.625" style="1" bestFit="1" customWidth="1"/>
    <col min="7" max="7" width="6.5" style="1" bestFit="1" customWidth="1"/>
    <col min="8" max="9" width="8.5" style="1" bestFit="1" customWidth="1"/>
    <col min="10" max="11" width="13.125" style="1" customWidth="1"/>
    <col min="12" max="16384" width="9" style="1"/>
  </cols>
  <sheetData>
    <row r="5" spans="2:10">
      <c r="B5" s="37" t="s">
        <v>17</v>
      </c>
      <c r="C5" s="37"/>
      <c r="D5" s="37"/>
      <c r="E5" s="37"/>
      <c r="F5" s="37"/>
      <c r="G5" s="37"/>
      <c r="H5" s="37"/>
      <c r="I5" s="12"/>
    </row>
    <row r="6" spans="2:10">
      <c r="B6" s="1" t="s">
        <v>16</v>
      </c>
      <c r="C6" s="1" t="s">
        <v>83</v>
      </c>
      <c r="D6" s="1" t="s">
        <v>38</v>
      </c>
      <c r="E6" s="1" t="s">
        <v>85</v>
      </c>
      <c r="F6" s="1" t="s">
        <v>70</v>
      </c>
      <c r="G6" s="1" t="s">
        <v>0</v>
      </c>
      <c r="H6" s="1" t="s">
        <v>15</v>
      </c>
      <c r="I6" s="1" t="s">
        <v>178</v>
      </c>
      <c r="J6" s="1" t="s">
        <v>84</v>
      </c>
    </row>
    <row r="7" spans="2:10">
      <c r="B7" s="1" t="s">
        <v>40</v>
      </c>
      <c r="C7" s="1" t="s">
        <v>2</v>
      </c>
      <c r="D7" s="1" t="s">
        <v>39</v>
      </c>
      <c r="E7" s="1" t="str">
        <f>tbl_ticker[[#This Row],[ticker]]&amp;"."&amp;tbl_ticker[[#This Row],[exchange]]</f>
        <v>cu1805.shf</v>
      </c>
      <c r="F7" s="1">
        <v>5</v>
      </c>
      <c r="G7" s="1">
        <v>0.14000000000000001</v>
      </c>
      <c r="H7" s="1">
        <v>0</v>
      </c>
      <c r="I7" s="13">
        <f ca="1">TODAY()</f>
        <v>43201</v>
      </c>
      <c r="J7" s="14">
        <f ca="1">[1]!s_dq_close(E7,I7,1)</f>
        <v>50950</v>
      </c>
    </row>
    <row r="8" spans="2:10">
      <c r="B8" s="1" t="s">
        <v>32</v>
      </c>
      <c r="C8" s="1" t="s">
        <v>11</v>
      </c>
      <c r="D8" s="1" t="s">
        <v>39</v>
      </c>
      <c r="E8" s="1" t="str">
        <f>tbl_ticker[[#This Row],[ticker]]&amp;"."&amp;tbl_ticker[[#This Row],[exchange]]</f>
        <v>al1805.shf</v>
      </c>
      <c r="F8" s="1">
        <v>5</v>
      </c>
      <c r="G8" s="1">
        <v>0.14000000000000001</v>
      </c>
      <c r="H8" s="1">
        <v>0</v>
      </c>
      <c r="I8" s="13">
        <f t="shared" ref="I8:I20" ca="1" si="0">TODAY()</f>
        <v>43201</v>
      </c>
      <c r="J8" s="14">
        <f ca="1">[1]!s_dq_close(E8,I8,1)</f>
        <v>14285</v>
      </c>
    </row>
    <row r="9" spans="2:10">
      <c r="B9" s="1" t="s">
        <v>33</v>
      </c>
      <c r="C9" s="1" t="s">
        <v>3</v>
      </c>
      <c r="D9" s="1" t="s">
        <v>39</v>
      </c>
      <c r="E9" s="1" t="str">
        <f>tbl_ticker[[#This Row],[ticker]]&amp;"."&amp;tbl_ticker[[#This Row],[exchange]]</f>
        <v>ag1806.shf</v>
      </c>
      <c r="F9" s="1">
        <v>15</v>
      </c>
      <c r="G9" s="1">
        <v>0.11</v>
      </c>
      <c r="H9" s="1">
        <v>0</v>
      </c>
      <c r="I9" s="13">
        <f t="shared" ca="1" si="0"/>
        <v>43201</v>
      </c>
      <c r="J9" s="14">
        <f ca="1">[1]!s_dq_close(E9,I9,1)</f>
        <v>3655</v>
      </c>
    </row>
    <row r="10" spans="2:10">
      <c r="B10" s="1" t="s">
        <v>48</v>
      </c>
      <c r="C10" s="1" t="s">
        <v>46</v>
      </c>
      <c r="D10" s="1" t="s">
        <v>47</v>
      </c>
      <c r="E10" s="2" t="str">
        <f>tbl_ticker[[#This Row],[ticker]]&amp;"."&amp;tbl_ticker[[#This Row],[exchange]]</f>
        <v>l1805.dce</v>
      </c>
      <c r="F10" s="2">
        <v>5</v>
      </c>
      <c r="G10" s="1">
        <v>0.19</v>
      </c>
      <c r="H10" s="1">
        <v>0</v>
      </c>
      <c r="I10" s="13">
        <f t="shared" ca="1" si="0"/>
        <v>43201</v>
      </c>
      <c r="J10" s="14">
        <f ca="1">[1]!s_dq_close(E10,I10,1)</f>
        <v>9390</v>
      </c>
    </row>
    <row r="11" spans="2:10">
      <c r="B11" s="1" t="s">
        <v>65</v>
      </c>
      <c r="C11" s="1" t="s">
        <v>63</v>
      </c>
      <c r="D11" s="1" t="s">
        <v>39</v>
      </c>
      <c r="E11" s="2" t="str">
        <f>tbl_ticker[[#This Row],[ticker]]&amp;"."&amp;tbl_ticker[[#This Row],[exchange]]</f>
        <v>rb1810.shf</v>
      </c>
      <c r="F11" s="2">
        <v>10</v>
      </c>
      <c r="G11" s="1">
        <v>0.18</v>
      </c>
      <c r="H11" s="1">
        <v>0</v>
      </c>
      <c r="I11" s="13">
        <f t="shared" ca="1" si="0"/>
        <v>43201</v>
      </c>
      <c r="J11" s="14">
        <f ca="1">[1]!s_dq_close(E11,I11,1)</f>
        <v>3395</v>
      </c>
    </row>
    <row r="12" spans="2:10">
      <c r="B12" s="1" t="s">
        <v>127</v>
      </c>
      <c r="C12" s="1" t="s">
        <v>128</v>
      </c>
      <c r="D12" s="1" t="s">
        <v>125</v>
      </c>
      <c r="E12" s="2" t="str">
        <f>tbl_ticker[[#This Row],[ticker]]&amp;"."&amp;tbl_ticker[[#This Row],[exchange]]</f>
        <v>rb1805.shf</v>
      </c>
      <c r="F12" s="2">
        <v>10</v>
      </c>
      <c r="G12" s="1">
        <v>0.18</v>
      </c>
      <c r="H12" s="1">
        <v>0</v>
      </c>
      <c r="I12" s="13">
        <f t="shared" ca="1" si="0"/>
        <v>43201</v>
      </c>
      <c r="J12" s="14">
        <f ca="1">[1]!s_dq_close(E12,I12,1)</f>
        <v>3663</v>
      </c>
    </row>
    <row r="13" spans="2:10">
      <c r="B13" s="1" t="s">
        <v>124</v>
      </c>
      <c r="C13" s="1" t="s">
        <v>86</v>
      </c>
      <c r="D13" s="1" t="s">
        <v>87</v>
      </c>
      <c r="E13" s="2" t="str">
        <f>tbl_ticker[[#This Row],[ticker]]&amp;"."&amp;tbl_ticker[[#This Row],[exchange]]</f>
        <v>i1805.dce</v>
      </c>
      <c r="F13" s="2">
        <v>100</v>
      </c>
      <c r="G13" s="1">
        <v>0.36</v>
      </c>
      <c r="H13" s="1">
        <v>0</v>
      </c>
      <c r="I13" s="13">
        <f t="shared" ca="1" si="0"/>
        <v>43201</v>
      </c>
      <c r="J13" s="14">
        <f ca="1">[1]!s_dq_close(E13,I13,1)</f>
        <v>435.5</v>
      </c>
    </row>
    <row r="14" spans="2:10">
      <c r="B14" s="1" t="s">
        <v>117</v>
      </c>
      <c r="C14" s="1" t="s">
        <v>120</v>
      </c>
      <c r="D14" s="1" t="s">
        <v>125</v>
      </c>
      <c r="E14" s="2" t="str">
        <f>tbl_ticker[[#This Row],[ticker]]&amp;"."&amp;tbl_ticker[[#This Row],[exchange]]</f>
        <v>ru1805.shf</v>
      </c>
      <c r="F14" s="1">
        <v>10</v>
      </c>
      <c r="G14" s="1">
        <v>0.36</v>
      </c>
      <c r="H14" s="1">
        <v>0</v>
      </c>
      <c r="I14" s="13">
        <f t="shared" ca="1" si="0"/>
        <v>43201</v>
      </c>
      <c r="J14" s="14">
        <f ca="1">[1]!s_dq_close(E14,I14,1)</f>
        <v>11085</v>
      </c>
    </row>
    <row r="15" spans="2:10">
      <c r="B15" s="1" t="s">
        <v>118</v>
      </c>
      <c r="C15" s="1" t="s">
        <v>122</v>
      </c>
      <c r="D15" s="1" t="s">
        <v>123</v>
      </c>
      <c r="E15" s="2" t="str">
        <f>tbl_ticker[[#This Row],[ticker]]&amp;"."&amp;tbl_ticker[[#This Row],[exchange]]</f>
        <v>jm1805.dce</v>
      </c>
      <c r="F15" s="1">
        <v>60</v>
      </c>
      <c r="G15" s="1">
        <v>0.36</v>
      </c>
      <c r="H15" s="1">
        <v>0</v>
      </c>
      <c r="I15" s="13">
        <f t="shared" ca="1" si="0"/>
        <v>43201</v>
      </c>
      <c r="J15" s="14">
        <f ca="1">[1]!s_dq_close(E15,I15,1)</f>
        <v>1264.5</v>
      </c>
    </row>
    <row r="16" spans="2:10">
      <c r="B16" s="1" t="s">
        <v>167</v>
      </c>
      <c r="C16" s="1" t="s">
        <v>194</v>
      </c>
      <c r="D16" s="1" t="s">
        <v>166</v>
      </c>
      <c r="E16" s="2" t="str">
        <f>tbl_ticker[[#This Row],[ticker]]&amp;"."&amp;tbl_ticker[[#This Row],[exchange]]</f>
        <v>sih18e.cmx</v>
      </c>
      <c r="F16" s="1">
        <v>5000</v>
      </c>
      <c r="G16" s="1">
        <v>0.12</v>
      </c>
      <c r="H16" s="1">
        <v>0</v>
      </c>
      <c r="I16" s="13">
        <f t="shared" ca="1" si="0"/>
        <v>43201</v>
      </c>
      <c r="J16" s="14">
        <f ca="1">[1]!s_dq_close(E16,I16,1)</f>
        <v>0</v>
      </c>
    </row>
    <row r="17" spans="2:10">
      <c r="B17" s="1" t="s">
        <v>168</v>
      </c>
      <c r="C17" s="1" t="s">
        <v>194</v>
      </c>
      <c r="D17" s="1" t="s">
        <v>166</v>
      </c>
      <c r="E17" s="2" t="str">
        <f>tbl_ticker[[#This Row],[ticker]]&amp;"."&amp;tbl_ticker[[#This Row],[exchange]]</f>
        <v>sik18e.cmx</v>
      </c>
      <c r="F17" s="1">
        <v>5000</v>
      </c>
      <c r="G17" s="1">
        <v>0.12</v>
      </c>
      <c r="H17" s="1">
        <v>0</v>
      </c>
      <c r="I17" s="13">
        <f t="shared" ca="1" si="0"/>
        <v>43201</v>
      </c>
      <c r="J17" s="14">
        <f ca="1">[1]!s_dq_close(E17,I17,1)</f>
        <v>16.565000000000001</v>
      </c>
    </row>
    <row r="18" spans="2:10">
      <c r="B18" s="1" t="s">
        <v>176</v>
      </c>
      <c r="C18" s="1" t="s">
        <v>193</v>
      </c>
      <c r="D18" s="1" t="s">
        <v>177</v>
      </c>
      <c r="E18" s="2" t="str">
        <f>tbl_ticker[[#This Row],[ticker]]&amp;"."&amp;tbl_ticker[[#This Row],[exchange]]</f>
        <v>ah.lme</v>
      </c>
      <c r="F18" s="1">
        <v>25</v>
      </c>
      <c r="G18" s="1">
        <v>0.12</v>
      </c>
      <c r="H18" s="1">
        <v>0</v>
      </c>
      <c r="I18" s="13">
        <f t="shared" ca="1" si="0"/>
        <v>43201</v>
      </c>
      <c r="J18" s="14">
        <f ca="1">[1]!s_dq_close(E18,I18,1)</f>
        <v>2211</v>
      </c>
    </row>
    <row r="19" spans="2:10">
      <c r="B19" s="1" t="s">
        <v>214</v>
      </c>
      <c r="C19" s="1" t="s">
        <v>215</v>
      </c>
      <c r="D19" s="1" t="s">
        <v>216</v>
      </c>
      <c r="E19" s="2" t="str">
        <f>tbl_ticker[[#This Row],[ticker]]&amp;"."&amp;tbl_ticker[[#This Row],[exchange]]</f>
        <v>ca.lme</v>
      </c>
      <c r="F19" s="1">
        <v>25</v>
      </c>
      <c r="G19" s="1">
        <v>0.12</v>
      </c>
      <c r="I19" s="13">
        <f ca="1">TODAY()</f>
        <v>43201</v>
      </c>
      <c r="J19" s="14">
        <f ca="1">[1]!s_dq_close(E19,I19,1)</f>
        <v>6968.5</v>
      </c>
    </row>
    <row r="20" spans="2:10">
      <c r="B20" s="1" t="s">
        <v>218</v>
      </c>
      <c r="C20" s="1" t="s">
        <v>192</v>
      </c>
      <c r="D20" s="1" t="s">
        <v>166</v>
      </c>
      <c r="E20" s="2" t="str">
        <f>tbl_ticker[[#This Row],[ticker]]&amp;"."&amp;tbl_ticker[[#This Row],[exchange]]</f>
        <v>sin18e.cmx</v>
      </c>
      <c r="F20" s="1">
        <v>5000</v>
      </c>
      <c r="G20" s="1">
        <v>0.12</v>
      </c>
      <c r="H20" s="1">
        <v>0</v>
      </c>
      <c r="I20" s="13">
        <f t="shared" ca="1" si="0"/>
        <v>43201</v>
      </c>
      <c r="J20" s="28">
        <f ca="1">[1]!s_dq_close(E20,I20,1)</f>
        <v>16.63</v>
      </c>
    </row>
    <row r="21" spans="2:10">
      <c r="B21" s="1" t="s">
        <v>341</v>
      </c>
      <c r="C21" s="1" t="s">
        <v>237</v>
      </c>
      <c r="D21" s="1" t="s">
        <v>238</v>
      </c>
      <c r="E21" s="2" t="str">
        <f>tbl_ticker[[#This Row],[ticker]]&amp;"."&amp;tbl_ticker[[#This Row],[exchange]]</f>
        <v>gcz18e.cmx</v>
      </c>
      <c r="F21" s="1">
        <v>100</v>
      </c>
      <c r="G21" s="1">
        <v>0.12</v>
      </c>
      <c r="I21" s="13">
        <f ca="1">TODAY()</f>
        <v>43201</v>
      </c>
      <c r="J21" s="14">
        <f ca="1">[1]!s_dq_close(E21,I21,1)</f>
        <v>1361.4</v>
      </c>
    </row>
  </sheetData>
  <mergeCells count="1">
    <mergeCell ref="B5:H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AP57"/>
  <sheetViews>
    <sheetView workbookViewId="0">
      <selection activeCell="M21" sqref="M21"/>
    </sheetView>
  </sheetViews>
  <sheetFormatPr defaultRowHeight="11.25"/>
  <cols>
    <col min="1" max="1" width="3.375" style="9" customWidth="1"/>
    <col min="2" max="2" width="33.875" style="9" bestFit="1" customWidth="1"/>
    <col min="3" max="4" width="4.375" style="9" bestFit="1" customWidth="1"/>
    <col min="5" max="35" width="5.25" style="9" bestFit="1" customWidth="1"/>
    <col min="36" max="39" width="7" style="9" bestFit="1" customWidth="1"/>
    <col min="40" max="41" width="5.25" style="9" bestFit="1" customWidth="1"/>
    <col min="42" max="16384" width="9" style="9"/>
  </cols>
  <sheetData>
    <row r="5" spans="2:42">
      <c r="B5" s="38" t="s">
        <v>12</v>
      </c>
      <c r="C5" s="38"/>
      <c r="D5" s="38"/>
      <c r="E5" s="38"/>
      <c r="F5" s="38"/>
    </row>
    <row r="6" spans="2:42">
      <c r="B6" s="9" t="s">
        <v>170</v>
      </c>
      <c r="C6" s="9" t="s">
        <v>14</v>
      </c>
      <c r="D6" s="9" t="s">
        <v>13</v>
      </c>
      <c r="E6" s="9" t="s">
        <v>129</v>
      </c>
      <c r="F6" s="9" t="s">
        <v>10</v>
      </c>
      <c r="G6" s="9" t="s">
        <v>130</v>
      </c>
      <c r="H6" s="9" t="s">
        <v>131</v>
      </c>
      <c r="I6" s="9" t="s">
        <v>1</v>
      </c>
      <c r="J6" s="9" t="s">
        <v>121</v>
      </c>
      <c r="K6" s="9" t="s">
        <v>132</v>
      </c>
      <c r="L6" s="9" t="s">
        <v>133</v>
      </c>
      <c r="M6" s="9" t="s">
        <v>134</v>
      </c>
      <c r="N6" s="9" t="s">
        <v>62</v>
      </c>
      <c r="O6" s="9" t="s">
        <v>135</v>
      </c>
      <c r="P6" s="9" t="s">
        <v>136</v>
      </c>
      <c r="Q6" s="9" t="s">
        <v>137</v>
      </c>
      <c r="R6" s="9" t="s">
        <v>138</v>
      </c>
      <c r="S6" s="9" t="s">
        <v>6</v>
      </c>
      <c r="T6" s="9" t="s">
        <v>139</v>
      </c>
      <c r="U6" s="9" t="s">
        <v>140</v>
      </c>
      <c r="V6" s="9" t="s">
        <v>141</v>
      </c>
      <c r="W6" s="9" t="s">
        <v>142</v>
      </c>
      <c r="X6" s="9" t="s">
        <v>143</v>
      </c>
      <c r="Y6" s="9" t="s">
        <v>144</v>
      </c>
      <c r="Z6" s="9" t="s">
        <v>43</v>
      </c>
      <c r="AA6" s="9" t="s">
        <v>145</v>
      </c>
      <c r="AB6" s="9" t="s">
        <v>146</v>
      </c>
      <c r="AC6" s="9" t="s">
        <v>147</v>
      </c>
      <c r="AD6" s="9" t="s">
        <v>148</v>
      </c>
      <c r="AE6" s="9" t="s">
        <v>149</v>
      </c>
      <c r="AF6" s="9" t="s">
        <v>45</v>
      </c>
      <c r="AG6" s="9" t="s">
        <v>150</v>
      </c>
      <c r="AH6" s="9" t="s">
        <v>119</v>
      </c>
      <c r="AI6" s="9" t="s">
        <v>151</v>
      </c>
      <c r="AJ6" s="9" t="s">
        <v>187</v>
      </c>
      <c r="AK6" s="9" t="s">
        <v>188</v>
      </c>
      <c r="AL6" s="9" t="s">
        <v>189</v>
      </c>
      <c r="AM6" s="9" t="s">
        <v>190</v>
      </c>
      <c r="AN6" s="9" t="s">
        <v>191</v>
      </c>
      <c r="AO6" s="9" t="s">
        <v>192</v>
      </c>
      <c r="AP6" s="9" t="s">
        <v>209</v>
      </c>
    </row>
    <row r="7" spans="2:42">
      <c r="B7" s="9" t="s">
        <v>114</v>
      </c>
      <c r="C7" s="9">
        <v>0</v>
      </c>
      <c r="D7" s="9">
        <v>0.1</v>
      </c>
      <c r="E7" s="10">
        <v>7.2099999999999997E-2</v>
      </c>
      <c r="F7" s="10">
        <v>5.7700000000000001E-2</v>
      </c>
      <c r="G7" s="10">
        <v>6.7699999999999996E-2</v>
      </c>
      <c r="H7" s="10">
        <v>8.0199999999999994E-2</v>
      </c>
      <c r="I7" s="10">
        <v>6.3899999999999998E-2</v>
      </c>
      <c r="J7" s="10">
        <v>0.10920000000000001</v>
      </c>
      <c r="K7" s="10">
        <v>0.112</v>
      </c>
      <c r="L7" s="10">
        <v>9.5399999999999999E-2</v>
      </c>
      <c r="M7" s="10">
        <v>0.12520000000000001</v>
      </c>
      <c r="N7" s="10">
        <v>0.1067</v>
      </c>
      <c r="O7" s="10">
        <v>4.02E-2</v>
      </c>
      <c r="P7" s="10">
        <v>6.4899999999999999E-2</v>
      </c>
      <c r="Q7" s="10">
        <v>5.62E-2</v>
      </c>
      <c r="R7" s="10">
        <v>5.6300000000000003E-2</v>
      </c>
      <c r="S7" s="10">
        <v>5.8799999999999998E-2</v>
      </c>
      <c r="T7" s="10">
        <v>5.3900000000000003E-2</v>
      </c>
      <c r="U7" s="10">
        <v>6.8900000000000003E-2</v>
      </c>
      <c r="V7" s="10">
        <v>7.7100000000000002E-2</v>
      </c>
      <c r="W7" s="10">
        <v>5.21E-2</v>
      </c>
      <c r="X7" s="10">
        <v>5.04E-2</v>
      </c>
      <c r="Y7" s="10">
        <v>6.2600000000000003E-2</v>
      </c>
      <c r="Z7" s="10">
        <v>4.7E-2</v>
      </c>
      <c r="AA7" s="10">
        <v>3.9199999999999999E-2</v>
      </c>
      <c r="AB7" s="10">
        <v>6.5199999999999994E-2</v>
      </c>
      <c r="AC7" s="10">
        <v>8.9099999999999999E-2</v>
      </c>
      <c r="AD7" s="10">
        <v>7.0099999999999996E-2</v>
      </c>
      <c r="AE7" s="10">
        <v>7.1199999999999999E-2</v>
      </c>
      <c r="AF7" s="10">
        <v>6.54E-2</v>
      </c>
      <c r="AG7" s="10">
        <v>6.7699999999999996E-2</v>
      </c>
      <c r="AH7" s="10">
        <v>9.8599999999999993E-2</v>
      </c>
      <c r="AI7" s="10">
        <v>6.0600000000000001E-2</v>
      </c>
      <c r="AJ7" s="10">
        <v>5.8400000000000001E-2</v>
      </c>
      <c r="AK7" s="10">
        <v>4.8500000000000001E-2</v>
      </c>
      <c r="AL7" s="10">
        <v>7.2499999999999995E-2</v>
      </c>
      <c r="AM7" s="10">
        <v>8.5099999999999995E-2</v>
      </c>
      <c r="AN7" s="10">
        <v>4.24E-2</v>
      </c>
      <c r="AO7" s="10">
        <v>7.6200000000000004E-2</v>
      </c>
      <c r="AP7" s="10">
        <v>6.3899999999999998E-2</v>
      </c>
    </row>
    <row r="8" spans="2:42">
      <c r="B8" s="9" t="s">
        <v>113</v>
      </c>
      <c r="C8" s="9">
        <v>0</v>
      </c>
      <c r="D8" s="9">
        <v>0.1</v>
      </c>
      <c r="E8" s="10">
        <v>7.2099999999999997E-2</v>
      </c>
      <c r="F8" s="10">
        <v>5.7700000000000001E-2</v>
      </c>
      <c r="G8" s="10">
        <v>6.7699999999999996E-2</v>
      </c>
      <c r="H8" s="10">
        <v>8.0199999999999994E-2</v>
      </c>
      <c r="I8" s="10">
        <v>6.3899999999999998E-2</v>
      </c>
      <c r="J8" s="10">
        <v>0.10920000000000001</v>
      </c>
      <c r="K8" s="10">
        <v>0.112</v>
      </c>
      <c r="L8" s="10">
        <v>9.5399999999999999E-2</v>
      </c>
      <c r="M8" s="10">
        <v>0.12520000000000001</v>
      </c>
      <c r="N8" s="10">
        <v>0.1067</v>
      </c>
      <c r="O8" s="10">
        <v>4.02E-2</v>
      </c>
      <c r="P8" s="10">
        <v>6.4899999999999999E-2</v>
      </c>
      <c r="Q8" s="10">
        <v>5.62E-2</v>
      </c>
      <c r="R8" s="10">
        <v>5.6300000000000003E-2</v>
      </c>
      <c r="S8" s="10">
        <v>5.8799999999999998E-2</v>
      </c>
      <c r="T8" s="10">
        <v>5.3900000000000003E-2</v>
      </c>
      <c r="U8" s="10">
        <v>6.8900000000000003E-2</v>
      </c>
      <c r="V8" s="10">
        <v>7.7100000000000002E-2</v>
      </c>
      <c r="W8" s="10">
        <v>5.21E-2</v>
      </c>
      <c r="X8" s="10">
        <v>5.04E-2</v>
      </c>
      <c r="Y8" s="10">
        <v>6.2600000000000003E-2</v>
      </c>
      <c r="Z8" s="10">
        <v>4.7E-2</v>
      </c>
      <c r="AA8" s="10">
        <v>3.9199999999999999E-2</v>
      </c>
      <c r="AB8" s="10">
        <v>6.5199999999999994E-2</v>
      </c>
      <c r="AC8" s="10">
        <v>8.9099999999999999E-2</v>
      </c>
      <c r="AD8" s="10">
        <v>7.0099999999999996E-2</v>
      </c>
      <c r="AE8" s="10">
        <v>7.1199999999999999E-2</v>
      </c>
      <c r="AF8" s="10">
        <v>6.54E-2</v>
      </c>
      <c r="AG8" s="10">
        <v>6.7699999999999996E-2</v>
      </c>
      <c r="AH8" s="10">
        <v>9.8599999999999993E-2</v>
      </c>
      <c r="AI8" s="10">
        <v>6.0600000000000001E-2</v>
      </c>
      <c r="AJ8" s="10">
        <v>5.8400000000000001E-2</v>
      </c>
      <c r="AK8" s="10">
        <v>4.8500000000000001E-2</v>
      </c>
      <c r="AL8" s="10">
        <v>7.2499999999999995E-2</v>
      </c>
      <c r="AM8" s="10">
        <v>8.5099999999999995E-2</v>
      </c>
      <c r="AN8" s="10">
        <v>4.24E-2</v>
      </c>
      <c r="AO8" s="10">
        <v>7.6200000000000004E-2</v>
      </c>
      <c r="AP8" s="10">
        <v>6.3899999999999998E-2</v>
      </c>
    </row>
    <row r="9" spans="2:42">
      <c r="B9" s="21" t="s">
        <v>112</v>
      </c>
      <c r="C9" s="9">
        <v>0</v>
      </c>
      <c r="D9" s="9">
        <v>0.1</v>
      </c>
      <c r="E9" s="10">
        <v>7.2099999999999997E-2</v>
      </c>
      <c r="F9" s="10">
        <v>5.7700000000000001E-2</v>
      </c>
      <c r="G9" s="10">
        <v>6.7699999999999996E-2</v>
      </c>
      <c r="H9" s="10">
        <v>8.0199999999999994E-2</v>
      </c>
      <c r="I9" s="10">
        <v>6.3899999999999998E-2</v>
      </c>
      <c r="J9" s="10">
        <v>0.10920000000000001</v>
      </c>
      <c r="K9" s="10">
        <v>0.112</v>
      </c>
      <c r="L9" s="10">
        <v>9.5399999999999999E-2</v>
      </c>
      <c r="M9" s="10">
        <v>0.12520000000000001</v>
      </c>
      <c r="N9" s="10">
        <v>0.1067</v>
      </c>
      <c r="O9" s="10">
        <v>4.02E-2</v>
      </c>
      <c r="P9" s="10">
        <v>6.4899999999999999E-2</v>
      </c>
      <c r="Q9" s="10">
        <v>5.62E-2</v>
      </c>
      <c r="R9" s="10">
        <v>5.6300000000000003E-2</v>
      </c>
      <c r="S9" s="10">
        <v>5.8799999999999998E-2</v>
      </c>
      <c r="T9" s="10">
        <v>5.3900000000000003E-2</v>
      </c>
      <c r="U9" s="10">
        <v>6.8900000000000003E-2</v>
      </c>
      <c r="V9" s="10">
        <v>7.7100000000000002E-2</v>
      </c>
      <c r="W9" s="10">
        <v>5.21E-2</v>
      </c>
      <c r="X9" s="10">
        <v>5.04E-2</v>
      </c>
      <c r="Y9" s="10">
        <v>6.2600000000000003E-2</v>
      </c>
      <c r="Z9" s="10">
        <v>4.7E-2</v>
      </c>
      <c r="AA9" s="10">
        <v>3.9199999999999999E-2</v>
      </c>
      <c r="AB9" s="10">
        <v>6.5199999999999994E-2</v>
      </c>
      <c r="AC9" s="10">
        <v>8.9099999999999999E-2</v>
      </c>
      <c r="AD9" s="10">
        <v>7.0099999999999996E-2</v>
      </c>
      <c r="AE9" s="10">
        <v>7.1199999999999999E-2</v>
      </c>
      <c r="AF9" s="10">
        <v>6.54E-2</v>
      </c>
      <c r="AG9" s="10">
        <v>6.7699999999999996E-2</v>
      </c>
      <c r="AH9" s="10">
        <v>9.8599999999999993E-2</v>
      </c>
      <c r="AI9" s="10">
        <v>6.0600000000000001E-2</v>
      </c>
      <c r="AJ9" s="10">
        <v>5.8400000000000001E-2</v>
      </c>
      <c r="AK9" s="10">
        <v>4.8500000000000001E-2</v>
      </c>
      <c r="AL9" s="10">
        <v>7.2499999999999995E-2</v>
      </c>
      <c r="AM9" s="10">
        <v>8.5099999999999995E-2</v>
      </c>
      <c r="AN9" s="10">
        <v>4.24E-2</v>
      </c>
      <c r="AO9" s="10">
        <v>7.6200000000000004E-2</v>
      </c>
      <c r="AP9" s="10">
        <v>6.3899999999999998E-2</v>
      </c>
    </row>
    <row r="10" spans="2:42">
      <c r="B10" s="9" t="s">
        <v>111</v>
      </c>
      <c r="C10" s="9">
        <v>0</v>
      </c>
      <c r="D10" s="9">
        <v>0.1</v>
      </c>
      <c r="E10" s="10">
        <v>7.2099999999999997E-2</v>
      </c>
      <c r="F10" s="10">
        <v>5.7700000000000001E-2</v>
      </c>
      <c r="G10" s="10">
        <v>6.7699999999999996E-2</v>
      </c>
      <c r="H10" s="10">
        <v>8.0199999999999994E-2</v>
      </c>
      <c r="I10" s="10">
        <v>6.3899999999999998E-2</v>
      </c>
      <c r="J10" s="10">
        <v>0.10920000000000001</v>
      </c>
      <c r="K10" s="10">
        <v>0.112</v>
      </c>
      <c r="L10" s="10">
        <v>9.5399999999999999E-2</v>
      </c>
      <c r="M10" s="10">
        <v>0.12520000000000001</v>
      </c>
      <c r="N10" s="10">
        <v>0.1067</v>
      </c>
      <c r="O10" s="10">
        <v>4.02E-2</v>
      </c>
      <c r="P10" s="10">
        <v>6.4899999999999999E-2</v>
      </c>
      <c r="Q10" s="10">
        <v>5.62E-2</v>
      </c>
      <c r="R10" s="10">
        <v>5.6300000000000003E-2</v>
      </c>
      <c r="S10" s="10">
        <v>5.8799999999999998E-2</v>
      </c>
      <c r="T10" s="10">
        <v>5.3900000000000003E-2</v>
      </c>
      <c r="U10" s="10">
        <v>6.8900000000000003E-2</v>
      </c>
      <c r="V10" s="10">
        <v>7.7100000000000002E-2</v>
      </c>
      <c r="W10" s="10">
        <v>5.21E-2</v>
      </c>
      <c r="X10" s="10">
        <v>5.04E-2</v>
      </c>
      <c r="Y10" s="10">
        <v>6.2600000000000003E-2</v>
      </c>
      <c r="Z10" s="10">
        <v>4.7E-2</v>
      </c>
      <c r="AA10" s="10">
        <v>3.9199999999999999E-2</v>
      </c>
      <c r="AB10" s="10">
        <v>6.5199999999999994E-2</v>
      </c>
      <c r="AC10" s="10">
        <v>8.9099999999999999E-2</v>
      </c>
      <c r="AD10" s="10">
        <v>7.0099999999999996E-2</v>
      </c>
      <c r="AE10" s="10">
        <v>7.1199999999999999E-2</v>
      </c>
      <c r="AF10" s="10">
        <v>6.54E-2</v>
      </c>
      <c r="AG10" s="10">
        <v>6.7699999999999996E-2</v>
      </c>
      <c r="AH10" s="10">
        <v>9.8599999999999993E-2</v>
      </c>
      <c r="AI10" s="10">
        <v>6.0600000000000001E-2</v>
      </c>
      <c r="AJ10" s="10">
        <v>5.8400000000000001E-2</v>
      </c>
      <c r="AK10" s="10">
        <v>4.8500000000000001E-2</v>
      </c>
      <c r="AL10" s="10">
        <v>7.2499999999999995E-2</v>
      </c>
      <c r="AM10" s="10">
        <v>8.5099999999999995E-2</v>
      </c>
      <c r="AN10" s="10">
        <v>4.24E-2</v>
      </c>
      <c r="AO10" s="10">
        <v>7.6200000000000004E-2</v>
      </c>
      <c r="AP10" s="10">
        <v>6.3899999999999998E-2</v>
      </c>
    </row>
    <row r="11" spans="2:42">
      <c r="B11" s="9" t="s">
        <v>110</v>
      </c>
      <c r="C11" s="9">
        <v>0</v>
      </c>
      <c r="D11" s="9">
        <v>0.1</v>
      </c>
      <c r="E11" s="10">
        <v>7.2099999999999997E-2</v>
      </c>
      <c r="F11" s="10">
        <v>5.7700000000000001E-2</v>
      </c>
      <c r="G11" s="10">
        <v>6.7699999999999996E-2</v>
      </c>
      <c r="H11" s="10">
        <v>8.0199999999999994E-2</v>
      </c>
      <c r="I11" s="10">
        <v>6.3899999999999998E-2</v>
      </c>
      <c r="J11" s="10">
        <v>0.10920000000000001</v>
      </c>
      <c r="K11" s="10">
        <v>0.112</v>
      </c>
      <c r="L11" s="10">
        <v>9.5399999999999999E-2</v>
      </c>
      <c r="M11" s="10">
        <v>0.12520000000000001</v>
      </c>
      <c r="N11" s="10">
        <v>0.1067</v>
      </c>
      <c r="O11" s="10">
        <v>4.02E-2</v>
      </c>
      <c r="P11" s="10">
        <v>6.4899999999999999E-2</v>
      </c>
      <c r="Q11" s="10">
        <v>5.62E-2</v>
      </c>
      <c r="R11" s="10">
        <v>5.6300000000000003E-2</v>
      </c>
      <c r="S11" s="10">
        <v>5.8799999999999998E-2</v>
      </c>
      <c r="T11" s="10">
        <v>5.3900000000000003E-2</v>
      </c>
      <c r="U11" s="10">
        <v>6.8900000000000003E-2</v>
      </c>
      <c r="V11" s="10">
        <v>7.7100000000000002E-2</v>
      </c>
      <c r="W11" s="10">
        <v>5.21E-2</v>
      </c>
      <c r="X11" s="10">
        <v>5.04E-2</v>
      </c>
      <c r="Y11" s="10">
        <v>6.2600000000000003E-2</v>
      </c>
      <c r="Z11" s="10">
        <v>4.7E-2</v>
      </c>
      <c r="AA11" s="10">
        <v>3.9199999999999999E-2</v>
      </c>
      <c r="AB11" s="10">
        <v>6.5199999999999994E-2</v>
      </c>
      <c r="AC11" s="10">
        <v>8.9099999999999999E-2</v>
      </c>
      <c r="AD11" s="10">
        <v>7.0099999999999996E-2</v>
      </c>
      <c r="AE11" s="10">
        <v>7.1199999999999999E-2</v>
      </c>
      <c r="AF11" s="10">
        <v>6.54E-2</v>
      </c>
      <c r="AG11" s="10">
        <v>6.7699999999999996E-2</v>
      </c>
      <c r="AH11" s="10">
        <v>9.8599999999999993E-2</v>
      </c>
      <c r="AI11" s="10">
        <v>6.0600000000000001E-2</v>
      </c>
      <c r="AJ11" s="10">
        <v>5.8400000000000001E-2</v>
      </c>
      <c r="AK11" s="10">
        <v>4.8500000000000001E-2</v>
      </c>
      <c r="AL11" s="10">
        <v>7.2499999999999995E-2</v>
      </c>
      <c r="AM11" s="10">
        <v>8.5099999999999995E-2</v>
      </c>
      <c r="AN11" s="10">
        <v>4.24E-2</v>
      </c>
      <c r="AO11" s="10">
        <v>7.6200000000000004E-2</v>
      </c>
      <c r="AP11" s="10">
        <v>6.3899999999999998E-2</v>
      </c>
    </row>
    <row r="12" spans="2:42">
      <c r="B12" s="9" t="s">
        <v>115</v>
      </c>
      <c r="C12" s="9">
        <v>0</v>
      </c>
      <c r="D12" s="9">
        <v>0.1</v>
      </c>
      <c r="E12" s="10">
        <v>7.2099999999999997E-2</v>
      </c>
      <c r="F12" s="10">
        <v>5.7700000000000001E-2</v>
      </c>
      <c r="G12" s="10">
        <v>6.7699999999999996E-2</v>
      </c>
      <c r="H12" s="10">
        <v>8.0199999999999994E-2</v>
      </c>
      <c r="I12" s="10">
        <v>6.3899999999999998E-2</v>
      </c>
      <c r="J12" s="10">
        <v>0.10920000000000001</v>
      </c>
      <c r="K12" s="10">
        <v>0.112</v>
      </c>
      <c r="L12" s="10">
        <v>9.5399999999999999E-2</v>
      </c>
      <c r="M12" s="10">
        <v>0.12520000000000001</v>
      </c>
      <c r="N12" s="10">
        <v>0.1067</v>
      </c>
      <c r="O12" s="10">
        <v>4.02E-2</v>
      </c>
      <c r="P12" s="10">
        <v>6.4899999999999999E-2</v>
      </c>
      <c r="Q12" s="10">
        <v>5.62E-2</v>
      </c>
      <c r="R12" s="10">
        <v>5.6300000000000003E-2</v>
      </c>
      <c r="S12" s="10">
        <v>5.8799999999999998E-2</v>
      </c>
      <c r="T12" s="10">
        <v>5.3900000000000003E-2</v>
      </c>
      <c r="U12" s="10">
        <v>6.8900000000000003E-2</v>
      </c>
      <c r="V12" s="10">
        <v>7.7100000000000002E-2</v>
      </c>
      <c r="W12" s="10">
        <v>5.21E-2</v>
      </c>
      <c r="X12" s="10">
        <v>5.04E-2</v>
      </c>
      <c r="Y12" s="10">
        <v>6.2600000000000003E-2</v>
      </c>
      <c r="Z12" s="10">
        <v>4.7E-2</v>
      </c>
      <c r="AA12" s="10">
        <v>3.9199999999999999E-2</v>
      </c>
      <c r="AB12" s="10">
        <v>6.5199999999999994E-2</v>
      </c>
      <c r="AC12" s="10">
        <v>8.9099999999999999E-2</v>
      </c>
      <c r="AD12" s="10">
        <v>7.0099999999999996E-2</v>
      </c>
      <c r="AE12" s="10">
        <v>7.1199999999999999E-2</v>
      </c>
      <c r="AF12" s="10">
        <v>6.54E-2</v>
      </c>
      <c r="AG12" s="10">
        <v>6.7699999999999996E-2</v>
      </c>
      <c r="AH12" s="10">
        <v>9.8599999999999993E-2</v>
      </c>
      <c r="AI12" s="10">
        <v>6.0600000000000001E-2</v>
      </c>
      <c r="AJ12" s="10">
        <v>5.8400000000000001E-2</v>
      </c>
      <c r="AK12" s="10">
        <v>4.8500000000000001E-2</v>
      </c>
      <c r="AL12" s="10">
        <v>7.2499999999999995E-2</v>
      </c>
      <c r="AM12" s="10">
        <v>8.5099999999999995E-2</v>
      </c>
      <c r="AN12" s="10">
        <v>4.24E-2</v>
      </c>
      <c r="AO12" s="10">
        <v>7.6200000000000004E-2</v>
      </c>
      <c r="AP12" s="10">
        <v>6.3899999999999998E-2</v>
      </c>
    </row>
    <row r="13" spans="2:42">
      <c r="B13" s="9" t="s">
        <v>126</v>
      </c>
      <c r="C13" s="9">
        <v>0</v>
      </c>
      <c r="D13" s="9">
        <v>0.1</v>
      </c>
      <c r="E13" s="10">
        <v>7.2099999999999997E-2</v>
      </c>
      <c r="F13" s="10">
        <v>5.7700000000000001E-2</v>
      </c>
      <c r="G13" s="10">
        <v>6.7699999999999996E-2</v>
      </c>
      <c r="H13" s="10">
        <v>8.0199999999999994E-2</v>
      </c>
      <c r="I13" s="10">
        <v>6.3899999999999998E-2</v>
      </c>
      <c r="J13" s="10">
        <v>0.10920000000000001</v>
      </c>
      <c r="K13" s="10">
        <v>0.112</v>
      </c>
      <c r="L13" s="10">
        <v>9.5399999999999999E-2</v>
      </c>
      <c r="M13" s="10">
        <v>0.12520000000000001</v>
      </c>
      <c r="N13" s="10">
        <v>0.1067</v>
      </c>
      <c r="O13" s="10">
        <v>4.02E-2</v>
      </c>
      <c r="P13" s="10">
        <v>6.4899999999999999E-2</v>
      </c>
      <c r="Q13" s="10">
        <v>5.62E-2</v>
      </c>
      <c r="R13" s="10">
        <v>5.6300000000000003E-2</v>
      </c>
      <c r="S13" s="10">
        <v>5.8799999999999998E-2</v>
      </c>
      <c r="T13" s="10">
        <v>5.3900000000000003E-2</v>
      </c>
      <c r="U13" s="10">
        <v>6.8900000000000003E-2</v>
      </c>
      <c r="V13" s="10">
        <v>7.7100000000000002E-2</v>
      </c>
      <c r="W13" s="10">
        <v>5.21E-2</v>
      </c>
      <c r="X13" s="10">
        <v>5.04E-2</v>
      </c>
      <c r="Y13" s="10">
        <v>6.2600000000000003E-2</v>
      </c>
      <c r="Z13" s="10">
        <v>4.7E-2</v>
      </c>
      <c r="AA13" s="10">
        <v>3.9199999999999999E-2</v>
      </c>
      <c r="AB13" s="10">
        <v>6.5199999999999994E-2</v>
      </c>
      <c r="AC13" s="10">
        <v>8.9099999999999999E-2</v>
      </c>
      <c r="AD13" s="10">
        <v>7.0099999999999996E-2</v>
      </c>
      <c r="AE13" s="10">
        <v>7.1199999999999999E-2</v>
      </c>
      <c r="AF13" s="10">
        <v>6.54E-2</v>
      </c>
      <c r="AG13" s="10">
        <v>6.7699999999999996E-2</v>
      </c>
      <c r="AH13" s="10">
        <v>9.8599999999999993E-2</v>
      </c>
      <c r="AI13" s="10">
        <v>6.0600000000000001E-2</v>
      </c>
      <c r="AJ13" s="10">
        <v>5.8400000000000001E-2</v>
      </c>
      <c r="AK13" s="10">
        <v>4.8500000000000001E-2</v>
      </c>
      <c r="AL13" s="10">
        <v>7.2499999999999995E-2</v>
      </c>
      <c r="AM13" s="10">
        <v>8.5099999999999995E-2</v>
      </c>
      <c r="AN13" s="10">
        <v>4.24E-2</v>
      </c>
      <c r="AO13" s="10">
        <v>7.6200000000000004E-2</v>
      </c>
      <c r="AP13" s="10">
        <v>6.3899999999999998E-2</v>
      </c>
    </row>
    <row r="14" spans="2:42">
      <c r="B14" s="9" t="s">
        <v>202</v>
      </c>
      <c r="C14" s="9">
        <v>0</v>
      </c>
      <c r="D14" s="9">
        <v>0.1</v>
      </c>
      <c r="E14" s="10">
        <v>7.2099999999999997E-2</v>
      </c>
      <c r="F14" s="10">
        <v>5.7700000000000001E-2</v>
      </c>
      <c r="G14" s="10">
        <v>6.7699999999999996E-2</v>
      </c>
      <c r="H14" s="10">
        <v>8.0199999999999994E-2</v>
      </c>
      <c r="I14" s="10">
        <v>6.3899999999999998E-2</v>
      </c>
      <c r="J14" s="10">
        <v>0.10920000000000001</v>
      </c>
      <c r="K14" s="10">
        <v>0.112</v>
      </c>
      <c r="L14" s="10">
        <v>9.5399999999999999E-2</v>
      </c>
      <c r="M14" s="10">
        <v>0.12520000000000001</v>
      </c>
      <c r="N14" s="10">
        <v>0.1067</v>
      </c>
      <c r="O14" s="10">
        <v>4.02E-2</v>
      </c>
      <c r="P14" s="10">
        <v>6.4899999999999999E-2</v>
      </c>
      <c r="Q14" s="10">
        <v>5.62E-2</v>
      </c>
      <c r="R14" s="10">
        <v>5.6300000000000003E-2</v>
      </c>
      <c r="S14" s="10">
        <v>5.8799999999999998E-2</v>
      </c>
      <c r="T14" s="10">
        <v>5.3900000000000003E-2</v>
      </c>
      <c r="U14" s="10">
        <v>6.8900000000000003E-2</v>
      </c>
      <c r="V14" s="10">
        <v>7.7100000000000002E-2</v>
      </c>
      <c r="W14" s="10">
        <v>5.21E-2</v>
      </c>
      <c r="X14" s="10">
        <v>5.04E-2</v>
      </c>
      <c r="Y14" s="10">
        <v>6.2600000000000003E-2</v>
      </c>
      <c r="Z14" s="10">
        <v>4.7E-2</v>
      </c>
      <c r="AA14" s="10">
        <v>3.9199999999999999E-2</v>
      </c>
      <c r="AB14" s="10">
        <v>6.5199999999999994E-2</v>
      </c>
      <c r="AC14" s="10">
        <v>8.9099999999999999E-2</v>
      </c>
      <c r="AD14" s="10">
        <v>7.0099999999999996E-2</v>
      </c>
      <c r="AE14" s="10">
        <v>7.1199999999999999E-2</v>
      </c>
      <c r="AF14" s="10">
        <v>6.54E-2</v>
      </c>
      <c r="AG14" s="10">
        <v>6.7699999999999996E-2</v>
      </c>
      <c r="AH14" s="10">
        <v>9.8599999999999993E-2</v>
      </c>
      <c r="AI14" s="10">
        <v>6.0600000000000001E-2</v>
      </c>
      <c r="AJ14" s="10">
        <v>5.8400000000000001E-2</v>
      </c>
      <c r="AK14" s="10">
        <v>4.8500000000000001E-2</v>
      </c>
      <c r="AL14" s="10">
        <v>7.2499999999999995E-2</v>
      </c>
      <c r="AM14" s="10">
        <v>8.5099999999999995E-2</v>
      </c>
      <c r="AN14" s="10">
        <v>4.24E-2</v>
      </c>
      <c r="AO14" s="10">
        <v>7.6200000000000004E-2</v>
      </c>
      <c r="AP14" s="10">
        <v>6.3899999999999998E-2</v>
      </c>
    </row>
    <row r="15" spans="2:42">
      <c r="B15" s="9" t="s">
        <v>169</v>
      </c>
      <c r="C15" s="9">
        <v>0</v>
      </c>
      <c r="D15" s="9">
        <v>0.1</v>
      </c>
      <c r="E15" s="10">
        <v>7.2099999999999997E-2</v>
      </c>
      <c r="F15" s="10">
        <v>5.7700000000000001E-2</v>
      </c>
      <c r="G15" s="10">
        <v>6.7699999999999996E-2</v>
      </c>
      <c r="H15" s="10">
        <v>8.0199999999999994E-2</v>
      </c>
      <c r="I15" s="10">
        <v>6.3899999999999998E-2</v>
      </c>
      <c r="J15" s="10">
        <v>0.10920000000000001</v>
      </c>
      <c r="K15" s="10">
        <v>0.112</v>
      </c>
      <c r="L15" s="10">
        <v>9.5399999999999999E-2</v>
      </c>
      <c r="M15" s="10">
        <v>0.12520000000000001</v>
      </c>
      <c r="N15" s="10">
        <v>0.1067</v>
      </c>
      <c r="O15" s="10">
        <v>4.02E-2</v>
      </c>
      <c r="P15" s="10">
        <v>6.4899999999999999E-2</v>
      </c>
      <c r="Q15" s="10">
        <v>5.62E-2</v>
      </c>
      <c r="R15" s="10">
        <v>5.6300000000000003E-2</v>
      </c>
      <c r="S15" s="10">
        <v>5.8799999999999998E-2</v>
      </c>
      <c r="T15" s="10">
        <v>5.3900000000000003E-2</v>
      </c>
      <c r="U15" s="10">
        <v>6.8900000000000003E-2</v>
      </c>
      <c r="V15" s="10">
        <v>7.7100000000000002E-2</v>
      </c>
      <c r="W15" s="10">
        <v>5.21E-2</v>
      </c>
      <c r="X15" s="10">
        <v>5.04E-2</v>
      </c>
      <c r="Y15" s="10">
        <v>6.2600000000000003E-2</v>
      </c>
      <c r="Z15" s="10">
        <v>4.7E-2</v>
      </c>
      <c r="AA15" s="10">
        <v>3.9199999999999999E-2</v>
      </c>
      <c r="AB15" s="10">
        <v>6.5199999999999994E-2</v>
      </c>
      <c r="AC15" s="10">
        <v>8.9099999999999999E-2</v>
      </c>
      <c r="AD15" s="10">
        <v>7.0099999999999996E-2</v>
      </c>
      <c r="AE15" s="10">
        <v>7.1199999999999999E-2</v>
      </c>
      <c r="AF15" s="10">
        <v>6.54E-2</v>
      </c>
      <c r="AG15" s="10">
        <v>6.7699999999999996E-2</v>
      </c>
      <c r="AH15" s="10">
        <v>9.8599999999999993E-2</v>
      </c>
      <c r="AI15" s="10">
        <v>6.0600000000000001E-2</v>
      </c>
      <c r="AJ15" s="10">
        <v>5.8400000000000001E-2</v>
      </c>
      <c r="AK15" s="10">
        <v>4.8500000000000001E-2</v>
      </c>
      <c r="AL15" s="10">
        <v>7.2499999999999995E-2</v>
      </c>
      <c r="AM15" s="10">
        <v>8.5099999999999995E-2</v>
      </c>
      <c r="AN15" s="10">
        <v>4.24E-2</v>
      </c>
      <c r="AO15" s="10">
        <v>7.6200000000000004E-2</v>
      </c>
      <c r="AP15" s="10">
        <v>6.3899999999999998E-2</v>
      </c>
    </row>
    <row r="16" spans="2:42">
      <c r="B16" s="9" t="s">
        <v>254</v>
      </c>
      <c r="C16" s="9">
        <v>0</v>
      </c>
      <c r="D16" s="9">
        <v>0.1</v>
      </c>
      <c r="E16" s="10">
        <v>7.2099999999999997E-2</v>
      </c>
      <c r="F16" s="10">
        <v>5.7700000000000001E-2</v>
      </c>
      <c r="G16" s="10">
        <v>6.7699999999999996E-2</v>
      </c>
      <c r="H16" s="10">
        <v>8.0199999999999994E-2</v>
      </c>
      <c r="I16" s="10">
        <v>6.3899999999999998E-2</v>
      </c>
      <c r="J16" s="10">
        <v>0.10920000000000001</v>
      </c>
      <c r="K16" s="10">
        <v>0.112</v>
      </c>
      <c r="L16" s="10">
        <v>9.5399999999999999E-2</v>
      </c>
      <c r="M16" s="10">
        <v>0.12520000000000001</v>
      </c>
      <c r="N16" s="10">
        <v>0.1067</v>
      </c>
      <c r="O16" s="10">
        <v>4.02E-2</v>
      </c>
      <c r="P16" s="10">
        <v>6.4899999999999999E-2</v>
      </c>
      <c r="Q16" s="10">
        <v>5.62E-2</v>
      </c>
      <c r="R16" s="10">
        <v>5.6300000000000003E-2</v>
      </c>
      <c r="S16" s="10">
        <v>5.8799999999999998E-2</v>
      </c>
      <c r="T16" s="10">
        <v>5.3900000000000003E-2</v>
      </c>
      <c r="U16" s="10">
        <v>6.8900000000000003E-2</v>
      </c>
      <c r="V16" s="10">
        <v>7.7100000000000002E-2</v>
      </c>
      <c r="W16" s="10">
        <v>5.21E-2</v>
      </c>
      <c r="X16" s="10">
        <v>5.04E-2</v>
      </c>
      <c r="Y16" s="10">
        <v>6.2600000000000003E-2</v>
      </c>
      <c r="Z16" s="10">
        <v>4.7E-2</v>
      </c>
      <c r="AA16" s="10">
        <v>3.9199999999999999E-2</v>
      </c>
      <c r="AB16" s="10">
        <v>6.5199999999999994E-2</v>
      </c>
      <c r="AC16" s="10">
        <v>8.9099999999999999E-2</v>
      </c>
      <c r="AD16" s="10">
        <v>7.0099999999999996E-2</v>
      </c>
      <c r="AE16" s="10">
        <v>7.1199999999999999E-2</v>
      </c>
      <c r="AF16" s="10">
        <v>6.54E-2</v>
      </c>
      <c r="AG16" s="10">
        <v>6.7699999999999996E-2</v>
      </c>
      <c r="AH16" s="10">
        <v>9.8599999999999993E-2</v>
      </c>
      <c r="AI16" s="10">
        <v>6.0600000000000001E-2</v>
      </c>
      <c r="AJ16" s="10">
        <v>5.8400000000000001E-2</v>
      </c>
      <c r="AK16" s="10">
        <v>4.8500000000000001E-2</v>
      </c>
      <c r="AL16" s="10">
        <v>7.2499999999999995E-2</v>
      </c>
      <c r="AM16" s="10">
        <v>8.5099999999999995E-2</v>
      </c>
      <c r="AN16" s="10">
        <v>4.24E-2</v>
      </c>
      <c r="AO16" s="10">
        <v>7.6200000000000004E-2</v>
      </c>
      <c r="AP16" s="10">
        <v>6.3899999999999998E-2</v>
      </c>
    </row>
    <row r="27" spans="5:7">
      <c r="E27" s="22"/>
    </row>
    <row r="28" spans="5:7">
      <c r="G28" s="22"/>
    </row>
    <row r="29" spans="5:7">
      <c r="G29" s="22"/>
    </row>
    <row r="30" spans="5:7">
      <c r="G30" s="22"/>
    </row>
    <row r="31" spans="5:7">
      <c r="G31" s="22"/>
    </row>
    <row r="32" spans="5:7">
      <c r="G32" s="22"/>
    </row>
    <row r="33" spans="7:7">
      <c r="G33" s="22"/>
    </row>
    <row r="34" spans="7:7">
      <c r="G34" s="22"/>
    </row>
    <row r="35" spans="7:7">
      <c r="G35" s="22"/>
    </row>
    <row r="36" spans="7:7">
      <c r="G36" s="22"/>
    </row>
    <row r="37" spans="7:7">
      <c r="G37" s="22"/>
    </row>
    <row r="38" spans="7:7">
      <c r="G38" s="22"/>
    </row>
    <row r="39" spans="7:7">
      <c r="G39" s="22"/>
    </row>
    <row r="40" spans="7:7">
      <c r="G40" s="22"/>
    </row>
    <row r="41" spans="7:7">
      <c r="G41" s="22"/>
    </row>
    <row r="42" spans="7:7">
      <c r="G42" s="22"/>
    </row>
    <row r="43" spans="7:7">
      <c r="G43" s="22"/>
    </row>
    <row r="44" spans="7:7">
      <c r="G44" s="22"/>
    </row>
    <row r="45" spans="7:7">
      <c r="G45" s="22"/>
    </row>
    <row r="46" spans="7:7">
      <c r="G46" s="22"/>
    </row>
    <row r="47" spans="7:7">
      <c r="G47" s="22"/>
    </row>
    <row r="48" spans="7:7">
      <c r="G48" s="22"/>
    </row>
    <row r="49" spans="7:7">
      <c r="G49" s="22"/>
    </row>
    <row r="50" spans="7:7">
      <c r="G50" s="22"/>
    </row>
    <row r="51" spans="7:7">
      <c r="G51" s="22"/>
    </row>
    <row r="52" spans="7:7">
      <c r="G52" s="22"/>
    </row>
    <row r="53" spans="7:7">
      <c r="G53" s="22"/>
    </row>
    <row r="54" spans="7:7">
      <c r="G54" s="22"/>
    </row>
    <row r="55" spans="7:7">
      <c r="G55" s="22"/>
    </row>
    <row r="56" spans="7:7">
      <c r="G56" s="22"/>
    </row>
    <row r="57" spans="7:7">
      <c r="G57" s="22"/>
    </row>
  </sheetData>
  <mergeCells count="1">
    <mergeCell ref="B5:F5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6:E19"/>
  <sheetViews>
    <sheetView workbookViewId="0">
      <selection activeCell="E27" sqref="E27"/>
    </sheetView>
  </sheetViews>
  <sheetFormatPr defaultRowHeight="13.5"/>
  <cols>
    <col min="2" max="2" width="11.75" customWidth="1"/>
    <col min="3" max="3" width="21.75" customWidth="1"/>
    <col min="4" max="4" width="19.125" customWidth="1"/>
    <col min="5" max="5" width="13.25" customWidth="1"/>
  </cols>
  <sheetData>
    <row r="6" spans="2:5">
      <c r="B6" t="s">
        <v>18</v>
      </c>
      <c r="C6" t="s">
        <v>35</v>
      </c>
      <c r="D6" t="s">
        <v>34</v>
      </c>
      <c r="E6" t="s">
        <v>89</v>
      </c>
    </row>
    <row r="7" spans="2:5">
      <c r="B7" t="s">
        <v>37</v>
      </c>
      <c r="C7">
        <v>1</v>
      </c>
      <c r="D7">
        <v>1</v>
      </c>
      <c r="E7">
        <v>1</v>
      </c>
    </row>
    <row r="8" spans="2:5">
      <c r="B8" t="s">
        <v>20</v>
      </c>
      <c r="C8" t="s">
        <v>152</v>
      </c>
      <c r="D8">
        <v>1</v>
      </c>
      <c r="E8">
        <v>1</v>
      </c>
    </row>
    <row r="9" spans="2:5">
      <c r="B9" t="s">
        <v>21</v>
      </c>
      <c r="C9" t="s">
        <v>153</v>
      </c>
      <c r="D9">
        <v>1</v>
      </c>
      <c r="E9">
        <v>1</v>
      </c>
    </row>
    <row r="10" spans="2:5">
      <c r="B10" t="s">
        <v>22</v>
      </c>
      <c r="C10" t="s">
        <v>154</v>
      </c>
      <c r="D10">
        <v>1</v>
      </c>
      <c r="E10">
        <v>1</v>
      </c>
    </row>
    <row r="11" spans="2:5">
      <c r="B11" t="s">
        <v>23</v>
      </c>
      <c r="C11" t="s">
        <v>155</v>
      </c>
      <c r="D11">
        <v>1</v>
      </c>
      <c r="E11">
        <v>1</v>
      </c>
    </row>
    <row r="12" spans="2:5">
      <c r="B12" t="s">
        <v>24</v>
      </c>
      <c r="C12" t="s">
        <v>156</v>
      </c>
      <c r="D12">
        <v>1</v>
      </c>
      <c r="E12">
        <v>1</v>
      </c>
    </row>
    <row r="13" spans="2:5">
      <c r="B13" t="s">
        <v>25</v>
      </c>
      <c r="C13" t="s">
        <v>160</v>
      </c>
      <c r="D13">
        <v>1</v>
      </c>
      <c r="E13">
        <v>1</v>
      </c>
    </row>
    <row r="14" spans="2:5">
      <c r="B14" t="s">
        <v>26</v>
      </c>
      <c r="C14" t="s">
        <v>154</v>
      </c>
      <c r="D14" s="11" t="s">
        <v>158</v>
      </c>
      <c r="E14" s="5">
        <v>1</v>
      </c>
    </row>
    <row r="15" spans="2:5">
      <c r="B15" t="s">
        <v>27</v>
      </c>
      <c r="C15" t="s">
        <v>154</v>
      </c>
      <c r="D15" t="s">
        <v>159</v>
      </c>
      <c r="E15">
        <v>1</v>
      </c>
    </row>
    <row r="16" spans="2:5">
      <c r="B16" t="s">
        <v>28</v>
      </c>
      <c r="C16" t="s">
        <v>157</v>
      </c>
      <c r="D16" s="11" t="s">
        <v>158</v>
      </c>
      <c r="E16" s="5">
        <v>1</v>
      </c>
    </row>
    <row r="17" spans="2:5">
      <c r="B17" t="s">
        <v>29</v>
      </c>
      <c r="C17" s="23" t="s">
        <v>205</v>
      </c>
      <c r="D17" s="23" t="s">
        <v>206</v>
      </c>
      <c r="E17" s="24">
        <v>1</v>
      </c>
    </row>
    <row r="18" spans="2:5">
      <c r="B18" t="s">
        <v>30</v>
      </c>
      <c r="C18" s="25" t="s">
        <v>207</v>
      </c>
      <c r="D18" s="25">
        <v>1</v>
      </c>
      <c r="E18" s="26">
        <v>0.35</v>
      </c>
    </row>
    <row r="19" spans="2:5">
      <c r="B19" t="s">
        <v>31</v>
      </c>
      <c r="C19" s="23" t="s">
        <v>208</v>
      </c>
      <c r="D19" s="23">
        <v>1</v>
      </c>
      <c r="E19" s="24">
        <v>0.35</v>
      </c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result_summary</vt:lpstr>
      <vt:lpstr>result_senario</vt:lpstr>
      <vt:lpstr>rec_trades</vt:lpstr>
      <vt:lpstr>rec_ticker</vt:lpstr>
      <vt:lpstr>param_vrxk</vt:lpstr>
      <vt:lpstr>script_senario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2018-04-11T09:11:16Z</dcterms:modified>
</cp:coreProperties>
</file>