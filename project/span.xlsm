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firstSheet="1" activeTab="1"/>
  </bookViews>
  <sheets>
    <sheet name="result_summary" sheetId="8" r:id="rId1"/>
    <sheet name="result_senario" sheetId="5" r:id="rId2"/>
    <sheet name="Sheet1" sheetId="9" r:id="rId3"/>
    <sheet name="rec_trades" sheetId="1" r:id="rId4"/>
    <sheet name="rec_ticker" sheetId="6" r:id="rId5"/>
    <sheet name="param_vrxk" sheetId="2" r:id="rId6"/>
    <sheet name="script_senario" sheetId="7" r:id="rId7"/>
  </sheets>
  <functionGroups builtInGroupCount="18"/>
  <calcPr calcId="152511" calcMode="manual"/>
</workbook>
</file>

<file path=xl/calcChain.xml><?xml version="1.0" encoding="utf-8"?>
<calcChain xmlns="http://schemas.openxmlformats.org/spreadsheetml/2006/main">
  <c r="AD15" i="5" l="1"/>
  <c r="AD16" i="5"/>
  <c r="AD17" i="5"/>
  <c r="AD18" i="5"/>
  <c r="AD21" i="5"/>
  <c r="AD22" i="5"/>
  <c r="B4" i="5" l="1"/>
  <c r="E12" i="6"/>
  <c r="I12" i="6"/>
  <c r="AD9" i="5" l="1"/>
  <c r="AD25" i="5"/>
  <c r="AD11" i="5"/>
  <c r="AD27" i="5"/>
  <c r="AD14" i="5"/>
  <c r="AD10" i="5"/>
  <c r="AD26" i="5"/>
  <c r="AD19" i="5"/>
  <c r="AD12" i="5"/>
  <c r="AD20" i="5"/>
  <c r="AD28" i="5"/>
  <c r="AD13" i="5"/>
  <c r="AD7" i="5"/>
  <c r="AD23" i="5"/>
  <c r="AD8" i="5"/>
  <c r="AD24" i="5"/>
  <c r="E15" i="6"/>
  <c r="E14" i="6"/>
  <c r="AQ7" i="5"/>
  <c r="AO27" i="5"/>
  <c r="AL25" i="5"/>
  <c r="AI23" i="5"/>
  <c r="AF21" i="5"/>
  <c r="AP19" i="5"/>
  <c r="AJ15" i="5"/>
  <c r="AJ10" i="5"/>
  <c r="AN27" i="5"/>
  <c r="AO20" i="5"/>
  <c r="AL18" i="5"/>
  <c r="AI16" i="5"/>
  <c r="AF14" i="5"/>
  <c r="AP11" i="5"/>
  <c r="AJ7" i="5"/>
  <c r="AE25" i="5"/>
  <c r="AN18" i="5"/>
  <c r="AG16" i="5"/>
  <c r="AO25" i="5"/>
  <c r="AP28" i="5"/>
  <c r="AM26" i="5"/>
  <c r="AJ24" i="5"/>
  <c r="AG22" i="5"/>
  <c r="AO15" i="5"/>
  <c r="AL13" i="5"/>
  <c r="AI11" i="5"/>
  <c r="AF9" i="5"/>
  <c r="AK24" i="5"/>
  <c r="AQ14" i="5"/>
  <c r="AN28" i="5"/>
  <c r="AO18" i="5"/>
  <c r="AK26" i="5"/>
  <c r="AF19" i="5"/>
  <c r="AG26" i="5"/>
  <c r="AF27" i="5"/>
  <c r="AN21" i="5"/>
  <c r="AK19" i="5"/>
  <c r="AE15" i="5"/>
  <c r="AI25" i="5"/>
  <c r="AI28" i="5"/>
  <c r="AN14" i="5"/>
  <c r="AH10" i="5"/>
  <c r="AO21" i="5"/>
  <c r="AQ12" i="5"/>
  <c r="AE28" i="5"/>
  <c r="AO22" i="5"/>
  <c r="AI18" i="5"/>
  <c r="AQ11" i="5"/>
  <c r="AK7" i="5"/>
  <c r="AF25" i="5"/>
  <c r="AL15" i="5"/>
  <c r="AH15" i="5"/>
  <c r="AO10" i="5"/>
  <c r="AP24" i="5"/>
  <c r="AP9" i="5"/>
  <c r="AK27" i="5"/>
  <c r="AE23" i="5"/>
  <c r="AH19" i="5"/>
  <c r="AG8" i="5"/>
  <c r="AN22" i="5"/>
  <c r="AH18" i="5"/>
  <c r="AN15" i="5"/>
  <c r="AQ28" i="5"/>
  <c r="AQ13" i="5"/>
  <c r="AN8" i="5"/>
  <c r="AI26" i="5"/>
  <c r="AQ19" i="5"/>
  <c r="AK15" i="5"/>
  <c r="AE11" i="5"/>
  <c r="AK25" i="5"/>
  <c r="AE13" i="5"/>
  <c r="AJ20" i="5"/>
  <c r="AM21" i="5"/>
  <c r="AP17" i="5"/>
  <c r="AJ13" i="5"/>
  <c r="AG11" i="5"/>
  <c r="AM17" i="5"/>
  <c r="AN26" i="5"/>
  <c r="AP10" i="5"/>
  <c r="AK28" i="5"/>
  <c r="AE24" i="5"/>
  <c r="AH27" i="5"/>
  <c r="AK16" i="5"/>
  <c r="AQ18" i="5"/>
  <c r="AK14" i="5"/>
  <c r="AE10" i="5"/>
  <c r="AN25" i="5"/>
  <c r="AH21" i="5"/>
  <c r="AF18" i="5"/>
  <c r="AM22" i="5"/>
  <c r="AE22" i="5"/>
  <c r="AJ12" i="5"/>
  <c r="AL8" i="5"/>
  <c r="AH16" i="5"/>
  <c r="AQ15" i="5"/>
  <c r="AN13" i="5"/>
  <c r="AK11" i="5"/>
  <c r="AH9" i="5"/>
  <c r="AE7" i="5"/>
  <c r="AO13" i="5"/>
  <c r="AI9" i="5"/>
  <c r="AJ26" i="5"/>
  <c r="AQ8" i="5"/>
  <c r="AO28" i="5"/>
  <c r="AL26" i="5"/>
  <c r="AI24" i="5"/>
  <c r="AF22" i="5"/>
  <c r="AP27" i="5"/>
  <c r="AJ23" i="5"/>
  <c r="AM12" i="5"/>
  <c r="AF26" i="5"/>
  <c r="AN11" i="5"/>
  <c r="AO14" i="5"/>
  <c r="AL12" i="5"/>
  <c r="AI10" i="5"/>
  <c r="AF8" i="5"/>
  <c r="AO23" i="5"/>
  <c r="AL21" i="5"/>
  <c r="AI19" i="5"/>
  <c r="AF17" i="5"/>
  <c r="AI12" i="5"/>
  <c r="AN12" i="5"/>
  <c r="AJ11" i="5"/>
  <c r="AK17" i="5"/>
  <c r="AI14" i="5"/>
  <c r="AP16" i="5"/>
  <c r="AL7" i="5"/>
  <c r="AQ23" i="5"/>
  <c r="AH17" i="5"/>
  <c r="AN7" i="5"/>
  <c r="AQ20" i="5"/>
  <c r="AQ16" i="5"/>
  <c r="AK12" i="5"/>
  <c r="AE8" i="5"/>
  <c r="AI17" i="5"/>
  <c r="AM28" i="5"/>
  <c r="AM13" i="5"/>
  <c r="AL20" i="5"/>
  <c r="AF16" i="5"/>
  <c r="AN9" i="5"/>
  <c r="AI27" i="5"/>
  <c r="AH22" i="5"/>
  <c r="AG9" i="5"/>
  <c r="AH24" i="5"/>
  <c r="AM14" i="5"/>
  <c r="AJ27" i="5"/>
  <c r="AM7" i="5"/>
  <c r="AH25" i="5"/>
  <c r="AN23" i="5"/>
  <c r="AN10" i="5"/>
  <c r="AQ24" i="5"/>
  <c r="AK20" i="5"/>
  <c r="AE16" i="5"/>
  <c r="AH11" i="5"/>
  <c r="AL22" i="5"/>
  <c r="AQ10" i="5"/>
  <c r="AL28" i="5"/>
  <c r="AF24" i="5"/>
  <c r="AN17" i="5"/>
  <c r="AH13" i="5"/>
  <c r="AG24" i="5"/>
  <c r="AF12" i="5"/>
  <c r="AL24" i="5"/>
  <c r="AG25" i="5"/>
  <c r="AM15" i="5"/>
  <c r="AG13" i="5"/>
  <c r="AF10" i="5"/>
  <c r="AM8" i="5"/>
  <c r="AH26" i="5"/>
  <c r="AM9" i="5"/>
  <c r="AP14" i="5"/>
  <c r="AP15" i="5"/>
  <c r="AN16" i="5"/>
  <c r="AH12" i="5"/>
  <c r="AQ27" i="5"/>
  <c r="AK23" i="5"/>
  <c r="AE19" i="5"/>
  <c r="AI13" i="5"/>
  <c r="AJ28" i="5"/>
  <c r="AG18" i="5"/>
  <c r="AK9" i="5"/>
  <c r="AI21" i="5"/>
  <c r="AG17" i="5"/>
  <c r="AP25" i="5"/>
  <c r="AM23" i="5"/>
  <c r="AJ21" i="5"/>
  <c r="AG19" i="5"/>
  <c r="AL11" i="5"/>
  <c r="AF7" i="5"/>
  <c r="AM20" i="5"/>
  <c r="AE12" i="5"/>
  <c r="AP18" i="5"/>
  <c r="AM16" i="5"/>
  <c r="AJ14" i="5"/>
  <c r="AG12" i="5"/>
  <c r="AM25" i="5"/>
  <c r="AG21" i="5"/>
  <c r="AP22" i="5"/>
  <c r="AJ18" i="5"/>
  <c r="AP23" i="5"/>
  <c r="AQ26" i="5"/>
  <c r="AN24" i="5"/>
  <c r="AK22" i="5"/>
  <c r="AH20" i="5"/>
  <c r="AE18" i="5"/>
  <c r="AP13" i="5"/>
  <c r="AM11" i="5"/>
  <c r="AJ9" i="5"/>
  <c r="AG7" i="5"/>
  <c r="AE27" i="5"/>
  <c r="AE20" i="5"/>
  <c r="AH23" i="5"/>
  <c r="AK10" i="5"/>
  <c r="AQ22" i="5"/>
  <c r="AP8" i="5"/>
  <c r="AO26" i="5"/>
  <c r="AI22" i="5"/>
  <c r="AJ19" i="5"/>
  <c r="AE14" i="5"/>
  <c r="AO11" i="5"/>
  <c r="AL9" i="5"/>
  <c r="AI7" i="5"/>
  <c r="AG27" i="5"/>
  <c r="AQ9" i="5"/>
  <c r="AL27" i="5"/>
  <c r="AF23" i="5"/>
  <c r="AL14" i="5"/>
  <c r="AP26" i="5"/>
  <c r="AM24" i="5"/>
  <c r="AJ22" i="5"/>
  <c r="AG20" i="5"/>
  <c r="AL19" i="5"/>
  <c r="AF15" i="5"/>
  <c r="AO8" i="5"/>
  <c r="AI20" i="5"/>
  <c r="AO9" i="5"/>
  <c r="AP12" i="5"/>
  <c r="AM10" i="5"/>
  <c r="AJ8" i="5"/>
  <c r="AH28" i="5"/>
  <c r="AE26" i="5"/>
  <c r="AP21" i="5"/>
  <c r="AM19" i="5"/>
  <c r="AJ17" i="5"/>
  <c r="AG15" i="5"/>
  <c r="AP7" i="5"/>
  <c r="AF11" i="5"/>
  <c r="AH8" i="5"/>
  <c r="AN20" i="5"/>
  <c r="AL23" i="5"/>
  <c r="AK18" i="5"/>
  <c r="AG10" i="5"/>
  <c r="AH7" i="5"/>
  <c r="AO19" i="5"/>
  <c r="AL17" i="5"/>
  <c r="AI15" i="5"/>
  <c r="AF13" i="5"/>
  <c r="AQ25" i="5"/>
  <c r="AK21" i="5"/>
  <c r="AE17" i="5"/>
  <c r="AK8" i="5"/>
  <c r="AQ21" i="5"/>
  <c r="AO12" i="5"/>
  <c r="AL10" i="5"/>
  <c r="AI8" i="5"/>
  <c r="AG28" i="5"/>
  <c r="AQ17" i="5"/>
  <c r="AK13" i="5"/>
  <c r="AE9" i="5"/>
  <c r="AO24" i="5"/>
  <c r="AH14" i="5"/>
  <c r="AO17" i="5"/>
  <c r="AP20" i="5"/>
  <c r="AM18" i="5"/>
  <c r="AJ16" i="5"/>
  <c r="AG14" i="5"/>
  <c r="AO7" i="5"/>
  <c r="AM27" i="5"/>
  <c r="AJ25" i="5"/>
  <c r="AG23" i="5"/>
  <c r="AO16" i="5"/>
  <c r="AN19" i="5"/>
  <c r="AE21" i="5"/>
  <c r="AF28" i="5"/>
  <c r="AL16" i="5"/>
  <c r="AF20" i="5"/>
  <c r="E13" i="6" l="1"/>
  <c r="E11" i="6" l="1"/>
  <c r="E10" i="6" l="1"/>
  <c r="E7" i="6" l="1"/>
  <c r="E8" i="6"/>
  <c r="E9" i="6"/>
</calcChain>
</file>

<file path=xl/sharedStrings.xml><?xml version="1.0" encoding="utf-8"?>
<sst xmlns="http://schemas.openxmlformats.org/spreadsheetml/2006/main" count="681" uniqueCount="260">
  <si>
    <t>vol</t>
    <phoneticPr fontId="1" type="noConversion"/>
  </si>
  <si>
    <t>cu</t>
  </si>
  <si>
    <t>cu</t>
    <phoneticPr fontId="1" type="noConversion"/>
  </si>
  <si>
    <t>ag</t>
    <phoneticPr fontId="1" type="noConversion"/>
  </si>
  <si>
    <t>ID</t>
  </si>
  <si>
    <t>opt type</t>
  </si>
  <si>
    <t>underlying</t>
  </si>
  <si>
    <t>20180123-CICC-HTMY-CU1805-VAN-P-60</t>
  </si>
  <si>
    <t>p</t>
  </si>
  <si>
    <t>cu1805</t>
  </si>
  <si>
    <t>20180118-CICC-ZTKJ-AL1805-VAN-P-82</t>
  </si>
  <si>
    <t>al1805</t>
  </si>
  <si>
    <t>client</t>
    <phoneticPr fontId="1" type="noConversion"/>
  </si>
  <si>
    <t>al</t>
  </si>
  <si>
    <t>al</t>
    <phoneticPr fontId="1" type="noConversion"/>
  </si>
  <si>
    <t>parameter: var_x_k</t>
    <phoneticPr fontId="1" type="noConversion"/>
  </si>
  <si>
    <t>k</t>
    <phoneticPr fontId="1" type="noConversion"/>
  </si>
  <si>
    <t>x</t>
    <phoneticPr fontId="1" type="noConversion"/>
  </si>
  <si>
    <t>carry</t>
    <phoneticPr fontId="1" type="noConversion"/>
  </si>
  <si>
    <t>ticker</t>
    <phoneticPr fontId="1" type="noConversion"/>
  </si>
  <si>
    <t>data: ticker</t>
    <phoneticPr fontId="1" type="noConversion"/>
  </si>
  <si>
    <t>senario#</t>
    <phoneticPr fontId="1" type="noConversion"/>
  </si>
  <si>
    <t>senario2</t>
  </si>
  <si>
    <t>senario2</t>
    <phoneticPr fontId="1" type="noConversion"/>
  </si>
  <si>
    <t>senario3</t>
  </si>
  <si>
    <t>senario4</t>
  </si>
  <si>
    <t>senario5</t>
  </si>
  <si>
    <t>senario6</t>
  </si>
  <si>
    <t>senario7</t>
  </si>
  <si>
    <t>senario8</t>
  </si>
  <si>
    <t>senario9</t>
  </si>
  <si>
    <t>senario10</t>
  </si>
  <si>
    <t>senario11</t>
  </si>
  <si>
    <t>senario12</t>
  </si>
  <si>
    <t>senario13</t>
  </si>
  <si>
    <t>al1805</t>
    <phoneticPr fontId="1" type="noConversion"/>
  </si>
  <si>
    <t>ag1806</t>
    <phoneticPr fontId="1" type="noConversion"/>
  </si>
  <si>
    <t>formula2</t>
    <phoneticPr fontId="1" type="noConversion"/>
  </si>
  <si>
    <t>formula1</t>
    <phoneticPr fontId="1" type="noConversion"/>
  </si>
  <si>
    <t>eval_date</t>
    <phoneticPr fontId="1" type="noConversion"/>
  </si>
  <si>
    <t>senario1</t>
    <phoneticPr fontId="1" type="noConversion"/>
  </si>
  <si>
    <t>exchange</t>
    <phoneticPr fontId="1" type="noConversion"/>
  </si>
  <si>
    <t>shf</t>
    <phoneticPr fontId="1" type="noConversion"/>
  </si>
  <si>
    <t>cu1805</t>
    <phoneticPr fontId="1" type="noConversion"/>
  </si>
  <si>
    <t>20171229-CICC-QCSH-L1805-RR-61-C</t>
  </si>
  <si>
    <t>20171229-CICC-QCSH-L1805-RR-61-P</t>
  </si>
  <si>
    <t>c</t>
  </si>
  <si>
    <t>l1805</t>
  </si>
  <si>
    <t>l</t>
  </si>
  <si>
    <t>l</t>
    <phoneticPr fontId="1" type="noConversion"/>
  </si>
  <si>
    <t>dce</t>
    <phoneticPr fontId="1" type="noConversion"/>
  </si>
  <si>
    <t>l1805</t>
    <phoneticPr fontId="1" type="noConversion"/>
  </si>
  <si>
    <t>param_senario1</t>
    <phoneticPr fontId="1" type="noConversion"/>
  </si>
  <si>
    <t>param_senario2</t>
  </si>
  <si>
    <t>param_senario3</t>
  </si>
  <si>
    <t>param_senario4</t>
  </si>
  <si>
    <t>param_senario5</t>
  </si>
  <si>
    <t>param_senario6</t>
  </si>
  <si>
    <t>param_senario7</t>
  </si>
  <si>
    <t>param_senario8</t>
  </si>
  <si>
    <t>param_senario9</t>
  </si>
  <si>
    <t>param_senario10</t>
  </si>
  <si>
    <t>param_senario11</t>
  </si>
  <si>
    <t>param_senario12</t>
  </si>
  <si>
    <t>param_senario13</t>
  </si>
  <si>
    <t>rb</t>
  </si>
  <si>
    <t>rb</t>
    <phoneticPr fontId="1" type="noConversion"/>
  </si>
  <si>
    <t>rb1810</t>
  </si>
  <si>
    <t>rb1810</t>
    <phoneticPr fontId="1" type="noConversion"/>
  </si>
  <si>
    <t>20180209-CICC-TWGJ-RB1810-VAN-P-79</t>
  </si>
  <si>
    <t>20180209-CICC-TWGJ-RB1810-VAN-P-65</t>
  </si>
  <si>
    <t>20180201-CICC-TWGJ-RB1810-VAN-P-73</t>
  </si>
  <si>
    <t>20180129-CICC-TWGJ-RB1810-VAN-P-60</t>
  </si>
  <si>
    <t>20180104-CICC-TWGJ-RB1810-VAN-P-63</t>
  </si>
  <si>
    <t>multiplier</t>
    <phoneticPr fontId="1" type="noConversion"/>
  </si>
  <si>
    <t>qty</t>
    <phoneticPr fontId="1" type="noConversion"/>
  </si>
  <si>
    <t>volume</t>
    <phoneticPr fontId="1" type="noConversion"/>
  </si>
  <si>
    <t>trade_date</t>
    <phoneticPr fontId="1" type="noConversion"/>
  </si>
  <si>
    <t>exp_date</t>
    <phoneticPr fontId="1" type="noConversion"/>
  </si>
  <si>
    <t>settle_date</t>
    <phoneticPr fontId="1" type="noConversion"/>
  </si>
  <si>
    <t>prem_date</t>
    <phoneticPr fontId="1" type="noConversion"/>
  </si>
  <si>
    <t>k</t>
    <phoneticPr fontId="1" type="noConversion"/>
  </si>
  <si>
    <t>prem</t>
    <phoneticPr fontId="1" type="noConversion"/>
  </si>
  <si>
    <t>type</t>
    <phoneticPr fontId="1" type="noConversion"/>
  </si>
  <si>
    <t>cpty</t>
    <phoneticPr fontId="1" type="noConversion"/>
  </si>
  <si>
    <t>prod</t>
    <phoneticPr fontId="1" type="noConversion"/>
  </si>
  <si>
    <t>price_st</t>
    <phoneticPr fontId="1" type="noConversion"/>
  </si>
  <si>
    <t>prod</t>
    <phoneticPr fontId="1" type="noConversion"/>
  </si>
  <si>
    <t>price_st</t>
    <phoneticPr fontId="1" type="noConversion"/>
  </si>
  <si>
    <t>w_ticker</t>
    <phoneticPr fontId="1" type="noConversion"/>
  </si>
  <si>
    <t>i</t>
    <phoneticPr fontId="1" type="noConversion"/>
  </si>
  <si>
    <t>dce</t>
    <phoneticPr fontId="1" type="noConversion"/>
  </si>
  <si>
    <t>prem_date</t>
    <phoneticPr fontId="1" type="noConversion"/>
  </si>
  <si>
    <t>risk_coef</t>
    <phoneticPr fontId="1" type="noConversion"/>
  </si>
  <si>
    <t>vol_ref</t>
    <phoneticPr fontId="1" type="noConversion"/>
  </si>
  <si>
    <t>vol_adj</t>
    <phoneticPr fontId="1" type="noConversion"/>
  </si>
  <si>
    <t>trade_date</t>
    <phoneticPr fontId="1" type="noConversion"/>
  </si>
  <si>
    <t>van</t>
    <phoneticPr fontId="1" type="noConversion"/>
  </si>
  <si>
    <t>20180208-CICC-HTCC-I1805-VAN-P-62</t>
  </si>
  <si>
    <t>20180208-CICC-HTCC-I1805-VAN-C-62</t>
  </si>
  <si>
    <t>20171208-CICC-LZ-JM1805-VAN-P-112</t>
  </si>
  <si>
    <t>20171208-CICC-LZ-JM1805-VAN-C-112</t>
  </si>
  <si>
    <t>20171128-CICC-ZYXD-JM1805-VAN-P-122</t>
  </si>
  <si>
    <t>20171115-CICC-ZYXD-RU1805-VAN-P-135</t>
  </si>
  <si>
    <t>20171109-CICC-LZ-RB1805-VAN-P-155</t>
  </si>
  <si>
    <t>20171109-CICC-LZ-RB1805-VAN-C-155</t>
  </si>
  <si>
    <t>20171109-CICC-ZYXD-I1805-VAN-P-155</t>
  </si>
  <si>
    <t>20171109-CICC-ZYXD-RB1805-VAN-C-155</t>
  </si>
  <si>
    <t>20171109-CICC-ZYXD-RB1805-VAN-P-155</t>
  </si>
  <si>
    <t>i1805</t>
  </si>
  <si>
    <t>jm1805</t>
  </si>
  <si>
    <t>ru1805</t>
  </si>
  <si>
    <t>rb1805</t>
  </si>
  <si>
    <t>天津物产国际贸易有限公司</t>
    <phoneticPr fontId="1" type="noConversion"/>
  </si>
  <si>
    <t>天津物产国际贸易有限公司</t>
  </si>
  <si>
    <t>华泰长城资本管理有限公司</t>
  </si>
  <si>
    <t>中天科技集团上海国际贸易有限公司</t>
  </si>
  <si>
    <t>前程石化股份有限公司</t>
  </si>
  <si>
    <t>鲁证经贸有限公司</t>
  </si>
  <si>
    <t>浙江中友信德贸易有限公司</t>
  </si>
  <si>
    <t>浙江中友信德贸易有限公司</t>
    <phoneticPr fontId="1" type="noConversion"/>
  </si>
  <si>
    <t>ru1805</t>
    <phoneticPr fontId="1" type="noConversion"/>
  </si>
  <si>
    <t>jm1805</t>
    <phoneticPr fontId="1" type="noConversion"/>
  </si>
  <si>
    <t>ru</t>
  </si>
  <si>
    <t>ru</t>
    <phoneticPr fontId="1" type="noConversion"/>
  </si>
  <si>
    <t>jm</t>
  </si>
  <si>
    <t>jm</t>
    <phoneticPr fontId="1" type="noConversion"/>
  </si>
  <si>
    <t>dce</t>
    <phoneticPr fontId="1" type="noConversion"/>
  </si>
  <si>
    <t>i1805</t>
    <phoneticPr fontId="1" type="noConversion"/>
  </si>
  <si>
    <t>shf</t>
    <phoneticPr fontId="1" type="noConversion"/>
  </si>
  <si>
    <t>亨通集团上海贸易有限公司</t>
  </si>
  <si>
    <t>rb1805</t>
    <phoneticPr fontId="1" type="noConversion"/>
  </si>
  <si>
    <t>rb</t>
    <phoneticPr fontId="1" type="noConversion"/>
  </si>
  <si>
    <t>zn</t>
  </si>
  <si>
    <t>sn</t>
  </si>
  <si>
    <t>ni</t>
  </si>
  <si>
    <t>j</t>
  </si>
  <si>
    <t>hc</t>
  </si>
  <si>
    <t>i</t>
  </si>
  <si>
    <t>au</t>
  </si>
  <si>
    <t>ag</t>
  </si>
  <si>
    <t>cs</t>
  </si>
  <si>
    <t>jd</t>
  </si>
  <si>
    <t>oi</t>
  </si>
  <si>
    <t>rm</t>
  </si>
  <si>
    <t>cf</t>
  </si>
  <si>
    <t>a</t>
  </si>
  <si>
    <t>y</t>
  </si>
  <si>
    <t>m</t>
  </si>
  <si>
    <t>sr</t>
  </si>
  <si>
    <t>zc</t>
  </si>
  <si>
    <t>bu</t>
  </si>
  <si>
    <t>ma</t>
  </si>
  <si>
    <t>pp</t>
  </si>
  <si>
    <t>fg</t>
  </si>
  <si>
    <t>ta</t>
  </si>
  <si>
    <t>数量(吨)</t>
    <phoneticPr fontId="1" type="noConversion"/>
  </si>
  <si>
    <t xml:space="preserve">执行价 </t>
    <phoneticPr fontId="1" type="noConversion"/>
  </si>
  <si>
    <t>到期日</t>
    <phoneticPr fontId="1" type="noConversion"/>
  </si>
  <si>
    <t>id</t>
    <phoneticPr fontId="1" type="noConversion"/>
  </si>
  <si>
    <t xml:space="preserve">期权费-平仓(每吨) </t>
    <phoneticPr fontId="1" type="noConversion"/>
  </si>
  <si>
    <t>期权费-开仓（每吨）</t>
    <phoneticPr fontId="1" type="noConversion"/>
  </si>
  <si>
    <t>1+(1/3*VR+X)</t>
    <phoneticPr fontId="1" type="noConversion"/>
  </si>
  <si>
    <t>1+(2/3*VR+X)</t>
    <phoneticPr fontId="1" type="noConversion"/>
  </si>
  <si>
    <t>1+(VR+X)</t>
    <phoneticPr fontId="1" type="noConversion"/>
  </si>
  <si>
    <t>1-(1/3*VR+X)</t>
    <phoneticPr fontId="1" type="noConversion"/>
  </si>
  <si>
    <t>1-(2/3*VR+X)</t>
    <phoneticPr fontId="1" type="noConversion"/>
  </si>
  <si>
    <t>1-(VR+X)</t>
    <phoneticPr fontId="1" type="noConversion"/>
  </si>
  <si>
    <t>1+(3*VR+X)</t>
    <phoneticPr fontId="1" type="noConversion"/>
  </si>
  <si>
    <t>1-(3*VR+X)</t>
    <phoneticPr fontId="1" type="noConversion"/>
  </si>
  <si>
    <t>(1+k)</t>
    <phoneticPr fontId="1" type="noConversion"/>
  </si>
  <si>
    <t>(1-k)</t>
    <phoneticPr fontId="1" type="noConversion"/>
  </si>
  <si>
    <t>1-(VR+X)</t>
    <phoneticPr fontId="1" type="noConversion"/>
  </si>
  <si>
    <t>20180223-CICC-ZYXD-RB1805-VAN-C-28</t>
  </si>
  <si>
    <t>20180223-CICC-ZYXD-RB1805-VAN-P-28</t>
  </si>
  <si>
    <t>1|1|1</t>
  </si>
  <si>
    <t>1.033|1|1</t>
  </si>
  <si>
    <t>1.067|1|1</t>
  </si>
  <si>
    <t>1.1|1|1</t>
  </si>
  <si>
    <t>.967|1|1</t>
  </si>
  <si>
    <t>.933|1|1</t>
  </si>
  <si>
    <t>.9|1|1</t>
  </si>
  <si>
    <t>1.1|1.1|1</t>
  </si>
  <si>
    <t>1.1|.9|1</t>
  </si>
  <si>
    <t>.9|1.1|1</t>
  </si>
  <si>
    <t>.9|.9|1</t>
  </si>
  <si>
    <t>1.3|1|.3</t>
  </si>
  <si>
    <t>.7|1|.3</t>
  </si>
  <si>
    <t>1.038|1|1</t>
  </si>
  <si>
    <t>1.077|1|1</t>
  </si>
  <si>
    <t>1.115|1|1</t>
  </si>
  <si>
    <t>.962|1|1</t>
  </si>
  <si>
    <t>.923|1|1</t>
  </si>
  <si>
    <t>.885|1|1</t>
  </si>
  <si>
    <t>1.115|1.1|1</t>
  </si>
  <si>
    <t>1.115|.9|1</t>
  </si>
  <si>
    <t>.885|1.1|1</t>
  </si>
  <si>
    <t>.885|.9|1</t>
  </si>
  <si>
    <t>1.345|1|.3</t>
  </si>
  <si>
    <t>.655|1|.3</t>
  </si>
  <si>
    <t>1.018|1|1</t>
  </si>
  <si>
    <t>1.037|1|1</t>
  </si>
  <si>
    <t>1.055|1|1</t>
  </si>
  <si>
    <t>.982|1|1</t>
  </si>
  <si>
    <t>.963|1|1</t>
  </si>
  <si>
    <t>.945|1|1</t>
  </si>
  <si>
    <t>1.055|1.1|1</t>
  </si>
  <si>
    <t>1.055|.9|1</t>
  </si>
  <si>
    <t>.945|1.1|1</t>
  </si>
  <si>
    <t>.945|.9|1</t>
  </si>
  <si>
    <t>1.165|1|.3</t>
  </si>
  <si>
    <t>.835|1|.3</t>
  </si>
  <si>
    <t>1.021|1|1</t>
  </si>
  <si>
    <t>1.043|1|1</t>
  </si>
  <si>
    <t>1.064|1|1</t>
  </si>
  <si>
    <t>.979|1|1</t>
  </si>
  <si>
    <t>.957|1|1</t>
  </si>
  <si>
    <t>.936|1|1</t>
  </si>
  <si>
    <t>1.064|1.1|1</t>
  </si>
  <si>
    <t>1.064|.9|1</t>
  </si>
  <si>
    <t>.936|1.1|1</t>
  </si>
  <si>
    <t>.936|.9|1</t>
  </si>
  <si>
    <t>1.192|1|.3</t>
  </si>
  <si>
    <t>.808|1|.3</t>
  </si>
  <si>
    <t>1.036|1|1</t>
  </si>
  <si>
    <t>1.071|1|1</t>
  </si>
  <si>
    <t>1.107|1|1</t>
  </si>
  <si>
    <t>.964|1|1</t>
  </si>
  <si>
    <t>.929|1|1</t>
  </si>
  <si>
    <t>.893|1|1</t>
  </si>
  <si>
    <t>1.107|1.1|1</t>
  </si>
  <si>
    <t>1.107|.9|1</t>
  </si>
  <si>
    <t>.893|1.1|1</t>
  </si>
  <si>
    <t>.893|.9|1</t>
  </si>
  <si>
    <t>1.321|1|.3</t>
  </si>
  <si>
    <t>.679|1|.3</t>
  </si>
  <si>
    <t>1.029|1|1</t>
  </si>
  <si>
    <t>1.059|1|1</t>
  </si>
  <si>
    <t>1.088|1|1</t>
  </si>
  <si>
    <t>.971|1|1</t>
  </si>
  <si>
    <t>.941|1|1</t>
  </si>
  <si>
    <t>.912|1|1</t>
  </si>
  <si>
    <t>1.088|1.1|1</t>
  </si>
  <si>
    <t>1.088|.9|1</t>
  </si>
  <si>
    <t>.912|1.1|1</t>
  </si>
  <si>
    <t>.912|.9|1</t>
  </si>
  <si>
    <t>1.264|1|.3</t>
  </si>
  <si>
    <t>.736|1|.3</t>
  </si>
  <si>
    <t>1.02|1|1</t>
  </si>
  <si>
    <t>1.041|1|1</t>
  </si>
  <si>
    <t>1.061|1|1</t>
  </si>
  <si>
    <t>.98|1|1</t>
  </si>
  <si>
    <t>.959|1|1</t>
  </si>
  <si>
    <t>.939|1|1</t>
  </si>
  <si>
    <t>1.061|1.1|1</t>
  </si>
  <si>
    <t>1.061|.9|1</t>
  </si>
  <si>
    <t>.939|1.1|1</t>
  </si>
  <si>
    <t>.939|.9|1</t>
  </si>
  <si>
    <t>1.183|1|.3</t>
  </si>
  <si>
    <t>.817|1|.3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</si>
</sst>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 * #,##0.00_ ;_ * \-#,##0.00_ ;_ * &quot;-&quot;??_ ;_ @_ "/>
    <numFmt numFmtId="176" formatCode="[$-409]d\-mmm\-yy;@"/>
    <numFmt numFmtId="177" formatCode="###,###,##0"/>
    <numFmt numFmtId="178" formatCode="0.000"/>
    <numFmt numFmtId="179" formatCode="yyyy\-mm\-dd;@"/>
    <numFmt numFmtId="180" formatCode="0.0"/>
  </numFmts>
  <fonts count="10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2"/>
      <charset val="136"/>
      <scheme val="minor"/>
    </font>
    <font>
      <sz val="10"/>
      <color theme="1"/>
      <name val="宋体"/>
      <family val="3"/>
      <charset val="134"/>
      <scheme val="minor"/>
    </font>
    <font>
      <sz val="10"/>
      <color theme="1"/>
      <name val="宋体"/>
      <family val="2"/>
      <scheme val="minor"/>
    </font>
    <font>
      <sz val="11"/>
      <name val="宋体"/>
      <family val="2"/>
      <scheme val="minor"/>
    </font>
    <font>
      <sz val="11"/>
      <name val="宋体"/>
      <family val="3"/>
      <charset val="134"/>
      <scheme val="minor"/>
    </font>
    <font>
      <sz val="9"/>
      <color theme="1"/>
      <name val="宋体"/>
      <family val="2"/>
      <scheme val="minor"/>
    </font>
    <font>
      <sz val="9"/>
      <color theme="1"/>
      <name val="宋体"/>
      <family val="3"/>
      <charset val="134"/>
      <scheme val="minor"/>
    </font>
    <font>
      <sz val="11"/>
      <color theme="1"/>
      <name val="宋体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/>
    <xf numFmtId="43" fontId="9" fillId="0" borderId="0" applyFont="0" applyFill="0" applyBorder="0" applyAlignment="0" applyProtection="0">
      <alignment vertical="center"/>
    </xf>
  </cellStyleXfs>
  <cellXfs count="30">
    <xf numFmtId="0" fontId="0" fillId="0" borderId="0" xfId="0"/>
    <xf numFmtId="0" fontId="3" fillId="2" borderId="0" xfId="1" applyFont="1" applyFill="1"/>
    <xf numFmtId="176" fontId="3" fillId="2" borderId="0" xfId="1" applyNumberFormat="1" applyFont="1" applyFill="1"/>
    <xf numFmtId="0" fontId="4" fillId="3" borderId="0" xfId="0" applyFont="1" applyFill="1"/>
    <xf numFmtId="14" fontId="3" fillId="3" borderId="0" xfId="0" applyNumberFormat="1" applyFont="1" applyFill="1"/>
    <xf numFmtId="0" fontId="3" fillId="3" borderId="0" xfId="0" applyFont="1" applyFill="1"/>
    <xf numFmtId="0" fontId="3" fillId="0" borderId="0" xfId="0" applyFont="1"/>
    <xf numFmtId="0" fontId="3" fillId="0" borderId="0" xfId="0" applyNumberFormat="1" applyFont="1"/>
    <xf numFmtId="0" fontId="4" fillId="2" borderId="0" xfId="1" applyFont="1" applyFill="1" applyAlignment="1">
      <alignment horizontal="center"/>
    </xf>
    <xf numFmtId="177" fontId="3" fillId="0" borderId="0" xfId="0" applyNumberFormat="1" applyFont="1"/>
    <xf numFmtId="0" fontId="0" fillId="0" borderId="0" xfId="0" applyAlignment="1">
      <alignment horizontal="left"/>
    </xf>
    <xf numFmtId="1" fontId="0" fillId="0" borderId="0" xfId="0" applyNumberFormat="1"/>
    <xf numFmtId="1" fontId="4" fillId="3" borderId="0" xfId="0" applyNumberFormat="1" applyFont="1" applyFill="1"/>
    <xf numFmtId="0" fontId="5" fillId="0" borderId="0" xfId="0" applyFont="1"/>
    <xf numFmtId="0" fontId="7" fillId="0" borderId="0" xfId="0" applyFont="1"/>
    <xf numFmtId="14" fontId="8" fillId="0" borderId="0" xfId="0" applyNumberFormat="1" applyFont="1"/>
    <xf numFmtId="1" fontId="8" fillId="0" borderId="0" xfId="0" applyNumberFormat="1" applyFont="1"/>
    <xf numFmtId="0" fontId="8" fillId="0" borderId="0" xfId="0" applyFont="1"/>
    <xf numFmtId="178" fontId="8" fillId="0" borderId="0" xfId="0" applyNumberFormat="1" applyFont="1"/>
    <xf numFmtId="43" fontId="7" fillId="0" borderId="0" xfId="2" applyFont="1" applyAlignment="1"/>
    <xf numFmtId="9" fontId="3" fillId="0" borderId="0" xfId="0" applyNumberFormat="1" applyFont="1"/>
    <xf numFmtId="178" fontId="3" fillId="0" borderId="0" xfId="0" applyNumberFormat="1" applyFont="1"/>
    <xf numFmtId="10" fontId="3" fillId="0" borderId="0" xfId="0" applyNumberFormat="1" applyFont="1"/>
    <xf numFmtId="179" fontId="8" fillId="0" borderId="0" xfId="0" applyNumberFormat="1" applyFont="1"/>
    <xf numFmtId="180" fontId="8" fillId="0" borderId="0" xfId="0" applyNumberFormat="1" applyFont="1"/>
    <xf numFmtId="0" fontId="8" fillId="4" borderId="0" xfId="0" applyFont="1" applyFill="1"/>
    <xf numFmtId="0" fontId="7" fillId="5" borderId="0" xfId="0" applyFont="1" applyFill="1"/>
    <xf numFmtId="0" fontId="6" fillId="0" borderId="0" xfId="0" applyFont="1"/>
    <xf numFmtId="1" fontId="3" fillId="3" borderId="0" xfId="0" applyNumberFormat="1" applyFont="1" applyFill="1"/>
    <xf numFmtId="0" fontId="4" fillId="0" borderId="0" xfId="0" applyFont="1" applyAlignment="1">
      <alignment horizontal="center"/>
    </xf>
  </cellXfs>
  <cellStyles count="3">
    <cellStyle name="常规" xfId="0" builtinId="0"/>
    <cellStyle name="常规 25" xfId="1"/>
    <cellStyle name="千位分隔" xfId="2" builtinId="3"/>
  </cellStyles>
  <dxfs count="124"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7" formatCode="###,###,##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fill>
        <patternFill patternType="solid">
          <fgColor indexed="64"/>
          <bgColor theme="4" tint="0.79998168889431442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fill>
        <patternFill patternType="solid">
          <fgColor indexed="64"/>
          <bgColor theme="4" tint="0.79998168889431442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80" formatCode="0.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9" formatCode="yyyy\-mm\-dd;@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78" formatCode="0.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wdf.rtq">
      <tp>
        <v>3949</v>
        <stp/>
        <stp>rb1805.shf</stp>
        <stp>LastPrice</stp>
        <tr r="I12" s="6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0</xdr:rowOff>
        </xdr:from>
        <xdr:to>
          <xdr:col>3</xdr:col>
          <xdr:colOff>152400</xdr:colOff>
          <xdr:row>4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4" name="tbl_senario" displayName="tbl_senario" ref="B6:AQ28" totalsRowShown="0" headerRowDxfId="123" dataDxfId="122">
  <tableColumns count="42">
    <tableColumn id="1" name="ID" dataDxfId="121"/>
    <tableColumn id="2" name="cpty" dataDxfId="120"/>
    <tableColumn id="3" name="volume" dataDxfId="119"/>
    <tableColumn id="4" name="k" dataDxfId="118"/>
    <tableColumn id="41" name="trade_date" dataDxfId="117"/>
    <tableColumn id="5" name="exp_date" dataDxfId="116"/>
    <tableColumn id="42" name="prem_date" dataDxfId="115"/>
    <tableColumn id="6" name="prem" dataDxfId="114"/>
    <tableColumn id="7" name="type" dataDxfId="113"/>
    <tableColumn id="8" name="underlying" dataDxfId="112"/>
    <tableColumn id="9" name="prod" dataDxfId="111"/>
    <tableColumn id="38" name="qty" dataDxfId="110"/>
    <tableColumn id="10" name="price_st" dataDxfId="109"/>
    <tableColumn id="11" name="vol" dataDxfId="108"/>
    <tableColumn id="12" name="param_senario1" dataDxfId="107"/>
    <tableColumn id="13" name="param_senario2" dataDxfId="106"/>
    <tableColumn id="14" name="param_senario3" dataDxfId="105"/>
    <tableColumn id="15" name="param_senario4" dataDxfId="104"/>
    <tableColumn id="16" name="param_senario5" dataDxfId="103"/>
    <tableColumn id="17" name="param_senario6" dataDxfId="102"/>
    <tableColumn id="18" name="param_senario7" dataDxfId="101"/>
    <tableColumn id="19" name="param_senario8" dataDxfId="100"/>
    <tableColumn id="20" name="param_senario9" dataDxfId="99"/>
    <tableColumn id="21" name="param_senario10" dataDxfId="98"/>
    <tableColumn id="22" name="param_senario11" dataDxfId="97"/>
    <tableColumn id="23" name="param_senario12" dataDxfId="96"/>
    <tableColumn id="24" name="param_senario13" dataDxfId="95"/>
    <tableColumn id="39" name="vol_ref" dataDxfId="94"/>
    <tableColumn id="40" name="vol_adj" dataDxfId="93">
      <calculatedColumnFormula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calculatedColumnFormula>
    </tableColumn>
    <tableColumn id="25" name="senario1" dataDxfId="92" totalsRowDxfId="91">
      <calculatedColumnFormula>IF(tbl_senario[[#This Row],[prem_date]]&lt;=$B$4, 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calculatedColumnFormula>
    </tableColumn>
    <tableColumn id="26" name="senario2" dataDxfId="90" totalsRowDxfId="89">
      <calculatedColumnFormula>IF(tbl_senario[[#This Row],[prem_date]]&lt;=$B$4, 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calculatedColumnFormula>
    </tableColumn>
    <tableColumn id="27" name="senario3" dataDxfId="88" totalsRowDxfId="87">
      <calculatedColumnFormula>IF(tbl_senario[[#This Row],[prem_date]]&lt;=$B$4, 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calculatedColumnFormula>
    </tableColumn>
    <tableColumn id="28" name="senario4" dataDxfId="86" totalsRowDxfId="85">
      <calculatedColumnFormula>IF(tbl_senario[[#This Row],[prem_date]]&lt;=$B$4, 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calculatedColumnFormula>
    </tableColumn>
    <tableColumn id="29" name="senario5" dataDxfId="84" totalsRowDxfId="83">
      <calculatedColumnFormula>IF(tbl_senario[[#This Row],[prem_date]]&lt;=$B$4, 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calculatedColumnFormula>
    </tableColumn>
    <tableColumn id="30" name="senario6" dataDxfId="82" totalsRowDxfId="81">
      <calculatedColumnFormula>IF(tbl_senario[[#This Row],[prem_date]]&lt;=$B$4, 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calculatedColumnFormula>
    </tableColumn>
    <tableColumn id="31" name="senario7" dataDxfId="80" totalsRowDxfId="79">
      <calculatedColumnFormula>IF(tbl_senario[[#This Row],[prem_date]]&lt;=$B$4, 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calculatedColumnFormula>
    </tableColumn>
    <tableColumn id="32" name="senario8" dataDxfId="78" totalsRowDxfId="77">
      <calculatedColumnFormula>IF(tbl_senario[[#This Row],[prem_date]]&lt;=$B$4, 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calculatedColumnFormula>
    </tableColumn>
    <tableColumn id="33" name="senario9" dataDxfId="76" totalsRowDxfId="75">
      <calculatedColumnFormula>IF(tbl_senario[[#This Row],[prem_date]]&lt;=$B$4, 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calculatedColumnFormula>
    </tableColumn>
    <tableColumn id="34" name="senario10" dataDxfId="74" totalsRowDxfId="73">
      <calculatedColumnFormula>IF(tbl_senario[[#This Row],[prem_date]]&lt;=$B$4, 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calculatedColumnFormula>
    </tableColumn>
    <tableColumn id="35" name="senario11" dataDxfId="72" totalsRowDxfId="71">
      <calculatedColumnFormula>IF(tbl_senario[[#This Row],[prem_date]]&lt;=$B$4, 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calculatedColumnFormula>
    </tableColumn>
    <tableColumn id="36" name="senario12" dataDxfId="70" totalsRowDxfId="69">
      <calculatedColumnFormula>IF(tbl_senario[[#This Row],[prem_date]]&lt;=$B$4, 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calculatedColumnFormula>
    </tableColumn>
    <tableColumn id="37" name="senario13" dataDxfId="68" totalsRowDxfId="67">
      <calculatedColumnFormula>IF(tbl_senario[[#This Row],[prem_date]]&lt;=$B$4, 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C5:H9" totalsRowShown="0" headerRowDxfId="66" dataDxfId="65">
  <autoFilter ref="C5:H9"/>
  <tableColumns count="6">
    <tableColumn id="1" name="id" dataDxfId="64"/>
    <tableColumn id="2" name="数量(吨)" dataDxfId="63"/>
    <tableColumn id="3" name="执行价 " dataDxfId="62"/>
    <tableColumn id="4" name="到期日" dataDxfId="61"/>
    <tableColumn id="5" name="期权费-平仓(每吨) " dataDxfId="60"/>
    <tableColumn id="6" name="期权费-开仓（每吨）" dataDxfId="5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bl_trades" displayName="tbl_trades" ref="B8:N30" totalsRowShown="0">
  <autoFilter ref="B8:N30"/>
  <tableColumns count="13">
    <tableColumn id="1" name="ID" dataDxfId="58"/>
    <tableColumn id="2" name="volume" dataDxfId="57"/>
    <tableColumn id="3" name="trade_date" dataDxfId="56"/>
    <tableColumn id="4" name="exp_date" dataDxfId="55"/>
    <tableColumn id="5" name="settle_date" dataDxfId="54"/>
    <tableColumn id="6" name="prem_date" dataDxfId="53"/>
    <tableColumn id="7" name="k" dataDxfId="52"/>
    <tableColumn id="10" name="prem" dataDxfId="51"/>
    <tableColumn id="11" name="type" dataDxfId="50"/>
    <tableColumn id="12" name="opt type" dataDxfId="49"/>
    <tableColumn id="13" name="underlying" dataDxfId="48"/>
    <tableColumn id="14" name="cpty" dataDxfId="47"/>
    <tableColumn id="8" name="vol_ref" dataDxfId="4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bl_ticker" displayName="tbl_ticker" ref="B6:I15" totalsRowShown="0" headerRowDxfId="45" dataDxfId="44">
  <autoFilter ref="B6:I15"/>
  <tableColumns count="8">
    <tableColumn id="1" name="ticker" dataDxfId="43"/>
    <tableColumn id="2" name="prod" dataDxfId="42"/>
    <tableColumn id="6" name="exchange" dataDxfId="41"/>
    <tableColumn id="7" name="w_ticker" dataDxfId="40">
      <calculatedColumnFormula>tbl_ticker[[#This Row],[ticker]]&amp;"."&amp;tbl_ticker[[#This Row],[exchange]]</calculatedColumnFormula>
    </tableColumn>
    <tableColumn id="9" name="multiplier" dataDxfId="39"/>
    <tableColumn id="3" name="vol" dataDxfId="38"/>
    <tableColumn id="4" name="carry" dataDxfId="37"/>
    <tableColumn id="5" name="price_st" dataDxfId="36">
      <calculatedColumnFormula>RTD("wdf.rtq",,tbl_ticker[[#This Row],[w_ticker]],"LastPrice")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" name="tbl_var" displayName="tbl_var" ref="B6:AI13" totalsRowShown="0" headerRowDxfId="35" dataDxfId="34">
  <autoFilter ref="B6:AI13"/>
  <tableColumns count="34">
    <tableColumn id="1" name="client" dataDxfId="33"/>
    <tableColumn id="7" name="x" dataDxfId="32"/>
    <tableColumn id="6" name="k" dataDxfId="31"/>
    <tableColumn id="2" name="zn" dataDxfId="30"/>
    <tableColumn id="3" name="al" dataDxfId="29"/>
    <tableColumn id="4" name="sn" dataDxfId="28"/>
    <tableColumn id="8" name="ni" dataDxfId="27"/>
    <tableColumn id="5" name="cu" dataDxfId="26"/>
    <tableColumn id="9" name="jm" dataDxfId="25"/>
    <tableColumn id="10" name="j" dataDxfId="24"/>
    <tableColumn id="11" name="hc" dataDxfId="23"/>
    <tableColumn id="12" name="i" dataDxfId="22"/>
    <tableColumn id="13" name="rb" dataDxfId="21"/>
    <tableColumn id="14" name="au" dataDxfId="20"/>
    <tableColumn id="15" name="ag" dataDxfId="19"/>
    <tableColumn id="16" name="cs" dataDxfId="18"/>
    <tableColumn id="17" name="jd" dataDxfId="17"/>
    <tableColumn id="18" name="p" dataDxfId="16"/>
    <tableColumn id="19" name="oi" dataDxfId="15"/>
    <tableColumn id="20" name="rm" dataDxfId="14"/>
    <tableColumn id="21" name="cf" dataDxfId="13"/>
    <tableColumn id="22" name="a" dataDxfId="12"/>
    <tableColumn id="23" name="y" dataDxfId="11"/>
    <tableColumn id="24" name="m" dataDxfId="10"/>
    <tableColumn id="25" name="c" dataDxfId="9"/>
    <tableColumn id="26" name="sr" dataDxfId="8"/>
    <tableColumn id="27" name="zc" dataDxfId="7"/>
    <tableColumn id="28" name="bu" dataDxfId="6"/>
    <tableColumn id="29" name="ma" dataDxfId="5"/>
    <tableColumn id="30" name="pp" dataDxfId="4"/>
    <tableColumn id="31" name="l" dataDxfId="3"/>
    <tableColumn id="32" name="fg" dataDxfId="2"/>
    <tableColumn id="33" name="ru" dataDxfId="1"/>
    <tableColumn id="34" name="ta" dataDxfId="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bl_sena" displayName="tbl_sena" ref="B6:E19" totalsRowShown="0">
  <autoFilter ref="B6:E19"/>
  <tableColumns count="4">
    <tableColumn id="1" name="senario#"/>
    <tableColumn id="2" name="formula1"/>
    <tableColumn id="3" name="formula2"/>
    <tableColumn id="4" name="risk_coef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4:C7"/>
  <sheetViews>
    <sheetView workbookViewId="0">
      <selection activeCell="C34" sqref="C34:C36"/>
    </sheetView>
  </sheetViews>
  <sheetFormatPr defaultRowHeight="13.5"/>
  <cols>
    <col min="1" max="1" width="9.75" customWidth="1"/>
    <col min="2" max="2" width="16.625" customWidth="1"/>
    <col min="3" max="5" width="20" customWidth="1"/>
    <col min="6" max="6" width="18.75" customWidth="1"/>
    <col min="7" max="9" width="18.75" bestFit="1" customWidth="1"/>
    <col min="10" max="10" width="20" customWidth="1"/>
    <col min="11" max="11" width="20" bestFit="1" customWidth="1"/>
    <col min="12" max="12" width="18.75" customWidth="1"/>
    <col min="13" max="13" width="20" customWidth="1"/>
    <col min="14" max="14" width="20" bestFit="1" customWidth="1"/>
  </cols>
  <sheetData>
    <row r="4" spans="1:3">
      <c r="A4" s="10"/>
      <c r="B4" s="11"/>
      <c r="C4" s="11"/>
    </row>
    <row r="5" spans="1:3">
      <c r="A5" s="10"/>
      <c r="B5" s="11"/>
      <c r="C5" s="11"/>
    </row>
    <row r="6" spans="1:3">
      <c r="A6" s="10"/>
      <c r="B6" s="11"/>
      <c r="C6" s="11"/>
    </row>
    <row r="7" spans="1:3">
      <c r="A7" s="10"/>
      <c r="B7" s="11"/>
      <c r="C7" s="11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3:AR28"/>
  <sheetViews>
    <sheetView tabSelected="1" zoomScaleNormal="100" workbookViewId="0">
      <selection activeCell="N13" sqref="N13"/>
    </sheetView>
  </sheetViews>
  <sheetFormatPr defaultRowHeight="11.25"/>
  <cols>
    <col min="1" max="1" width="9" style="14"/>
    <col min="2" max="2" width="14.25" style="14" customWidth="1"/>
    <col min="3" max="3" width="7" style="14" customWidth="1"/>
    <col min="4" max="4" width="8.75" style="14" customWidth="1"/>
    <col min="5" max="5" width="4.375" style="14" customWidth="1"/>
    <col min="6" max="6" width="12.25" style="14" customWidth="1"/>
    <col min="7" max="7" width="10.5" style="14" customWidth="1"/>
    <col min="8" max="8" width="11.375" style="14" bestFit="1" customWidth="1"/>
    <col min="9" max="10" width="7" style="14" customWidth="1"/>
    <col min="11" max="11" width="12.25" style="14" customWidth="1"/>
    <col min="12" max="12" width="7" style="14" customWidth="1"/>
    <col min="13" max="13" width="6.125" style="14" customWidth="1"/>
    <col min="14" max="14" width="10.5" style="14" bestFit="1" customWidth="1"/>
    <col min="15" max="15" width="6.125" style="14" customWidth="1"/>
    <col min="16" max="24" width="16.125" style="14" hidden="1" customWidth="1"/>
    <col min="25" max="28" width="17.125" style="14" hidden="1" customWidth="1"/>
    <col min="29" max="30" width="9.625" style="14" customWidth="1"/>
    <col min="31" max="39" width="10.5" style="14" customWidth="1"/>
    <col min="40" max="43" width="11.375" style="14" customWidth="1"/>
    <col min="44" max="44" width="13" style="14" bestFit="1" customWidth="1"/>
    <col min="45" max="16384" width="9" style="14"/>
  </cols>
  <sheetData>
    <row r="3" spans="2:44">
      <c r="B3" s="14" t="s">
        <v>39</v>
      </c>
    </row>
    <row r="4" spans="2:44">
      <c r="B4" s="15">
        <f ca="1">TODAY()</f>
        <v>43154</v>
      </c>
      <c r="AD4" s="16"/>
    </row>
    <row r="5" spans="2:44">
      <c r="AR5" s="19"/>
    </row>
    <row r="6" spans="2:44">
      <c r="B6" s="14" t="s">
        <v>4</v>
      </c>
      <c r="C6" s="14" t="s">
        <v>84</v>
      </c>
      <c r="D6" s="14" t="s">
        <v>76</v>
      </c>
      <c r="E6" s="14" t="s">
        <v>16</v>
      </c>
      <c r="F6" s="14" t="s">
        <v>96</v>
      </c>
      <c r="G6" s="14" t="s">
        <v>78</v>
      </c>
      <c r="H6" s="14" t="s">
        <v>92</v>
      </c>
      <c r="I6" s="14" t="s">
        <v>82</v>
      </c>
      <c r="J6" s="14" t="s">
        <v>83</v>
      </c>
      <c r="K6" s="14" t="s">
        <v>6</v>
      </c>
      <c r="L6" s="14" t="s">
        <v>85</v>
      </c>
      <c r="M6" s="14" t="s">
        <v>75</v>
      </c>
      <c r="N6" s="14" t="s">
        <v>86</v>
      </c>
      <c r="O6" s="14" t="s">
        <v>0</v>
      </c>
      <c r="P6" s="14" t="s">
        <v>52</v>
      </c>
      <c r="Q6" s="14" t="s">
        <v>53</v>
      </c>
      <c r="R6" s="14" t="s">
        <v>54</v>
      </c>
      <c r="S6" s="14" t="s">
        <v>55</v>
      </c>
      <c r="T6" s="14" t="s">
        <v>56</v>
      </c>
      <c r="U6" s="14" t="s">
        <v>57</v>
      </c>
      <c r="V6" s="14" t="s">
        <v>58</v>
      </c>
      <c r="W6" s="14" t="s">
        <v>59</v>
      </c>
      <c r="X6" s="14" t="s">
        <v>60</v>
      </c>
      <c r="Y6" s="14" t="s">
        <v>61</v>
      </c>
      <c r="Z6" s="14" t="s">
        <v>62</v>
      </c>
      <c r="AA6" s="14" t="s">
        <v>63</v>
      </c>
      <c r="AB6" s="14" t="s">
        <v>64</v>
      </c>
      <c r="AC6" s="14" t="s">
        <v>94</v>
      </c>
      <c r="AD6" s="14" t="s">
        <v>95</v>
      </c>
      <c r="AE6" s="14" t="s">
        <v>40</v>
      </c>
      <c r="AF6" s="14" t="s">
        <v>22</v>
      </c>
      <c r="AG6" s="14" t="s">
        <v>24</v>
      </c>
      <c r="AH6" s="14" t="s">
        <v>25</v>
      </c>
      <c r="AI6" s="14" t="s">
        <v>26</v>
      </c>
      <c r="AJ6" s="14" t="s">
        <v>27</v>
      </c>
      <c r="AK6" s="14" t="s">
        <v>28</v>
      </c>
      <c r="AL6" s="14" t="s">
        <v>29</v>
      </c>
      <c r="AM6" s="14" t="s">
        <v>30</v>
      </c>
      <c r="AN6" s="14" t="s">
        <v>31</v>
      </c>
      <c r="AO6" s="14" t="s">
        <v>32</v>
      </c>
      <c r="AP6" s="14" t="s">
        <v>33</v>
      </c>
      <c r="AQ6" s="14" t="s">
        <v>34</v>
      </c>
    </row>
    <row r="7" spans="2:44" ht="15" customHeight="1">
      <c r="B7" s="17" t="s">
        <v>69</v>
      </c>
      <c r="C7" s="17" t="s">
        <v>114</v>
      </c>
      <c r="D7" s="17">
        <v>500</v>
      </c>
      <c r="E7" s="17">
        <v>3699.9999992799999</v>
      </c>
      <c r="F7" s="15">
        <v>43140</v>
      </c>
      <c r="G7" s="15">
        <v>43219.625</v>
      </c>
      <c r="H7" s="15">
        <v>43140</v>
      </c>
      <c r="I7" s="17">
        <v>-275000.00800000003</v>
      </c>
      <c r="J7" s="17" t="s">
        <v>8</v>
      </c>
      <c r="K7" s="17" t="s">
        <v>67</v>
      </c>
      <c r="L7" s="17" t="s">
        <v>65</v>
      </c>
      <c r="M7" s="17">
        <v>5000</v>
      </c>
      <c r="N7" s="17">
        <v>3845</v>
      </c>
      <c r="O7" s="17">
        <v>0.18</v>
      </c>
      <c r="P7" s="17" t="s">
        <v>175</v>
      </c>
      <c r="Q7" s="17" t="s">
        <v>176</v>
      </c>
      <c r="R7" s="17" t="s">
        <v>177</v>
      </c>
      <c r="S7" s="17" t="s">
        <v>178</v>
      </c>
      <c r="T7" s="17" t="s">
        <v>179</v>
      </c>
      <c r="U7" s="17" t="s">
        <v>180</v>
      </c>
      <c r="V7" s="17" t="s">
        <v>181</v>
      </c>
      <c r="W7" s="17" t="s">
        <v>182</v>
      </c>
      <c r="X7" s="17" t="s">
        <v>183</v>
      </c>
      <c r="Y7" s="17" t="s">
        <v>184</v>
      </c>
      <c r="Z7" s="17" t="s">
        <v>185</v>
      </c>
      <c r="AA7" s="17" t="s">
        <v>186</v>
      </c>
      <c r="AB7" s="17" t="s">
        <v>187</v>
      </c>
      <c r="AC7" s="17">
        <v>0.125</v>
      </c>
      <c r="AD7" s="18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0.17032967032967034</v>
      </c>
      <c r="AE7" s="16">
        <f ca="1">IF(tbl_senario[[#This Row],[prem_date]]&lt;=$B$4, 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255101.91815580227</v>
      </c>
      <c r="AF7" s="16">
        <f ca="1">IF(tbl_senario[[#This Row],[prem_date]]&lt;=$B$4, 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118917.25559229338</v>
      </c>
      <c r="AG7" s="16">
        <f ca="1">IF(tbl_senario[[#This Row],[prem_date]]&lt;=$B$4, 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48061.606086337037</v>
      </c>
      <c r="AH7" s="16">
        <f ca="1">IF(tbl_senario[[#This Row],[prem_date]]&lt;=$B$4, 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17803.360196784874</v>
      </c>
      <c r="AI7" s="16">
        <f ca="1">IF(tbl_senario[[#This Row],[prem_date]]&lt;=$B$4, 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488402.99092006165</v>
      </c>
      <c r="AJ7" s="16">
        <f ca="1">IF(tbl_senario[[#This Row],[prem_date]]&lt;=$B$4, 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850603.80345858703</v>
      </c>
      <c r="AK7" s="16">
        <f ca="1">IF(tbl_senario[[#This Row],[prem_date]]&lt;=$B$4, 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1316284.584191998</v>
      </c>
      <c r="AL7" s="16">
        <f ca="1">IF(tbl_senario[[#This Row],[prem_date]]&lt;=$B$4, 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29784.733908338934</v>
      </c>
      <c r="AM7" s="16">
        <f ca="1">IF(tbl_senario[[#This Row],[prem_date]]&lt;=$B$4, 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9303.2391215375465</v>
      </c>
      <c r="AN7" s="16">
        <f ca="1">IF(tbl_senario[[#This Row],[prem_date]]&lt;=$B$4, 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1351036.335165154</v>
      </c>
      <c r="AO7" s="16">
        <f ca="1">IF(tbl_senario[[#This Row],[prem_date]]&lt;=$B$4, 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1284409.2963383649</v>
      </c>
      <c r="AP7" s="16">
        <f ca="1">IF(tbl_senario[[#This Row],[prem_date]]&lt;=$B$4, 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1.5761321638333161</v>
      </c>
      <c r="AQ7" s="16">
        <f ca="1">IF(tbl_senario[[#This Row],[prem_date]]&lt;=$B$4, 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1507320.4566826324</v>
      </c>
    </row>
    <row r="8" spans="2:44">
      <c r="B8" s="17" t="s">
        <v>70</v>
      </c>
      <c r="C8" s="17" t="s">
        <v>114</v>
      </c>
      <c r="D8" s="17">
        <v>1000</v>
      </c>
      <c r="E8" s="17">
        <v>3720.0000015999999</v>
      </c>
      <c r="F8" s="15">
        <v>43140</v>
      </c>
      <c r="G8" s="15">
        <v>43205.625</v>
      </c>
      <c r="H8" s="15">
        <v>43140</v>
      </c>
      <c r="I8" s="17">
        <v>-499999.99575</v>
      </c>
      <c r="J8" s="17" t="s">
        <v>8</v>
      </c>
      <c r="K8" s="17" t="s">
        <v>67</v>
      </c>
      <c r="L8" s="17" t="s">
        <v>65</v>
      </c>
      <c r="M8" s="17">
        <v>10000</v>
      </c>
      <c r="N8" s="17">
        <v>3845</v>
      </c>
      <c r="O8" s="17">
        <v>0.18</v>
      </c>
      <c r="P8" s="17" t="s">
        <v>175</v>
      </c>
      <c r="Q8" s="17" t="s">
        <v>176</v>
      </c>
      <c r="R8" s="17" t="s">
        <v>177</v>
      </c>
      <c r="S8" s="17" t="s">
        <v>178</v>
      </c>
      <c r="T8" s="17" t="s">
        <v>179</v>
      </c>
      <c r="U8" s="17" t="s">
        <v>180</v>
      </c>
      <c r="V8" s="17" t="s">
        <v>181</v>
      </c>
      <c r="W8" s="17" t="s">
        <v>182</v>
      </c>
      <c r="X8" s="17" t="s">
        <v>183</v>
      </c>
      <c r="Y8" s="17" t="s">
        <v>184</v>
      </c>
      <c r="Z8" s="17" t="s">
        <v>185</v>
      </c>
      <c r="AA8" s="17" t="s">
        <v>186</v>
      </c>
      <c r="AB8" s="17" t="s">
        <v>187</v>
      </c>
      <c r="AC8" s="17">
        <v>0.125</v>
      </c>
      <c r="AD8" s="18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0.16826666666666668</v>
      </c>
      <c r="AE8" s="16">
        <f ca="1">IF(tbl_senario[[#This Row],[prem_date]]&lt;=$B$4, 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455750.52337706473</v>
      </c>
      <c r="AF8" s="16">
        <f ca="1">IF(tbl_senario[[#This Row],[prem_date]]&lt;=$B$4, 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188801.68370763719</v>
      </c>
      <c r="AG8" s="16">
        <f ca="1">IF(tbl_senario[[#This Row],[prem_date]]&lt;=$B$4, 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64819.846331546163</v>
      </c>
      <c r="AH8" s="16">
        <f ca="1">IF(tbl_senario[[#This Row],[prem_date]]&lt;=$B$4, 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19682.400050147648</v>
      </c>
      <c r="AI8" s="16">
        <f ca="1">IF(tbl_senario[[#This Row],[prem_date]]&lt;=$B$4, 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945531.4729559368</v>
      </c>
      <c r="AJ8" s="16">
        <f ca="1">IF(tbl_senario[[#This Row],[prem_date]]&lt;=$B$4, 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1728069.4397059465</v>
      </c>
      <c r="AK8" s="16">
        <f ca="1">IF(tbl_senario[[#This Row],[prem_date]]&lt;=$B$4, 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2730319.2430241047</v>
      </c>
      <c r="AL8" s="16">
        <f ca="1">IF(tbl_senario[[#This Row],[prem_date]]&lt;=$B$4, 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35143.403938203461</v>
      </c>
      <c r="AM8" s="16">
        <f ca="1">IF(tbl_senario[[#This Row],[prem_date]]&lt;=$B$4, 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9433.5459008779762</v>
      </c>
      <c r="AN8" s="16">
        <f ca="1">IF(tbl_senario[[#This Row],[prem_date]]&lt;=$B$4, 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2780212.677680172</v>
      </c>
      <c r="AO8" s="16">
        <f ca="1">IF(tbl_senario[[#This Row],[prem_date]]&lt;=$B$4, 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2686567.0840443256</v>
      </c>
      <c r="AP8" s="16">
        <f ca="1">IF(tbl_senario[[#This Row],[prem_date]]&lt;=$B$4, 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0.24542099731215627</v>
      </c>
      <c r="AQ8" s="16">
        <f ca="1">IF(tbl_senario[[#This Row],[prem_date]]&lt;=$B$4, 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3076784.194428138</v>
      </c>
    </row>
    <row r="9" spans="2:44">
      <c r="B9" s="17" t="s">
        <v>98</v>
      </c>
      <c r="C9" s="17" t="s">
        <v>115</v>
      </c>
      <c r="D9" s="17">
        <v>100</v>
      </c>
      <c r="E9" s="17">
        <v>524</v>
      </c>
      <c r="F9" s="15">
        <v>43139</v>
      </c>
      <c r="G9" s="15">
        <v>43201.625</v>
      </c>
      <c r="H9" s="15">
        <v>43139</v>
      </c>
      <c r="I9" s="17">
        <v>-235800</v>
      </c>
      <c r="J9" s="17" t="s">
        <v>8</v>
      </c>
      <c r="K9" s="17" t="s">
        <v>109</v>
      </c>
      <c r="L9" s="17" t="s">
        <v>138</v>
      </c>
      <c r="M9" s="17">
        <v>10000</v>
      </c>
      <c r="N9" s="17">
        <v>548.5</v>
      </c>
      <c r="O9" s="17">
        <v>0.36</v>
      </c>
      <c r="P9" s="17" t="s">
        <v>175</v>
      </c>
      <c r="Q9" s="17" t="s">
        <v>188</v>
      </c>
      <c r="R9" s="17" t="s">
        <v>189</v>
      </c>
      <c r="S9" s="17" t="s">
        <v>190</v>
      </c>
      <c r="T9" s="17" t="s">
        <v>191</v>
      </c>
      <c r="U9" s="17" t="s">
        <v>192</v>
      </c>
      <c r="V9" s="17" t="s">
        <v>193</v>
      </c>
      <c r="W9" s="17" t="s">
        <v>194</v>
      </c>
      <c r="X9" s="17" t="s">
        <v>195</v>
      </c>
      <c r="Y9" s="17" t="s">
        <v>196</v>
      </c>
      <c r="Z9" s="17" t="s">
        <v>197</v>
      </c>
      <c r="AA9" s="17" t="s">
        <v>198</v>
      </c>
      <c r="AB9" s="17" t="s">
        <v>199</v>
      </c>
      <c r="AC9" s="17">
        <v>0.125</v>
      </c>
      <c r="AD9" s="18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0.3037125748502994</v>
      </c>
      <c r="AE9" s="16">
        <f ca="1">IF(tbl_senario[[#This Row],[prem_date]]&lt;=$B$4, 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131772.44601720475</v>
      </c>
      <c r="AF9" s="16">
        <f ca="1">IF(tbl_senario[[#This Row],[prem_date]]&lt;=$B$4, 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77451.182224754724</v>
      </c>
      <c r="AG9" s="16">
        <f ca="1">IF(tbl_senario[[#This Row],[prem_date]]&lt;=$B$4, 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42340.484868406464</v>
      </c>
      <c r="AH9" s="16">
        <f ca="1">IF(tbl_senario[[#This Row],[prem_date]]&lt;=$B$4, 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22255.209835219477</v>
      </c>
      <c r="AI9" s="16">
        <f ca="1">IF(tbl_senario[[#This Row],[prem_date]]&lt;=$B$4, 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211646.03425612487</v>
      </c>
      <c r="AJ9" s="16">
        <f ca="1">IF(tbl_senario[[#This Row],[prem_date]]&lt;=$B$4, 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324164.21369394264</v>
      </c>
      <c r="AK9" s="16">
        <f ca="1">IF(tbl_senario[[#This Row],[prem_date]]&lt;=$B$4, 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463944.8568062564</v>
      </c>
      <c r="AL9" s="16">
        <f ca="1">IF(tbl_senario[[#This Row],[prem_date]]&lt;=$B$4, 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32276.943437520291</v>
      </c>
      <c r="AM9" s="16">
        <f ca="1">IF(tbl_senario[[#This Row],[prem_date]]&lt;=$B$4, 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14043.127373393334</v>
      </c>
      <c r="AN9" s="16">
        <f ca="1">IF(tbl_senario[[#This Row],[prem_date]]&lt;=$B$4, 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481569.85426435812</v>
      </c>
      <c r="AO9" s="16">
        <f ca="1">IF(tbl_senario[[#This Row],[prem_date]]&lt;=$B$4, 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447157.93597314239</v>
      </c>
      <c r="AP9" s="16">
        <f ca="1">IF(tbl_senario[[#This Row],[prem_date]]&lt;=$B$4, 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50.989189467771325</v>
      </c>
      <c r="AQ9" s="16">
        <f ca="1">IF(tbl_senario[[#This Row],[prem_date]]&lt;=$B$4, 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492920.05991740595</v>
      </c>
    </row>
    <row r="10" spans="2:44">
      <c r="B10" s="17" t="s">
        <v>99</v>
      </c>
      <c r="C10" s="17" t="s">
        <v>115</v>
      </c>
      <c r="D10" s="17">
        <v>100</v>
      </c>
      <c r="E10" s="17">
        <v>524</v>
      </c>
      <c r="F10" s="15">
        <v>43139</v>
      </c>
      <c r="G10" s="15">
        <v>43201.625</v>
      </c>
      <c r="H10" s="15">
        <v>43139</v>
      </c>
      <c r="I10" s="17">
        <v>-235800</v>
      </c>
      <c r="J10" s="17" t="s">
        <v>46</v>
      </c>
      <c r="K10" s="17" t="s">
        <v>109</v>
      </c>
      <c r="L10" s="17" t="s">
        <v>138</v>
      </c>
      <c r="M10" s="17">
        <v>10000</v>
      </c>
      <c r="N10" s="17">
        <v>548.5</v>
      </c>
      <c r="O10" s="17">
        <v>0.36</v>
      </c>
      <c r="P10" s="17" t="s">
        <v>175</v>
      </c>
      <c r="Q10" s="17" t="s">
        <v>188</v>
      </c>
      <c r="R10" s="17" t="s">
        <v>189</v>
      </c>
      <c r="S10" s="17" t="s">
        <v>190</v>
      </c>
      <c r="T10" s="17" t="s">
        <v>191</v>
      </c>
      <c r="U10" s="17" t="s">
        <v>192</v>
      </c>
      <c r="V10" s="17" t="s">
        <v>193</v>
      </c>
      <c r="W10" s="17" t="s">
        <v>194</v>
      </c>
      <c r="X10" s="17" t="s">
        <v>195</v>
      </c>
      <c r="Y10" s="17" t="s">
        <v>196</v>
      </c>
      <c r="Z10" s="17" t="s">
        <v>197</v>
      </c>
      <c r="AA10" s="17" t="s">
        <v>198</v>
      </c>
      <c r="AB10" s="17" t="s">
        <v>199</v>
      </c>
      <c r="AC10" s="17">
        <v>0.125</v>
      </c>
      <c r="AD10" s="18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0.3037125748502994</v>
      </c>
      <c r="AE10" s="16">
        <f ca="1">IF(tbl_senario[[#This Row],[prem_date]]&lt;=$B$4, 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376133.93019643583</v>
      </c>
      <c r="AF10" s="16">
        <f ca="1">IF(tbl_senario[[#This Row],[prem_date]]&lt;=$B$4, 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529699.4588426688</v>
      </c>
      <c r="AG10" s="16">
        <f ca="1">IF(tbl_senario[[#This Row],[prem_date]]&lt;=$B$4, 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707946.25898917788</v>
      </c>
      <c r="AH10" s="16">
        <f ca="1">IF(tbl_senario[[#This Row],[prem_date]]&lt;=$B$4, 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895747.77639467234</v>
      </c>
      <c r="AI10" s="16">
        <f ca="1">IF(tbl_senario[[#This Row],[prem_date]]&lt;=$B$4, 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248120.72599667276</v>
      </c>
      <c r="AJ10" s="16">
        <f ca="1">IF(tbl_senario[[#This Row],[prem_date]]&lt;=$B$4, 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147281.40793163356</v>
      </c>
      <c r="AK10" s="16">
        <f ca="1">IF(tbl_senario[[#This Row],[prem_date]]&lt;=$B$4, 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79175.258605265743</v>
      </c>
      <c r="AL10" s="16">
        <f ca="1">IF(tbl_senario[[#This Row],[prem_date]]&lt;=$B$4, 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905769.50999697356</v>
      </c>
      <c r="AM10" s="16">
        <f ca="1">IF(tbl_senario[[#This Row],[prem_date]]&lt;=$B$4, 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887535.69393284596</v>
      </c>
      <c r="AN10" s="16">
        <f ca="1">IF(tbl_senario[[#This Row],[prem_date]]&lt;=$B$4, 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96800.256063367327</v>
      </c>
      <c r="AO10" s="16">
        <f ca="1">IF(tbl_senario[[#This Row],[prem_date]]&lt;=$B$4, 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62388.337772151302</v>
      </c>
      <c r="AP10" s="16">
        <f ca="1">IF(tbl_senario[[#This Row],[prem_date]]&lt;=$B$4, 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639577.40858543699</v>
      </c>
      <c r="AQ10" s="16">
        <f ca="1">IF(tbl_senario[[#This Row],[prem_date]]&lt;=$B$4, 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10.531028975478703</v>
      </c>
    </row>
    <row r="11" spans="2:44">
      <c r="B11" s="17" t="s">
        <v>71</v>
      </c>
      <c r="C11" s="17" t="s">
        <v>114</v>
      </c>
      <c r="D11" s="17">
        <v>1000</v>
      </c>
      <c r="E11" s="17">
        <v>3650.00000142</v>
      </c>
      <c r="F11" s="15">
        <v>43132</v>
      </c>
      <c r="G11" s="15">
        <v>43205.625</v>
      </c>
      <c r="H11" s="15">
        <v>43132</v>
      </c>
      <c r="I11" s="17">
        <v>-429999.99489999999</v>
      </c>
      <c r="J11" s="17" t="s">
        <v>8</v>
      </c>
      <c r="K11" s="17" t="s">
        <v>67</v>
      </c>
      <c r="L11" s="17" t="s">
        <v>65</v>
      </c>
      <c r="M11" s="17">
        <v>10000</v>
      </c>
      <c r="N11" s="17">
        <v>3845</v>
      </c>
      <c r="O11" s="17">
        <v>0.18</v>
      </c>
      <c r="P11" s="17" t="s">
        <v>175</v>
      </c>
      <c r="Q11" s="17" t="s">
        <v>176</v>
      </c>
      <c r="R11" s="17" t="s">
        <v>177</v>
      </c>
      <c r="S11" s="17" t="s">
        <v>178</v>
      </c>
      <c r="T11" s="17" t="s">
        <v>179</v>
      </c>
      <c r="U11" s="17" t="s">
        <v>180</v>
      </c>
      <c r="V11" s="17" t="s">
        <v>181</v>
      </c>
      <c r="W11" s="17" t="s">
        <v>182</v>
      </c>
      <c r="X11" s="17" t="s">
        <v>183</v>
      </c>
      <c r="Y11" s="17" t="s">
        <v>184</v>
      </c>
      <c r="Z11" s="17" t="s">
        <v>185</v>
      </c>
      <c r="AA11" s="17" t="s">
        <v>186</v>
      </c>
      <c r="AB11" s="17" t="s">
        <v>187</v>
      </c>
      <c r="AC11" s="17">
        <v>0.125</v>
      </c>
      <c r="AD11" s="18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0.16356536502546687</v>
      </c>
      <c r="AE11" s="16">
        <f ca="1">IF(tbl_senario[[#This Row],[prem_date]]&lt;=$B$4, 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254418.82591212189</v>
      </c>
      <c r="AF11" s="16">
        <f ca="1">IF(tbl_senario[[#This Row],[prem_date]]&lt;=$B$4, 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90655.938351526958</v>
      </c>
      <c r="AG11" s="16">
        <f ca="1">IF(tbl_senario[[#This Row],[prem_date]]&lt;=$B$4, 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26207.188862807983</v>
      </c>
      <c r="AH11" s="16">
        <f ca="1">IF(tbl_senario[[#This Row],[prem_date]]&lt;=$B$4, 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6643.6074883196925</v>
      </c>
      <c r="AI11" s="16">
        <f ca="1">IF(tbl_senario[[#This Row],[prem_date]]&lt;=$B$4, 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602181.08685111278</v>
      </c>
      <c r="AJ11" s="16">
        <f ca="1">IF(tbl_senario[[#This Row],[prem_date]]&lt;=$B$4, 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1232379.3817817559</v>
      </c>
      <c r="AK11" s="16">
        <f ca="1">IF(tbl_senario[[#This Row],[prem_date]]&lt;=$B$4, 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2122211.4415681614</v>
      </c>
      <c r="AL11" s="16">
        <f ca="1">IF(tbl_senario[[#This Row],[prem_date]]&lt;=$B$4, 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13794.685187674009</v>
      </c>
      <c r="AM11" s="16">
        <f ca="1">IF(tbl_senario[[#This Row],[prem_date]]&lt;=$B$4, 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2604.1798603719571</v>
      </c>
      <c r="AN11" s="16">
        <f ca="1">IF(tbl_senario[[#This Row],[prem_date]]&lt;=$B$4, 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2184004.2157749496</v>
      </c>
      <c r="AO11" s="16">
        <f ca="1">IF(tbl_senario[[#This Row],[prem_date]]&lt;=$B$4, 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2064919.9819442721</v>
      </c>
      <c r="AP11" s="16">
        <f ca="1">IF(tbl_senario[[#This Row],[prem_date]]&lt;=$B$4, 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2.300545192009899E-2</v>
      </c>
      <c r="AQ11" s="16">
        <f ca="1">IF(tbl_senario[[#This Row],[prem_date]]&lt;=$B$4, 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2867377.4180996418</v>
      </c>
    </row>
    <row r="12" spans="2:44">
      <c r="B12" s="17" t="s">
        <v>72</v>
      </c>
      <c r="C12" s="17" t="s">
        <v>114</v>
      </c>
      <c r="D12" s="17">
        <v>1000</v>
      </c>
      <c r="E12" s="17">
        <v>3650.0000014560001</v>
      </c>
      <c r="F12" s="15">
        <v>43129</v>
      </c>
      <c r="G12" s="15">
        <v>43189.625</v>
      </c>
      <c r="H12" s="15">
        <v>43129</v>
      </c>
      <c r="I12" s="17">
        <v>-470000.00880000001</v>
      </c>
      <c r="J12" s="17" t="s">
        <v>8</v>
      </c>
      <c r="K12" s="17" t="s">
        <v>67</v>
      </c>
      <c r="L12" s="17" t="s">
        <v>65</v>
      </c>
      <c r="M12" s="17">
        <v>10000</v>
      </c>
      <c r="N12" s="17">
        <v>3845</v>
      </c>
      <c r="O12" s="17">
        <v>0.18</v>
      </c>
      <c r="P12" s="17" t="s">
        <v>175</v>
      </c>
      <c r="Q12" s="17" t="s">
        <v>176</v>
      </c>
      <c r="R12" s="17" t="s">
        <v>177</v>
      </c>
      <c r="S12" s="17" t="s">
        <v>178</v>
      </c>
      <c r="T12" s="17" t="s">
        <v>179</v>
      </c>
      <c r="U12" s="17" t="s">
        <v>180</v>
      </c>
      <c r="V12" s="17" t="s">
        <v>181</v>
      </c>
      <c r="W12" s="17" t="s">
        <v>182</v>
      </c>
      <c r="X12" s="17" t="s">
        <v>183</v>
      </c>
      <c r="Y12" s="17" t="s">
        <v>184</v>
      </c>
      <c r="Z12" s="17" t="s">
        <v>185</v>
      </c>
      <c r="AA12" s="17" t="s">
        <v>186</v>
      </c>
      <c r="AB12" s="17" t="s">
        <v>187</v>
      </c>
      <c r="AC12" s="17">
        <v>0.125</v>
      </c>
      <c r="AD12" s="18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0.15731958762886597</v>
      </c>
      <c r="AE12" s="16">
        <f ca="1">IF(tbl_senario[[#This Row],[prem_date]]&lt;=$B$4, 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136646.58288416246</v>
      </c>
      <c r="AF12" s="16">
        <f ca="1">IF(tbl_senario[[#This Row],[prem_date]]&lt;=$B$4, 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32555.526128436446</v>
      </c>
      <c r="AG12" s="16">
        <f ca="1">IF(tbl_senario[[#This Row],[prem_date]]&lt;=$B$4, 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5508.2300057030989</v>
      </c>
      <c r="AH12" s="16">
        <f ca="1">IF(tbl_senario[[#This Row],[prem_date]]&lt;=$B$4, 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741.12835784796891</v>
      </c>
      <c r="AI12" s="16">
        <f ca="1">IF(tbl_senario[[#This Row],[prem_date]]&lt;=$B$4, 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431367.49188962538</v>
      </c>
      <c r="AJ12" s="16">
        <f ca="1">IF(tbl_senario[[#This Row],[prem_date]]&lt;=$B$4, 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1063973.0207522765</v>
      </c>
      <c r="AK12" s="16">
        <f ca="1">IF(tbl_senario[[#This Row],[prem_date]]&lt;=$B$4, 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2014559.4428734742</v>
      </c>
      <c r="AL12" s="16">
        <f ca="1">IF(tbl_senario[[#This Row],[prem_date]]&lt;=$B$4, 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2065.7204715091211</v>
      </c>
      <c r="AM12" s="16">
        <f ca="1">IF(tbl_senario[[#This Row],[prem_date]]&lt;=$B$4, 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195.8893269011626</v>
      </c>
      <c r="AN12" s="16">
        <f ca="1">IF(tbl_senario[[#This Row],[prem_date]]&lt;=$B$4, 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2055302.3338404046</v>
      </c>
      <c r="AO12" s="16">
        <f ca="1">IF(tbl_senario[[#This Row],[prem_date]]&lt;=$B$4, 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1978367.2738984094</v>
      </c>
      <c r="AP12" s="16">
        <f ca="1">IF(tbl_senario[[#This Row],[prem_date]]&lt;=$B$4, 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7.4368455045212442E-6</v>
      </c>
      <c r="AQ12" s="16">
        <f ca="1">IF(tbl_senario[[#This Row],[prem_date]]&lt;=$B$4, 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2869892.3458271702</v>
      </c>
    </row>
    <row r="13" spans="2:44">
      <c r="B13" s="17" t="s">
        <v>10</v>
      </c>
      <c r="C13" s="17" t="s">
        <v>116</v>
      </c>
      <c r="D13" s="17">
        <v>400</v>
      </c>
      <c r="E13" s="17">
        <v>14500.000004</v>
      </c>
      <c r="F13" s="15">
        <v>43118</v>
      </c>
      <c r="G13" s="15">
        <v>43200.625</v>
      </c>
      <c r="H13" s="15">
        <v>43118</v>
      </c>
      <c r="I13" s="17">
        <v>-400000</v>
      </c>
      <c r="J13" s="17" t="s">
        <v>8</v>
      </c>
      <c r="K13" s="17" t="s">
        <v>11</v>
      </c>
      <c r="L13" s="17" t="s">
        <v>13</v>
      </c>
      <c r="M13" s="17">
        <v>2000</v>
      </c>
      <c r="N13" s="17">
        <v>14455</v>
      </c>
      <c r="O13" s="17">
        <v>0.14000000000000001</v>
      </c>
      <c r="P13" s="17" t="s">
        <v>175</v>
      </c>
      <c r="Q13" s="17" t="s">
        <v>200</v>
      </c>
      <c r="R13" s="17" t="s">
        <v>201</v>
      </c>
      <c r="S13" s="17" t="s">
        <v>202</v>
      </c>
      <c r="T13" s="17" t="s">
        <v>203</v>
      </c>
      <c r="U13" s="17" t="s">
        <v>204</v>
      </c>
      <c r="V13" s="17" t="s">
        <v>205</v>
      </c>
      <c r="W13" s="17" t="s">
        <v>206</v>
      </c>
      <c r="X13" s="17" t="s">
        <v>207</v>
      </c>
      <c r="Y13" s="17" t="s">
        <v>208</v>
      </c>
      <c r="Z13" s="17" t="s">
        <v>209</v>
      </c>
      <c r="AA13" s="17" t="s">
        <v>210</v>
      </c>
      <c r="AB13" s="17" t="s">
        <v>211</v>
      </c>
      <c r="AC13" s="17">
        <v>0.12</v>
      </c>
      <c r="AD13" s="18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0.13128593040847203</v>
      </c>
      <c r="AE13" s="16">
        <f ca="1">IF(tbl_senario[[#This Row],[prem_date]]&lt;=$B$4, 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586657.40852718998</v>
      </c>
      <c r="AF13" s="16">
        <f ca="1">IF(tbl_senario[[#This Row],[prem_date]]&lt;=$B$4, 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357461.38695453451</v>
      </c>
      <c r="AG13" s="16">
        <f ca="1">IF(tbl_senario[[#This Row],[prem_date]]&lt;=$B$4, 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194470.13042644487</v>
      </c>
      <c r="AH13" s="16">
        <f ca="1">IF(tbl_senario[[#This Row],[prem_date]]&lt;=$B$4, 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100351.52050334089</v>
      </c>
      <c r="AI13" s="16">
        <f ca="1">IF(tbl_senario[[#This Row],[prem_date]]&lt;=$B$4, 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894256.85628211568</v>
      </c>
      <c r="AJ13" s="16">
        <f ca="1">IF(tbl_senario[[#This Row],[prem_date]]&lt;=$B$4, 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1297819.1287082708</v>
      </c>
      <c r="AK13" s="16">
        <f ca="1">IF(tbl_senario[[#This Row],[prem_date]]&lt;=$B$4, 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1739408.4667806968</v>
      </c>
      <c r="AL13" s="16">
        <f ca="1">IF(tbl_senario[[#This Row],[prem_date]]&lt;=$B$4, 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133201.5192347063</v>
      </c>
      <c r="AM13" s="16">
        <f ca="1">IF(tbl_senario[[#This Row],[prem_date]]&lt;=$B$4, 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71107.836219133373</v>
      </c>
      <c r="AN13" s="16">
        <f ca="1">IF(tbl_senario[[#This Row],[prem_date]]&lt;=$B$4, 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1764615.1543612378</v>
      </c>
      <c r="AO13" s="16">
        <f ca="1">IF(tbl_senario[[#This Row],[prem_date]]&lt;=$B$4, 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1717985.940874757</v>
      </c>
      <c r="AP13" s="16">
        <f ca="1">IF(tbl_senario[[#This Row],[prem_date]]&lt;=$B$4, 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84.802973479631731</v>
      </c>
      <c r="AQ13" s="16">
        <f ca="1">IF(tbl_senario[[#This Row],[prem_date]]&lt;=$B$4, 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1454328.704246578</v>
      </c>
    </row>
    <row r="14" spans="2:44">
      <c r="B14" s="17" t="s">
        <v>73</v>
      </c>
      <c r="C14" s="17" t="s">
        <v>114</v>
      </c>
      <c r="D14" s="17">
        <v>500</v>
      </c>
      <c r="E14" s="17">
        <v>3550.00000086</v>
      </c>
      <c r="F14" s="15">
        <v>43104</v>
      </c>
      <c r="G14" s="15">
        <v>43167.625</v>
      </c>
      <c r="H14" s="15">
        <v>43104</v>
      </c>
      <c r="I14" s="17">
        <v>-315000.00594</v>
      </c>
      <c r="J14" s="17" t="s">
        <v>8</v>
      </c>
      <c r="K14" s="17" t="s">
        <v>67</v>
      </c>
      <c r="L14" s="17" t="s">
        <v>65</v>
      </c>
      <c r="M14" s="17">
        <v>5000</v>
      </c>
      <c r="N14" s="17">
        <v>3845</v>
      </c>
      <c r="O14" s="17">
        <v>0.18</v>
      </c>
      <c r="P14" s="17" t="s">
        <v>175</v>
      </c>
      <c r="Q14" s="17" t="s">
        <v>176</v>
      </c>
      <c r="R14" s="17" t="s">
        <v>177</v>
      </c>
      <c r="S14" s="17" t="s">
        <v>178</v>
      </c>
      <c r="T14" s="17" t="s">
        <v>179</v>
      </c>
      <c r="U14" s="17" t="s">
        <v>180</v>
      </c>
      <c r="V14" s="17" t="s">
        <v>181</v>
      </c>
      <c r="W14" s="17" t="s">
        <v>182</v>
      </c>
      <c r="X14" s="17" t="s">
        <v>183</v>
      </c>
      <c r="Y14" s="17" t="s">
        <v>184</v>
      </c>
      <c r="Z14" s="17" t="s">
        <v>185</v>
      </c>
      <c r="AA14" s="17" t="s">
        <v>186</v>
      </c>
      <c r="AB14" s="17" t="s">
        <v>187</v>
      </c>
      <c r="AC14" s="17">
        <v>0.125</v>
      </c>
      <c r="AD14" s="18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0.13677799607072691</v>
      </c>
      <c r="AE14" s="16">
        <f ca="1">IF(tbl_senario[[#This Row],[prem_date]]&lt;=$B$4, 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173.23221101854662</v>
      </c>
      <c r="AF14" s="16">
        <f ca="1">IF(tbl_senario[[#This Row],[prem_date]]&lt;=$B$4, 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1.1402760902290898</v>
      </c>
      <c r="AG14" s="16">
        <f ca="1">IF(tbl_senario[[#This Row],[prem_date]]&lt;=$B$4, 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1.9001223850188657E-3</v>
      </c>
      <c r="AH14" s="16">
        <f ca="1">IF(tbl_senario[[#This Row],[prem_date]]&lt;=$B$4, 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1.2651645392534693E-6</v>
      </c>
      <c r="AI14" s="16">
        <f ca="1">IF(tbl_senario[[#This Row],[prem_date]]&lt;=$B$4, 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7741.1573950686516</v>
      </c>
      <c r="AJ14" s="16">
        <f ca="1">IF(tbl_senario[[#This Row],[prem_date]]&lt;=$B$4, 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109156.21621253148</v>
      </c>
      <c r="AK14" s="16">
        <f ca="1">IF(tbl_senario[[#This Row],[prem_date]]&lt;=$B$4, 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488262.33143821219</v>
      </c>
      <c r="AL14" s="16">
        <f ca="1">IF(tbl_senario[[#This Row],[prem_date]]&lt;=$B$4, 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7.5201408483154163E-5</v>
      </c>
      <c r="AM14" s="16">
        <f ca="1">IF(tbl_senario[[#This Row],[prem_date]]&lt;=$B$4, 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5.4034363732447378E-9</v>
      </c>
      <c r="AN14" s="16">
        <f ca="1">IF(tbl_senario[[#This Row],[prem_date]]&lt;=$B$4, 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500341.79010407208</v>
      </c>
      <c r="AO14" s="16">
        <f ca="1">IF(tbl_senario[[#This Row],[prem_date]]&lt;=$B$4, 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477267.31910459447</v>
      </c>
      <c r="AP14" s="16">
        <f ca="1">IF(tbl_senario[[#This Row],[prem_date]]&lt;=$B$4, 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1.519639923823637E-34</v>
      </c>
      <c r="AQ14" s="16">
        <f ca="1">IF(tbl_senario[[#This Row],[prem_date]]&lt;=$B$4, 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1286788.9576821455</v>
      </c>
    </row>
    <row r="15" spans="2:44">
      <c r="B15" s="17" t="s">
        <v>44</v>
      </c>
      <c r="C15" s="17" t="s">
        <v>117</v>
      </c>
      <c r="D15" s="17">
        <v>125</v>
      </c>
      <c r="E15" s="17">
        <v>10039.999997630001</v>
      </c>
      <c r="F15" s="15">
        <v>43098</v>
      </c>
      <c r="G15" s="15">
        <v>43159.625</v>
      </c>
      <c r="H15" s="15">
        <v>43098</v>
      </c>
      <c r="I15" s="17">
        <v>0</v>
      </c>
      <c r="J15" s="17" t="s">
        <v>46</v>
      </c>
      <c r="K15" s="17" t="s">
        <v>47</v>
      </c>
      <c r="L15" s="17" t="s">
        <v>48</v>
      </c>
      <c r="M15" s="17">
        <v>625</v>
      </c>
      <c r="N15" s="17">
        <v>9590</v>
      </c>
      <c r="O15" s="17">
        <v>0.19</v>
      </c>
      <c r="P15" s="17" t="s">
        <v>175</v>
      </c>
      <c r="Q15" s="17" t="s">
        <v>212</v>
      </c>
      <c r="R15" s="17" t="s">
        <v>213</v>
      </c>
      <c r="S15" s="17" t="s">
        <v>214</v>
      </c>
      <c r="T15" s="17" t="s">
        <v>215</v>
      </c>
      <c r="U15" s="17" t="s">
        <v>216</v>
      </c>
      <c r="V15" s="17" t="s">
        <v>217</v>
      </c>
      <c r="W15" s="17" t="s">
        <v>218</v>
      </c>
      <c r="X15" s="17" t="s">
        <v>219</v>
      </c>
      <c r="Y15" s="17" t="s">
        <v>220</v>
      </c>
      <c r="Z15" s="17" t="s">
        <v>221</v>
      </c>
      <c r="AA15" s="17" t="s">
        <v>222</v>
      </c>
      <c r="AB15" s="17" t="s">
        <v>223</v>
      </c>
      <c r="AC15" s="17"/>
      <c r="AD15" s="18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0.19</v>
      </c>
      <c r="AE15" s="16">
        <f ca="1">IF(tbl_senario[[#This Row],[prem_date]]&lt;=$B$4, 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1424.1172784707862</v>
      </c>
      <c r="AF15" s="16">
        <f ca="1">IF(tbl_senario[[#This Row],[prem_date]]&lt;=$B$4, 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10780.754814550148</v>
      </c>
      <c r="AG15" s="16">
        <f ca="1">IF(tbl_senario[[#This Row],[prem_date]]&lt;=$B$4, 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47905.314867351546</v>
      </c>
      <c r="AH15" s="16">
        <f ca="1">IF(tbl_senario[[#This Row],[prem_date]]&lt;=$B$4, 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124141.92918934136</v>
      </c>
      <c r="AI15" s="16">
        <f ca="1">IF(tbl_senario[[#This Row],[prem_date]]&lt;=$B$4, 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93.870213258738886</v>
      </c>
      <c r="AJ15" s="16">
        <f ca="1">IF(tbl_senario[[#This Row],[prem_date]]&lt;=$B$4, 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2.3319535077677802</v>
      </c>
      <c r="AK15" s="16">
        <f ca="1">IF(tbl_senario[[#This Row],[prem_date]]&lt;=$B$4, 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2.7998852673246366E-2</v>
      </c>
      <c r="AL15" s="16">
        <f ca="1">IF(tbl_senario[[#This Row],[prem_date]]&lt;=$B$4, 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128946.83862461348</v>
      </c>
      <c r="AM15" s="16">
        <f ca="1">IF(tbl_senario[[#This Row],[prem_date]]&lt;=$B$4, 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119559.71514683057</v>
      </c>
      <c r="AN15" s="16">
        <f ca="1">IF(tbl_senario[[#This Row],[prem_date]]&lt;=$B$4, 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0.25806775408724397</v>
      </c>
      <c r="AO15" s="16">
        <f ca="1">IF(tbl_senario[[#This Row],[prem_date]]&lt;=$B$4, 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1.4798164733125091E-3</v>
      </c>
      <c r="AP15" s="16">
        <f ca="1">IF(tbl_senario[[#This Row],[prem_date]]&lt;=$B$4, 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260784.60939033813</v>
      </c>
      <c r="AQ15" s="16">
        <f ca="1">IF(tbl_senario[[#This Row],[prem_date]]&lt;=$B$4, 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8.0744684883927107E-25</v>
      </c>
    </row>
    <row r="16" spans="2:44">
      <c r="B16" s="17" t="s">
        <v>45</v>
      </c>
      <c r="C16" s="17" t="s">
        <v>117</v>
      </c>
      <c r="D16" s="17">
        <v>-125</v>
      </c>
      <c r="E16" s="17">
        <v>9500.0000023699995</v>
      </c>
      <c r="F16" s="15">
        <v>43098</v>
      </c>
      <c r="G16" s="15">
        <v>43159.625</v>
      </c>
      <c r="H16" s="15">
        <v>43098</v>
      </c>
      <c r="I16" s="17">
        <v>9375</v>
      </c>
      <c r="J16" s="17" t="s">
        <v>8</v>
      </c>
      <c r="K16" s="17" t="s">
        <v>47</v>
      </c>
      <c r="L16" s="17" t="s">
        <v>48</v>
      </c>
      <c r="M16" s="17">
        <v>-625</v>
      </c>
      <c r="N16" s="17">
        <v>9590</v>
      </c>
      <c r="O16" s="17">
        <v>0.19</v>
      </c>
      <c r="P16" s="17" t="s">
        <v>175</v>
      </c>
      <c r="Q16" s="17" t="s">
        <v>212</v>
      </c>
      <c r="R16" s="17" t="s">
        <v>213</v>
      </c>
      <c r="S16" s="17" t="s">
        <v>214</v>
      </c>
      <c r="T16" s="17" t="s">
        <v>215</v>
      </c>
      <c r="U16" s="17" t="s">
        <v>216</v>
      </c>
      <c r="V16" s="17" t="s">
        <v>217</v>
      </c>
      <c r="W16" s="17" t="s">
        <v>218</v>
      </c>
      <c r="X16" s="17" t="s">
        <v>219</v>
      </c>
      <c r="Y16" s="17" t="s">
        <v>220</v>
      </c>
      <c r="Z16" s="17" t="s">
        <v>221</v>
      </c>
      <c r="AA16" s="17" t="s">
        <v>222</v>
      </c>
      <c r="AB16" s="17" t="s">
        <v>223</v>
      </c>
      <c r="AC16" s="17"/>
      <c r="AD16" s="18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0.19</v>
      </c>
      <c r="AE16" s="16">
        <f ca="1">IF(tbl_senario[[#This Row],[prem_date]]&lt;=$B$4, 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-32425.116300389775</v>
      </c>
      <c r="AF16" s="16">
        <f ca="1">IF(tbl_senario[[#This Row],[prem_date]]&lt;=$B$4, 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-6738.427069142057</v>
      </c>
      <c r="AG16" s="16">
        <f ca="1">IF(tbl_senario[[#This Row],[prem_date]]&lt;=$B$4, 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-733.15363833856645</v>
      </c>
      <c r="AH16" s="16">
        <f ca="1">IF(tbl_senario[[#This Row],[prem_date]]&lt;=$B$4, 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-49.87686595930905</v>
      </c>
      <c r="AI16" s="16">
        <f ca="1">IF(tbl_senario[[#This Row],[prem_date]]&lt;=$B$4, 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-97123.542571185928</v>
      </c>
      <c r="AJ16" s="16">
        <f ca="1">IF(tbl_senario[[#This Row],[prem_date]]&lt;=$B$4, 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-205797.92409262367</v>
      </c>
      <c r="AK16" s="16">
        <f ca="1">IF(tbl_senario[[#This Row],[prem_date]]&lt;=$B$4, 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-327614.50565502874</v>
      </c>
      <c r="AL16" s="16">
        <f ca="1">IF(tbl_senario[[#This Row],[prem_date]]&lt;=$B$4, 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-141.42486661189122</v>
      </c>
      <c r="AM16" s="16">
        <f ca="1">IF(tbl_senario[[#This Row],[prem_date]]&lt;=$B$4, 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-12.883455879263083</v>
      </c>
      <c r="AN16" s="16">
        <f ca="1">IF(tbl_senario[[#This Row],[prem_date]]&lt;=$B$4, 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-328010.81142692786</v>
      </c>
      <c r="AO16" s="16">
        <f ca="1">IF(tbl_senario[[#This Row],[prem_date]]&lt;=$B$4, 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-327391.59360847721</v>
      </c>
      <c r="AP16" s="16">
        <f ca="1">IF(tbl_senario[[#This Row],[prem_date]]&lt;=$B$4, 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-1.2230701428374362E-11</v>
      </c>
      <c r="AQ16" s="16">
        <f ca="1">IF(tbl_senario[[#This Row],[prem_date]]&lt;=$B$4, 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-328263.80764940812</v>
      </c>
    </row>
    <row r="17" spans="2:43">
      <c r="B17" s="17" t="s">
        <v>100</v>
      </c>
      <c r="C17" s="17" t="s">
        <v>118</v>
      </c>
      <c r="D17" s="17">
        <v>-50</v>
      </c>
      <c r="E17" s="17">
        <v>1258</v>
      </c>
      <c r="F17" s="15">
        <v>43077</v>
      </c>
      <c r="G17" s="15">
        <v>43189.625</v>
      </c>
      <c r="H17" s="15">
        <v>43076</v>
      </c>
      <c r="I17" s="17">
        <v>297000</v>
      </c>
      <c r="J17" s="17" t="s">
        <v>8</v>
      </c>
      <c r="K17" s="17" t="s">
        <v>110</v>
      </c>
      <c r="L17" s="17" t="s">
        <v>125</v>
      </c>
      <c r="M17" s="17">
        <v>-3000</v>
      </c>
      <c r="N17" s="17">
        <v>1398</v>
      </c>
      <c r="O17" s="17">
        <v>0.36</v>
      </c>
      <c r="P17" s="17" t="s">
        <v>175</v>
      </c>
      <c r="Q17" s="17" t="s">
        <v>224</v>
      </c>
      <c r="R17" s="17" t="s">
        <v>225</v>
      </c>
      <c r="S17" s="17" t="s">
        <v>226</v>
      </c>
      <c r="T17" s="17" t="s">
        <v>227</v>
      </c>
      <c r="U17" s="17" t="s">
        <v>228</v>
      </c>
      <c r="V17" s="17" t="s">
        <v>229</v>
      </c>
      <c r="W17" s="17" t="s">
        <v>230</v>
      </c>
      <c r="X17" s="17" t="s">
        <v>231</v>
      </c>
      <c r="Y17" s="17" t="s">
        <v>232</v>
      </c>
      <c r="Z17" s="17" t="s">
        <v>233</v>
      </c>
      <c r="AA17" s="17" t="s">
        <v>234</v>
      </c>
      <c r="AB17" s="17" t="s">
        <v>235</v>
      </c>
      <c r="AC17" s="17"/>
      <c r="AD17" s="18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0.36</v>
      </c>
      <c r="AE17" s="16">
        <f ca="1">IF(tbl_senario[[#This Row],[prem_date]]&lt;=$B$4, 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-41754.769626415924</v>
      </c>
      <c r="AF17" s="16">
        <f ca="1">IF(tbl_senario[[#This Row],[prem_date]]&lt;=$B$4, 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-22841.658079028912</v>
      </c>
      <c r="AG17" s="16">
        <f ca="1">IF(tbl_senario[[#This Row],[prem_date]]&lt;=$B$4, 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-12113.318035411845</v>
      </c>
      <c r="AH17" s="16">
        <f ca="1">IF(tbl_senario[[#This Row],[prem_date]]&lt;=$B$4, 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-6022.4682141071871</v>
      </c>
      <c r="AI17" s="16">
        <f ca="1">IF(tbl_senario[[#This Row],[prem_date]]&lt;=$B$4, 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-72437.572377475022</v>
      </c>
      <c r="AJ17" s="16">
        <f ca="1">IF(tbl_senario[[#This Row],[prem_date]]&lt;=$B$4, 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-117495.74779084904</v>
      </c>
      <c r="AK17" s="16">
        <f ca="1">IF(tbl_senario[[#This Row],[prem_date]]&lt;=$B$4, 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-183011.2505814395</v>
      </c>
      <c r="AL17" s="16">
        <f ca="1">IF(tbl_senario[[#This Row],[prem_date]]&lt;=$B$4, 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-10039.064258467413</v>
      </c>
      <c r="AM17" s="16">
        <f ca="1">IF(tbl_senario[[#This Row],[prem_date]]&lt;=$B$4, 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-3162.0658543678196</v>
      </c>
      <c r="AN17" s="16">
        <f ca="1">IF(tbl_senario[[#This Row],[prem_date]]&lt;=$B$4, 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-199782.51959915951</v>
      </c>
      <c r="AO17" s="16">
        <f ca="1">IF(tbl_senario[[#This Row],[prem_date]]&lt;=$B$4, 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-166242.51375808864</v>
      </c>
      <c r="AP17" s="16">
        <f ca="1">IF(tbl_senario[[#This Row],[prem_date]]&lt;=$B$4, 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-12.645222749568575</v>
      </c>
      <c r="AQ17" s="16">
        <f ca="1">IF(tbl_senario[[#This Row],[prem_date]]&lt;=$B$4, 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-277558.57338212122</v>
      </c>
    </row>
    <row r="18" spans="2:43">
      <c r="B18" s="17" t="s">
        <v>101</v>
      </c>
      <c r="C18" s="17" t="s">
        <v>118</v>
      </c>
      <c r="D18" s="17">
        <v>-50</v>
      </c>
      <c r="E18" s="17">
        <v>1258</v>
      </c>
      <c r="F18" s="15">
        <v>43077</v>
      </c>
      <c r="G18" s="15">
        <v>43189.625</v>
      </c>
      <c r="H18" s="15">
        <v>43076</v>
      </c>
      <c r="I18" s="17">
        <v>297000</v>
      </c>
      <c r="J18" s="17" t="s">
        <v>46</v>
      </c>
      <c r="K18" s="17" t="s">
        <v>110</v>
      </c>
      <c r="L18" s="17" t="s">
        <v>125</v>
      </c>
      <c r="M18" s="17">
        <v>-3000</v>
      </c>
      <c r="N18" s="17">
        <v>1398</v>
      </c>
      <c r="O18" s="17">
        <v>0.36</v>
      </c>
      <c r="P18" s="17" t="s">
        <v>175</v>
      </c>
      <c r="Q18" s="17" t="s">
        <v>224</v>
      </c>
      <c r="R18" s="17" t="s">
        <v>225</v>
      </c>
      <c r="S18" s="17" t="s">
        <v>226</v>
      </c>
      <c r="T18" s="17" t="s">
        <v>227</v>
      </c>
      <c r="U18" s="17" t="s">
        <v>228</v>
      </c>
      <c r="V18" s="17" t="s">
        <v>229</v>
      </c>
      <c r="W18" s="17" t="s">
        <v>230</v>
      </c>
      <c r="X18" s="17" t="s">
        <v>231</v>
      </c>
      <c r="Y18" s="17" t="s">
        <v>232</v>
      </c>
      <c r="Z18" s="17" t="s">
        <v>233</v>
      </c>
      <c r="AA18" s="17" t="s">
        <v>234</v>
      </c>
      <c r="AB18" s="17" t="s">
        <v>235</v>
      </c>
      <c r="AC18" s="17"/>
      <c r="AD18" s="18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0.36</v>
      </c>
      <c r="AE18" s="16">
        <f ca="1">IF(tbl_senario[[#This Row],[prem_date]]&lt;=$B$4, 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-460935.70630105125</v>
      </c>
      <c r="AF18" s="16">
        <f ca="1">IF(tbl_senario[[#This Row],[prem_date]]&lt;=$B$4, 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-592712.15318909951</v>
      </c>
      <c r="AG18" s="16">
        <f ca="1">IF(tbl_senario[[#This Row],[prem_date]]&lt;=$B$4, 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-728487.5505132681</v>
      </c>
      <c r="AH18" s="16">
        <f ca="1">IF(tbl_senario[[#This Row],[prem_date]]&lt;=$B$4, 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-873086.25912739907</v>
      </c>
      <c r="AI18" s="16">
        <f ca="1">IF(tbl_senario[[#This Row],[prem_date]]&lt;=$B$4, 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-340928.95061667415</v>
      </c>
      <c r="AJ18" s="16">
        <f ca="1">IF(tbl_senario[[#This Row],[prem_date]]&lt;=$B$4, 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-239483.38866226305</v>
      </c>
      <c r="AK18" s="16">
        <f ca="1">IF(tbl_senario[[#This Row],[prem_date]]&lt;=$B$4, 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-154309.3330174179</v>
      </c>
      <c r="AL18" s="16">
        <f ca="1">IF(tbl_senario[[#This Row],[prem_date]]&lt;=$B$4, 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-877102.85517175903</v>
      </c>
      <c r="AM18" s="16">
        <f ca="1">IF(tbl_senario[[#This Row],[prem_date]]&lt;=$B$4, 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-870225.85676765954</v>
      </c>
      <c r="AN18" s="16">
        <f ca="1">IF(tbl_senario[[#This Row],[prem_date]]&lt;=$B$4, 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-171080.60203513788</v>
      </c>
      <c r="AO18" s="16">
        <f ca="1">IF(tbl_senario[[#This Row],[prem_date]]&lt;=$B$4, 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-137540.59619406701</v>
      </c>
      <c r="AP18" s="16">
        <f ca="1">IF(tbl_senario[[#This Row],[prem_date]]&lt;=$B$4, 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-528861.49503993103</v>
      </c>
      <c r="AQ18" s="16">
        <f ca="1">IF(tbl_senario[[#This Row],[prem_date]]&lt;=$B$4, 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-218.28556972067904</v>
      </c>
    </row>
    <row r="19" spans="2:43">
      <c r="B19" s="17" t="s">
        <v>102</v>
      </c>
      <c r="C19" s="17" t="s">
        <v>119</v>
      </c>
      <c r="D19" s="17">
        <v>2000</v>
      </c>
      <c r="E19" s="17">
        <v>1199.9999998999999</v>
      </c>
      <c r="F19" s="15">
        <v>43067</v>
      </c>
      <c r="G19" s="15">
        <v>43189.625</v>
      </c>
      <c r="H19" s="15">
        <v>43067</v>
      </c>
      <c r="I19" s="17">
        <v>-5999999.9280000003</v>
      </c>
      <c r="J19" s="17" t="s">
        <v>8</v>
      </c>
      <c r="K19" s="17" t="s">
        <v>110</v>
      </c>
      <c r="L19" s="17" t="s">
        <v>125</v>
      </c>
      <c r="M19" s="17">
        <v>120000</v>
      </c>
      <c r="N19" s="17">
        <v>1398</v>
      </c>
      <c r="O19" s="17">
        <v>0.36</v>
      </c>
      <c r="P19" s="17" t="s">
        <v>175</v>
      </c>
      <c r="Q19" s="17" t="s">
        <v>224</v>
      </c>
      <c r="R19" s="17" t="s">
        <v>225</v>
      </c>
      <c r="S19" s="17" t="s">
        <v>226</v>
      </c>
      <c r="T19" s="17" t="s">
        <v>227</v>
      </c>
      <c r="U19" s="17" t="s">
        <v>228</v>
      </c>
      <c r="V19" s="17" t="s">
        <v>229</v>
      </c>
      <c r="W19" s="17" t="s">
        <v>230</v>
      </c>
      <c r="X19" s="17" t="s">
        <v>231</v>
      </c>
      <c r="Y19" s="17" t="s">
        <v>232</v>
      </c>
      <c r="Z19" s="17" t="s">
        <v>233</v>
      </c>
      <c r="AA19" s="17" t="s">
        <v>234</v>
      </c>
      <c r="AB19" s="17" t="s">
        <v>235</v>
      </c>
      <c r="AC19" s="17">
        <v>0.32</v>
      </c>
      <c r="AD19" s="18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0.33162079510703363</v>
      </c>
      <c r="AE19" s="16">
        <f ca="1">IF(tbl_senario[[#This Row],[prem_date]]&lt;=$B$4, 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499034.03808554204</v>
      </c>
      <c r="AF19" s="16">
        <f ca="1">IF(tbl_senario[[#This Row],[prem_date]]&lt;=$B$4, 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224350.73103385759</v>
      </c>
      <c r="AG19" s="16">
        <f ca="1">IF(tbl_senario[[#This Row],[prem_date]]&lt;=$B$4, 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97196.342455395992</v>
      </c>
      <c r="AH19" s="16">
        <f ca="1">IF(tbl_senario[[#This Row],[prem_date]]&lt;=$B$4, 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38848.424757294699</v>
      </c>
      <c r="AI19" s="16">
        <f ca="1">IF(tbl_senario[[#This Row],[prem_date]]&lt;=$B$4, 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1039287.2707519055</v>
      </c>
      <c r="AJ19" s="16">
        <f ca="1">IF(tbl_senario[[#This Row],[prem_date]]&lt;=$B$4, 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1984171.5873515033</v>
      </c>
      <c r="AK19" s="16">
        <f ca="1">IF(tbl_senario[[#This Row],[prem_date]]&lt;=$B$4, 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3593765.1960885231</v>
      </c>
      <c r="AL19" s="16">
        <f ca="1">IF(tbl_senario[[#This Row],[prem_date]]&lt;=$B$4, 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82827.341872576653</v>
      </c>
      <c r="AM19" s="16">
        <f ca="1">IF(tbl_senario[[#This Row],[prem_date]]&lt;=$B$4, 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14698.399292241231</v>
      </c>
      <c r="AN19" s="16">
        <f ca="1">IF(tbl_senario[[#This Row],[prem_date]]&lt;=$B$4, 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4159971.4511896875</v>
      </c>
      <c r="AO19" s="16">
        <f ca="1">IF(tbl_senario[[#This Row],[prem_date]]&lt;=$B$4, 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3035680.7686854345</v>
      </c>
      <c r="AP19" s="16">
        <f ca="1">IF(tbl_senario[[#This Row],[prem_date]]&lt;=$B$4, 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19.128214308667932</v>
      </c>
      <c r="AQ19" s="16">
        <f ca="1">IF(tbl_senario[[#This Row],[prem_date]]&lt;=$B$4, 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9025886.9821834154</v>
      </c>
    </row>
    <row r="20" spans="2:43">
      <c r="B20" s="17" t="s">
        <v>103</v>
      </c>
      <c r="C20" s="17" t="s">
        <v>119</v>
      </c>
      <c r="D20" s="17">
        <v>300</v>
      </c>
      <c r="E20" s="17">
        <v>13000.000006799999</v>
      </c>
      <c r="F20" s="15">
        <v>43054</v>
      </c>
      <c r="G20" s="15">
        <v>43189.625</v>
      </c>
      <c r="H20" s="15">
        <v>43054</v>
      </c>
      <c r="I20" s="17">
        <v>-1791000.0179999999</v>
      </c>
      <c r="J20" s="17" t="s">
        <v>8</v>
      </c>
      <c r="K20" s="17" t="s">
        <v>111</v>
      </c>
      <c r="L20" s="17" t="s">
        <v>123</v>
      </c>
      <c r="M20" s="17">
        <v>3000</v>
      </c>
      <c r="N20" s="17">
        <v>12850</v>
      </c>
      <c r="O20" s="17">
        <v>0.36</v>
      </c>
      <c r="P20" s="17" t="s">
        <v>175</v>
      </c>
      <c r="Q20" s="17" t="s">
        <v>236</v>
      </c>
      <c r="R20" s="17" t="s">
        <v>237</v>
      </c>
      <c r="S20" s="17" t="s">
        <v>238</v>
      </c>
      <c r="T20" s="17" t="s">
        <v>239</v>
      </c>
      <c r="U20" s="17" t="s">
        <v>240</v>
      </c>
      <c r="V20" s="17" t="s">
        <v>241</v>
      </c>
      <c r="W20" s="17" t="s">
        <v>242</v>
      </c>
      <c r="X20" s="17" t="s">
        <v>243</v>
      </c>
      <c r="Y20" s="17" t="s">
        <v>244</v>
      </c>
      <c r="Z20" s="17" t="s">
        <v>245</v>
      </c>
      <c r="AA20" s="17" t="s">
        <v>246</v>
      </c>
      <c r="AB20" s="17" t="s">
        <v>247</v>
      </c>
      <c r="AC20" s="17">
        <v>0.26</v>
      </c>
      <c r="AD20" s="18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0.28626728110599076</v>
      </c>
      <c r="AE20" s="16">
        <f ca="1">IF(tbl_senario[[#This Row],[prem_date]]&lt;=$B$4, 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1616454.3089905058</v>
      </c>
      <c r="AF20" s="16">
        <f ca="1">IF(tbl_senario[[#This Row],[prem_date]]&lt;=$B$4, 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1092019.091151421</v>
      </c>
      <c r="AG20" s="16">
        <f ca="1">IF(tbl_senario[[#This Row],[prem_date]]&lt;=$B$4, 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691881.34999851848</v>
      </c>
      <c r="AH20" s="16">
        <f ca="1">IF(tbl_senario[[#This Row],[prem_date]]&lt;=$B$4, 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423632.7827213658</v>
      </c>
      <c r="AI20" s="16">
        <f ca="1">IF(tbl_senario[[#This Row],[prem_date]]&lt;=$B$4, 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2283459.3030759147</v>
      </c>
      <c r="AJ20" s="16">
        <f ca="1">IF(tbl_senario[[#This Row],[prem_date]]&lt;=$B$4, 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3115600.7091169534</v>
      </c>
      <c r="AK20" s="16">
        <f ca="1">IF(tbl_senario[[#This Row],[prem_date]]&lt;=$B$4, 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4036039.8346285503</v>
      </c>
      <c r="AL20" s="16">
        <f ca="1">IF(tbl_senario[[#This Row],[prem_date]]&lt;=$B$4, 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530152.9473766844</v>
      </c>
      <c r="AM20" s="16">
        <f ca="1">IF(tbl_senario[[#This Row],[prem_date]]&lt;=$B$4, 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323965.72940490174</v>
      </c>
      <c r="AN20" s="16">
        <f ca="1">IF(tbl_senario[[#This Row],[prem_date]]&lt;=$B$4, 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4107548.4123590775</v>
      </c>
      <c r="AO20" s="16">
        <f ca="1">IF(tbl_senario[[#This Row],[prem_date]]&lt;=$B$4, 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3973573.7714479314</v>
      </c>
      <c r="AP20" s="16">
        <f ca="1">IF(tbl_senario[[#This Row],[prem_date]]&lt;=$B$4, 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2412.2521537939674</v>
      </c>
      <c r="AQ20" s="16">
        <f ca="1">IF(tbl_senario[[#This Row],[prem_date]]&lt;=$B$4, 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3181984.0139804627</v>
      </c>
    </row>
    <row r="21" spans="2:43">
      <c r="B21" s="17" t="s">
        <v>104</v>
      </c>
      <c r="C21" s="17" t="s">
        <v>118</v>
      </c>
      <c r="D21" s="17">
        <v>-500</v>
      </c>
      <c r="E21" s="17">
        <v>3599.9999997999998</v>
      </c>
      <c r="F21" s="15">
        <v>43048</v>
      </c>
      <c r="G21" s="15">
        <v>43203.625</v>
      </c>
      <c r="H21" s="15">
        <v>43048</v>
      </c>
      <c r="I21" s="17">
        <v>931199.99399999995</v>
      </c>
      <c r="J21" s="17" t="s">
        <v>8</v>
      </c>
      <c r="K21" s="17" t="s">
        <v>112</v>
      </c>
      <c r="L21" s="17" t="s">
        <v>65</v>
      </c>
      <c r="M21" s="17">
        <v>-5000</v>
      </c>
      <c r="N21" s="17">
        <v>3949</v>
      </c>
      <c r="O21" s="17">
        <v>0.18</v>
      </c>
      <c r="P21" s="17" t="s">
        <v>175</v>
      </c>
      <c r="Q21" s="17" t="s">
        <v>176</v>
      </c>
      <c r="R21" s="17" t="s">
        <v>177</v>
      </c>
      <c r="S21" s="17" t="s">
        <v>178</v>
      </c>
      <c r="T21" s="17" t="s">
        <v>179</v>
      </c>
      <c r="U21" s="17" t="s">
        <v>180</v>
      </c>
      <c r="V21" s="17" t="s">
        <v>181</v>
      </c>
      <c r="W21" s="17" t="s">
        <v>182</v>
      </c>
      <c r="X21" s="17" t="s">
        <v>183</v>
      </c>
      <c r="Y21" s="17" t="s">
        <v>184</v>
      </c>
      <c r="Z21" s="17" t="s">
        <v>185</v>
      </c>
      <c r="AA21" s="17" t="s">
        <v>186</v>
      </c>
      <c r="AB21" s="17" t="s">
        <v>187</v>
      </c>
      <c r="AC21" s="17"/>
      <c r="AD21" s="18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0.18</v>
      </c>
      <c r="AE21" s="16">
        <f ca="1">IF(tbl_senario[[#This Row],[prem_date]]&lt;=$B$4, 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-46334.11469268128</v>
      </c>
      <c r="AF21" s="16">
        <f ca="1">IF(tbl_senario[[#This Row],[prem_date]]&lt;=$B$4, 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-14633.682469282394</v>
      </c>
      <c r="AG21" s="16">
        <f ca="1">IF(tbl_senario[[#This Row],[prem_date]]&lt;=$B$4, 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-3821.1724371139703</v>
      </c>
      <c r="AH21" s="16">
        <f ca="1">IF(tbl_senario[[#This Row],[prem_date]]&lt;=$B$4, 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-899.41752998861602</v>
      </c>
      <c r="AI21" s="16">
        <f ca="1">IF(tbl_senario[[#This Row],[prem_date]]&lt;=$B$4, 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-125809.09492059918</v>
      </c>
      <c r="AJ21" s="16">
        <f ca="1">IF(tbl_senario[[#This Row],[prem_date]]&lt;=$B$4, 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-299338.48311845935</v>
      </c>
      <c r="AK21" s="16">
        <f ca="1">IF(tbl_senario[[#This Row],[prem_date]]&lt;=$B$4, 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-595427.19335469464</v>
      </c>
      <c r="AL21" s="16">
        <f ca="1">IF(tbl_senario[[#This Row],[prem_date]]&lt;=$B$4, 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-2295.6521944692558</v>
      </c>
      <c r="AM21" s="16">
        <f ca="1">IF(tbl_senario[[#This Row],[prem_date]]&lt;=$B$4, 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-267.50029593679875</v>
      </c>
      <c r="AN21" s="16">
        <f ca="1">IF(tbl_senario[[#This Row],[prem_date]]&lt;=$B$4, 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-641830.49704426411</v>
      </c>
      <c r="AO21" s="16">
        <f ca="1">IF(tbl_senario[[#This Row],[prem_date]]&lt;=$B$4, 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-549193.65740876831</v>
      </c>
      <c r="AP21" s="16">
        <f ca="1">IF(tbl_senario[[#This Row],[prem_date]]&lt;=$B$4, 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-3.35033047228468E-3</v>
      </c>
      <c r="AQ21" s="16">
        <f ca="1">IF(tbl_senario[[#This Row],[prem_date]]&lt;=$B$4, 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-1250148.4493215459</v>
      </c>
    </row>
    <row r="22" spans="2:43">
      <c r="B22" s="17" t="s">
        <v>105</v>
      </c>
      <c r="C22" s="17" t="s">
        <v>118</v>
      </c>
      <c r="D22" s="17">
        <v>-500</v>
      </c>
      <c r="E22" s="17">
        <v>4000.0000002000002</v>
      </c>
      <c r="F22" s="15">
        <v>43048</v>
      </c>
      <c r="G22" s="15">
        <v>43203.625</v>
      </c>
      <c r="H22" s="15">
        <v>43048</v>
      </c>
      <c r="I22" s="17">
        <v>1122200.0019999999</v>
      </c>
      <c r="J22" s="17" t="s">
        <v>46</v>
      </c>
      <c r="K22" s="17" t="s">
        <v>112</v>
      </c>
      <c r="L22" s="17" t="s">
        <v>65</v>
      </c>
      <c r="M22" s="17">
        <v>-5000</v>
      </c>
      <c r="N22" s="17">
        <v>3949</v>
      </c>
      <c r="O22" s="17">
        <v>0.18</v>
      </c>
      <c r="P22" s="17" t="s">
        <v>175</v>
      </c>
      <c r="Q22" s="17" t="s">
        <v>176</v>
      </c>
      <c r="R22" s="17" t="s">
        <v>177</v>
      </c>
      <c r="S22" s="17" t="s">
        <v>178</v>
      </c>
      <c r="T22" s="17" t="s">
        <v>179</v>
      </c>
      <c r="U22" s="17" t="s">
        <v>180</v>
      </c>
      <c r="V22" s="17" t="s">
        <v>181</v>
      </c>
      <c r="W22" s="17" t="s">
        <v>182</v>
      </c>
      <c r="X22" s="17" t="s">
        <v>183</v>
      </c>
      <c r="Y22" s="17" t="s">
        <v>184</v>
      </c>
      <c r="Z22" s="17" t="s">
        <v>185</v>
      </c>
      <c r="AA22" s="17" t="s">
        <v>186</v>
      </c>
      <c r="AB22" s="17" t="s">
        <v>187</v>
      </c>
      <c r="AC22" s="17"/>
      <c r="AD22" s="18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0.18</v>
      </c>
      <c r="AE22" s="16">
        <f ca="1">IF(tbl_senario[[#This Row],[prem_date]]&lt;=$B$4, 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-407278.21917701379</v>
      </c>
      <c r="AF22" s="16">
        <f ca="1">IF(tbl_senario[[#This Row],[prem_date]]&lt;=$B$4, 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-754173.75658483792</v>
      </c>
      <c r="AG22" s="16">
        <f ca="1">IF(tbl_senario[[#This Row],[prem_date]]&lt;=$B$4, 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-1233010.9579772553</v>
      </c>
      <c r="AH22" s="16">
        <f ca="1">IF(tbl_senario[[#This Row],[prem_date]]&lt;=$B$4, 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-1785663.0699647008</v>
      </c>
      <c r="AI22" s="16">
        <f ca="1">IF(tbl_senario[[#This Row],[prem_date]]&lt;=$B$4, 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-185084.55814979482</v>
      </c>
      <c r="AJ22" s="16">
        <f ca="1">IF(tbl_senario[[#This Row],[prem_date]]&lt;=$B$4, 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-65842.98293315513</v>
      </c>
      <c r="AK22" s="16">
        <f ca="1">IF(tbl_senario[[#This Row],[prem_date]]&lt;=$B$4, 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-18685.378906469286</v>
      </c>
      <c r="AL22" s="16">
        <f ca="1">IF(tbl_senario[[#This Row],[prem_date]]&lt;=$B$4, 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-1812943.6720977733</v>
      </c>
      <c r="AM22" s="16">
        <f ca="1">IF(tbl_senario[[#This Row],[prem_date]]&lt;=$B$4, 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-1762305.6993693674</v>
      </c>
      <c r="AN22" s="16">
        <f ca="1">IF(tbl_senario[[#This Row],[prem_date]]&lt;=$B$4, 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-30492.590062953524</v>
      </c>
      <c r="AO22" s="16">
        <f ca="1">IF(tbl_senario[[#This Row],[prem_date]]&lt;=$B$4, 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-10091.285027207632</v>
      </c>
      <c r="AP22" s="16">
        <f ca="1">IF(tbl_senario[[#This Row],[prem_date]]&lt;=$B$4, 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-1695941.262640778</v>
      </c>
      <c r="AQ22" s="16">
        <f ca="1">IF(tbl_senario[[#This Row],[prem_date]]&lt;=$B$4, 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-7.2365837045531157E-4</v>
      </c>
    </row>
    <row r="23" spans="2:43">
      <c r="B23" s="17" t="s">
        <v>106</v>
      </c>
      <c r="C23" s="17" t="s">
        <v>119</v>
      </c>
      <c r="D23" s="17">
        <v>500</v>
      </c>
      <c r="E23" s="17">
        <v>450</v>
      </c>
      <c r="F23" s="15">
        <v>43048</v>
      </c>
      <c r="G23" s="15">
        <v>43203.625</v>
      </c>
      <c r="H23" s="15">
        <v>43048</v>
      </c>
      <c r="I23" s="17">
        <v>-760500</v>
      </c>
      <c r="J23" s="17" t="s">
        <v>8</v>
      </c>
      <c r="K23" s="17" t="s">
        <v>109</v>
      </c>
      <c r="L23" s="17" t="s">
        <v>138</v>
      </c>
      <c r="M23" s="17">
        <v>50000</v>
      </c>
      <c r="N23" s="17">
        <v>548.5</v>
      </c>
      <c r="O23" s="17">
        <v>0.36</v>
      </c>
      <c r="P23" s="17" t="s">
        <v>175</v>
      </c>
      <c r="Q23" s="17" t="s">
        <v>188</v>
      </c>
      <c r="R23" s="17" t="s">
        <v>189</v>
      </c>
      <c r="S23" s="17" t="s">
        <v>190</v>
      </c>
      <c r="T23" s="17" t="s">
        <v>191</v>
      </c>
      <c r="U23" s="17" t="s">
        <v>192</v>
      </c>
      <c r="V23" s="17" t="s">
        <v>193</v>
      </c>
      <c r="W23" s="17" t="s">
        <v>194</v>
      </c>
      <c r="X23" s="17" t="s">
        <v>195</v>
      </c>
      <c r="Y23" s="17" t="s">
        <v>196</v>
      </c>
      <c r="Z23" s="17" t="s">
        <v>197</v>
      </c>
      <c r="AA23" s="17" t="s">
        <v>198</v>
      </c>
      <c r="AB23" s="17" t="s">
        <v>199</v>
      </c>
      <c r="AC23" s="17">
        <v>0.27</v>
      </c>
      <c r="AD23" s="18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0.2986987951807229</v>
      </c>
      <c r="AE23" s="16">
        <f ca="1">IF(tbl_senario[[#This Row],[prem_date]]&lt;=$B$4, 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39180.972081358792</v>
      </c>
      <c r="AF23" s="16">
        <f ca="1">IF(tbl_senario[[#This Row],[prem_date]]&lt;=$B$4, 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16258.604377242151</v>
      </c>
      <c r="AG23" s="16">
        <f ca="1">IF(tbl_senario[[#This Row],[prem_date]]&lt;=$B$4, 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6203.8988727812775</v>
      </c>
      <c r="AH23" s="16">
        <f ca="1">IF(tbl_senario[[#This Row],[prem_date]]&lt;=$B$4, 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2298.6439594723083</v>
      </c>
      <c r="AI23" s="16">
        <f ca="1">IF(tbl_senario[[#This Row],[prem_date]]&lt;=$B$4, 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88615.837997790732</v>
      </c>
      <c r="AJ23" s="16">
        <f ca="1">IF(tbl_senario[[#This Row],[prem_date]]&lt;=$B$4, 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190730.55230098314</v>
      </c>
      <c r="AK23" s="16">
        <f ca="1">IF(tbl_senario[[#This Row],[prem_date]]&lt;=$B$4, 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373951.81311318139</v>
      </c>
      <c r="AL23" s="16">
        <f ca="1">IF(tbl_senario[[#This Row],[prem_date]]&lt;=$B$4, 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5735.1047504575035</v>
      </c>
      <c r="AM23" s="16">
        <f ca="1">IF(tbl_senario[[#This Row],[prem_date]]&lt;=$B$4, 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704.75234193742835</v>
      </c>
      <c r="AN23" s="16">
        <f ca="1">IF(tbl_senario[[#This Row],[prem_date]]&lt;=$B$4, 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456398.26914681681</v>
      </c>
      <c r="AO23" s="16">
        <f ca="1">IF(tbl_senario[[#This Row],[prem_date]]&lt;=$B$4, 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295325.91955428821</v>
      </c>
      <c r="AP23" s="16">
        <f ca="1">IF(tbl_senario[[#This Row],[prem_date]]&lt;=$B$4, 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0.69679515745091092</v>
      </c>
      <c r="AQ23" s="16">
        <f ca="1">IF(tbl_senario[[#This Row],[prem_date]]&lt;=$B$4, 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1362273.8999625414</v>
      </c>
    </row>
    <row r="24" spans="2:43">
      <c r="B24" s="17" t="s">
        <v>107</v>
      </c>
      <c r="C24" s="17" t="s">
        <v>119</v>
      </c>
      <c r="D24" s="17">
        <v>1500</v>
      </c>
      <c r="E24" s="17">
        <v>4000</v>
      </c>
      <c r="F24" s="15">
        <v>43048</v>
      </c>
      <c r="G24" s="15">
        <v>43203.625</v>
      </c>
      <c r="H24" s="15">
        <v>43048</v>
      </c>
      <c r="I24" s="17">
        <v>-2317950</v>
      </c>
      <c r="J24" s="17" t="s">
        <v>46</v>
      </c>
      <c r="K24" s="17" t="s">
        <v>112</v>
      </c>
      <c r="L24" s="17" t="s">
        <v>65</v>
      </c>
      <c r="M24" s="17">
        <v>15000</v>
      </c>
      <c r="N24" s="17">
        <v>3949</v>
      </c>
      <c r="O24" s="17">
        <v>0.18</v>
      </c>
      <c r="P24" s="17" t="s">
        <v>175</v>
      </c>
      <c r="Q24" s="17" t="s">
        <v>176</v>
      </c>
      <c r="R24" s="17" t="s">
        <v>177</v>
      </c>
      <c r="S24" s="17" t="s">
        <v>178</v>
      </c>
      <c r="T24" s="17" t="s">
        <v>179</v>
      </c>
      <c r="U24" s="17" t="s">
        <v>180</v>
      </c>
      <c r="V24" s="17" t="s">
        <v>181</v>
      </c>
      <c r="W24" s="17" t="s">
        <v>182</v>
      </c>
      <c r="X24" s="17" t="s">
        <v>183</v>
      </c>
      <c r="Y24" s="17" t="s">
        <v>184</v>
      </c>
      <c r="Z24" s="17" t="s">
        <v>185</v>
      </c>
      <c r="AA24" s="17" t="s">
        <v>186</v>
      </c>
      <c r="AB24" s="17" t="s">
        <v>187</v>
      </c>
      <c r="AC24" s="17">
        <v>0.255</v>
      </c>
      <c r="AD24" s="18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0.23108433734939759</v>
      </c>
      <c r="AE24" s="16">
        <f ca="1">IF(tbl_senario[[#This Row],[prem_date]]&lt;=$B$4, 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1661832.4244850336</v>
      </c>
      <c r="AF24" s="16">
        <f ca="1">IF(tbl_senario[[#This Row],[prem_date]]&lt;=$B$4, 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2701075.6935659465</v>
      </c>
      <c r="AG24" s="16">
        <f ca="1">IF(tbl_senario[[#This Row],[prem_date]]&lt;=$B$4, 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4062285.7518315311</v>
      </c>
      <c r="AH24" s="16">
        <f ca="1">IF(tbl_senario[[#This Row],[prem_date]]&lt;=$B$4, 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5614555.2007715879</v>
      </c>
      <c r="AI24" s="16">
        <f ca="1">IF(tbl_senario[[#This Row],[prem_date]]&lt;=$B$4, 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918348.24444845074</v>
      </c>
      <c r="AJ24" s="16">
        <f ca="1">IF(tbl_senario[[#This Row],[prem_date]]&lt;=$B$4, 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435751.15210700326</v>
      </c>
      <c r="AK24" s="16">
        <f ca="1">IF(tbl_senario[[#This Row],[prem_date]]&lt;=$B$4, 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181166.29526296278</v>
      </c>
      <c r="AL24" s="16">
        <f ca="1">IF(tbl_senario[[#This Row],[prem_date]]&lt;=$B$4, 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5752906.3391942456</v>
      </c>
      <c r="AM24" s="16">
        <f ca="1">IF(tbl_senario[[#This Row],[prem_date]]&lt;=$B$4, 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5488646.3295501303</v>
      </c>
      <c r="AN24" s="16">
        <f ca="1">IF(tbl_senario[[#This Row],[prem_date]]&lt;=$B$4, 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261135.52609504815</v>
      </c>
      <c r="AO24" s="16">
        <f ca="1">IF(tbl_senario[[#This Row],[prem_date]]&lt;=$B$4, 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115247.66919222468</v>
      </c>
      <c r="AP24" s="16">
        <f ca="1">IF(tbl_senario[[#This Row],[prem_date]]&lt;=$B$4, 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5088646.291905582</v>
      </c>
      <c r="AQ24" s="16">
        <f ca="1">IF(tbl_senario[[#This Row],[prem_date]]&lt;=$B$4, 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1.9382719909844748</v>
      </c>
    </row>
    <row r="25" spans="2:43">
      <c r="B25" s="17" t="s">
        <v>108</v>
      </c>
      <c r="C25" s="17" t="s">
        <v>119</v>
      </c>
      <c r="D25" s="17">
        <v>1500</v>
      </c>
      <c r="E25" s="17">
        <v>3600</v>
      </c>
      <c r="F25" s="15">
        <v>43048</v>
      </c>
      <c r="G25" s="15">
        <v>43203.625</v>
      </c>
      <c r="H25" s="15">
        <v>43048</v>
      </c>
      <c r="I25" s="17">
        <v>-2277450</v>
      </c>
      <c r="J25" s="17" t="s">
        <v>8</v>
      </c>
      <c r="K25" s="17" t="s">
        <v>112</v>
      </c>
      <c r="L25" s="17" t="s">
        <v>65</v>
      </c>
      <c r="M25" s="17">
        <v>15000</v>
      </c>
      <c r="N25" s="17">
        <v>3949</v>
      </c>
      <c r="O25" s="17">
        <v>0.18</v>
      </c>
      <c r="P25" s="17" t="s">
        <v>175</v>
      </c>
      <c r="Q25" s="17" t="s">
        <v>176</v>
      </c>
      <c r="R25" s="17" t="s">
        <v>177</v>
      </c>
      <c r="S25" s="17" t="s">
        <v>178</v>
      </c>
      <c r="T25" s="17" t="s">
        <v>179</v>
      </c>
      <c r="U25" s="17" t="s">
        <v>180</v>
      </c>
      <c r="V25" s="17" t="s">
        <v>181</v>
      </c>
      <c r="W25" s="17" t="s">
        <v>182</v>
      </c>
      <c r="X25" s="17" t="s">
        <v>183</v>
      </c>
      <c r="Y25" s="17" t="s">
        <v>184</v>
      </c>
      <c r="Z25" s="17" t="s">
        <v>185</v>
      </c>
      <c r="AA25" s="17" t="s">
        <v>186</v>
      </c>
      <c r="AB25" s="17" t="s">
        <v>187</v>
      </c>
      <c r="AC25" s="17">
        <v>0.255</v>
      </c>
      <c r="AD25" s="18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0.23108433734939759</v>
      </c>
      <c r="AE25" s="16">
        <f ca="1">IF(tbl_senario[[#This Row],[prem_date]]&lt;=$B$4, 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338860.17162005772</v>
      </c>
      <c r="AF25" s="16">
        <f ca="1">IF(tbl_senario[[#This Row],[prem_date]]&lt;=$B$4, 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154181.55086621171</v>
      </c>
      <c r="AG25" s="16">
        <f ca="1">IF(tbl_senario[[#This Row],[prem_date]]&lt;=$B$4, 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62857.69616501683</v>
      </c>
      <c r="AH25" s="16">
        <f ca="1">IF(tbl_senario[[#This Row],[prem_date]]&lt;=$B$4, 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24301.498022250231</v>
      </c>
      <c r="AI25" s="16">
        <f ca="1">IF(tbl_senario[[#This Row],[prem_date]]&lt;=$B$4, 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683975.14138240414</v>
      </c>
      <c r="AJ25" s="16">
        <f ca="1">IF(tbl_senario[[#This Row],[prem_date]]&lt;=$B$4, 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1288150.8887225394</v>
      </c>
      <c r="AK25" s="16">
        <f ca="1">IF(tbl_senario[[#This Row],[prem_date]]&lt;=$B$4, 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2182279.5709816269</v>
      </c>
      <c r="AL25" s="16">
        <f ca="1">IF(tbl_senario[[#This Row],[prem_date]]&lt;=$B$4, 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46523.241737575016</v>
      </c>
      <c r="AM25" s="16">
        <f ca="1">IF(tbl_senario[[#This Row],[prem_date]]&lt;=$B$4, 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10615.290847474533</v>
      </c>
      <c r="AN25" s="16">
        <f ca="1">IF(tbl_senario[[#This Row],[prem_date]]&lt;=$B$4, 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2362124.7797634769</v>
      </c>
      <c r="AO25" s="16">
        <f ca="1">IF(tbl_senario[[#This Row],[prem_date]]&lt;=$B$4, 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2002813.3017841096</v>
      </c>
      <c r="AP25" s="16">
        <f ca="1">IF(tbl_senario[[#This Row],[prem_date]]&lt;=$B$4, 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5.5760176867456988</v>
      </c>
      <c r="AQ25" s="16">
        <f ca="1">IF(tbl_senario[[#This Row],[prem_date]]&lt;=$B$4, 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3750760.0647682697</v>
      </c>
    </row>
    <row r="26" spans="2:43">
      <c r="B26" s="17" t="s">
        <v>7</v>
      </c>
      <c r="C26" s="17" t="s">
        <v>130</v>
      </c>
      <c r="D26" s="17">
        <v>100</v>
      </c>
      <c r="E26" s="17">
        <v>50000.000004000001</v>
      </c>
      <c r="F26" s="15">
        <v>43123</v>
      </c>
      <c r="G26" s="15">
        <v>43183.625</v>
      </c>
      <c r="H26" s="15">
        <v>43123</v>
      </c>
      <c r="I26" s="17">
        <v>-50000.004000000001</v>
      </c>
      <c r="J26" s="17" t="s">
        <v>8</v>
      </c>
      <c r="K26" s="17" t="s">
        <v>9</v>
      </c>
      <c r="L26" s="17" t="s">
        <v>1</v>
      </c>
      <c r="M26" s="17">
        <v>500</v>
      </c>
      <c r="N26" s="17">
        <v>53820</v>
      </c>
      <c r="O26" s="17">
        <v>0.14000000000000001</v>
      </c>
      <c r="P26" s="17" t="s">
        <v>175</v>
      </c>
      <c r="Q26" s="17" t="s">
        <v>248</v>
      </c>
      <c r="R26" s="17" t="s">
        <v>249</v>
      </c>
      <c r="S26" s="17" t="s">
        <v>250</v>
      </c>
      <c r="T26" s="17" t="s">
        <v>251</v>
      </c>
      <c r="U26" s="17" t="s">
        <v>252</v>
      </c>
      <c r="V26" s="17" t="s">
        <v>253</v>
      </c>
      <c r="W26" s="17" t="s">
        <v>254</v>
      </c>
      <c r="X26" s="17" t="s">
        <v>255</v>
      </c>
      <c r="Y26" s="17" t="s">
        <v>256</v>
      </c>
      <c r="Z26" s="17" t="s">
        <v>257</v>
      </c>
      <c r="AA26" s="17" t="s">
        <v>258</v>
      </c>
      <c r="AB26" s="17" t="s">
        <v>259</v>
      </c>
      <c r="AC26" s="17">
        <v>0.12</v>
      </c>
      <c r="AD26" s="18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0.12977319587628866</v>
      </c>
      <c r="AE26" s="16">
        <f ca="1">IF(tbl_senario[[#This Row],[prem_date]]&lt;=$B$4, 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8318.8642522749178</v>
      </c>
      <c r="AF26" s="16">
        <f ca="1">IF(tbl_senario[[#This Row],[prem_date]]&lt;=$B$4, 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1781.8637254230177</v>
      </c>
      <c r="AG26" s="16">
        <f ca="1">IF(tbl_senario[[#This Row],[prem_date]]&lt;=$B$4, 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282.44576099865805</v>
      </c>
      <c r="AH26" s="16">
        <f ca="1">IF(tbl_senario[[#This Row],[prem_date]]&lt;=$B$4, 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39.697849193472237</v>
      </c>
      <c r="AI26" s="16">
        <f ca="1">IF(tbl_senario[[#This Row],[prem_date]]&lt;=$B$4, 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31454.049320064751</v>
      </c>
      <c r="AJ26" s="16">
        <f ca="1">IF(tbl_senario[[#This Row],[prem_date]]&lt;=$B$4, 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101440.36168228478</v>
      </c>
      <c r="AK26" s="16">
        <f ca="1">IF(tbl_senario[[#This Row],[prem_date]]&lt;=$B$4, 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251408.1642071855</v>
      </c>
      <c r="AL26" s="16">
        <f ca="1">IF(tbl_senario[[#This Row],[prem_date]]&lt;=$B$4, 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156.83626896677518</v>
      </c>
      <c r="AM26" s="16">
        <f ca="1">IF(tbl_senario[[#This Row],[prem_date]]&lt;=$B$4, 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6.5673614910687963</v>
      </c>
      <c r="AN26" s="16">
        <f ca="1">IF(tbl_senario[[#This Row],[prem_date]]&lt;=$B$4, 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287034.52633727645</v>
      </c>
      <c r="AO26" s="16">
        <f ca="1">IF(tbl_senario[[#This Row],[prem_date]]&lt;=$B$4, 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216079.69152702665</v>
      </c>
      <c r="AP26" s="16">
        <f ca="1">IF(tbl_senario[[#This Row],[prem_date]]&lt;=$B$4, 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1.4382929092003185E-6</v>
      </c>
      <c r="AQ26" s="16">
        <f ca="1">IF(tbl_senario[[#This Row],[prem_date]]&lt;=$B$4, 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902908.887050619</v>
      </c>
    </row>
    <row r="27" spans="2:43">
      <c r="B27" s="17" t="s">
        <v>173</v>
      </c>
      <c r="C27" s="17" t="s">
        <v>119</v>
      </c>
      <c r="D27" s="17">
        <v>1000</v>
      </c>
      <c r="E27" s="17">
        <v>3929.9999985759996</v>
      </c>
      <c r="F27" s="15">
        <v>43154</v>
      </c>
      <c r="G27" s="15">
        <v>43182.625</v>
      </c>
      <c r="H27" s="15">
        <v>43154</v>
      </c>
      <c r="I27" s="17">
        <v>-271800</v>
      </c>
      <c r="J27" s="17" t="s">
        <v>46</v>
      </c>
      <c r="K27" s="17" t="s">
        <v>112</v>
      </c>
      <c r="L27" s="17" t="s">
        <v>65</v>
      </c>
      <c r="M27" s="17">
        <v>10000</v>
      </c>
      <c r="N27" s="17">
        <v>3949</v>
      </c>
      <c r="O27" s="17">
        <v>0.18</v>
      </c>
      <c r="P27" s="17" t="s">
        <v>175</v>
      </c>
      <c r="Q27" s="17" t="s">
        <v>176</v>
      </c>
      <c r="R27" s="17" t="s">
        <v>177</v>
      </c>
      <c r="S27" s="17" t="s">
        <v>178</v>
      </c>
      <c r="T27" s="17" t="s">
        <v>179</v>
      </c>
      <c r="U27" s="17" t="s">
        <v>180</v>
      </c>
      <c r="V27" s="17" t="s">
        <v>181</v>
      </c>
      <c r="W27" s="17" t="s">
        <v>182</v>
      </c>
      <c r="X27" s="17" t="s">
        <v>183</v>
      </c>
      <c r="Y27" s="17" t="s">
        <v>184</v>
      </c>
      <c r="Z27" s="17" t="s">
        <v>185</v>
      </c>
      <c r="AA27" s="17" t="s">
        <v>186</v>
      </c>
      <c r="AB27" s="17" t="s">
        <v>187</v>
      </c>
      <c r="AC27" s="17">
        <v>0.13500000000000001</v>
      </c>
      <c r="AD27" s="18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0.18</v>
      </c>
      <c r="AE27" s="16">
        <f ca="1">IF(tbl_senario[[#This Row],[prem_date]]&lt;=$B$4, 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889369.96993705537</v>
      </c>
      <c r="AF27" s="16">
        <f ca="1">IF(tbl_senario[[#This Row],[prem_date]]&lt;=$B$4, 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1759806.7403349862</v>
      </c>
      <c r="AG27" s="16">
        <f ca="1">IF(tbl_senario[[#This Row],[prem_date]]&lt;=$B$4, 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2909458.7404956296</v>
      </c>
      <c r="AH27" s="16">
        <f ca="1">IF(tbl_senario[[#This Row],[prem_date]]&lt;=$B$4, 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4150815.8793570716</v>
      </c>
      <c r="AI27" s="16">
        <f ca="1">IF(tbl_senario[[#This Row],[prem_date]]&lt;=$B$4, 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345126.46331730468</v>
      </c>
      <c r="AJ27" s="16">
        <f ca="1">IF(tbl_senario[[#This Row],[prem_date]]&lt;=$B$4, 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90927.063106565154</v>
      </c>
      <c r="AK27" s="16">
        <f ca="1">IF(tbl_senario[[#This Row],[prem_date]]&lt;=$B$4, 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16204.395834964824</v>
      </c>
      <c r="AL27" s="16">
        <f ca="1">IF(tbl_senario[[#This Row],[prem_date]]&lt;=$B$4, 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4164678.6766323121</v>
      </c>
      <c r="AM27" s="16">
        <f ca="1">IF(tbl_senario[[#This Row],[prem_date]]&lt;=$B$4, 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4141472.4599076035</v>
      </c>
      <c r="AN27" s="16">
        <f ca="1">IF(tbl_senario[[#This Row],[prem_date]]&lt;=$B$4, 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28564.011918284745</v>
      </c>
      <c r="AO27" s="16">
        <f ca="1">IF(tbl_senario[[#This Row],[prem_date]]&lt;=$B$4, 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7900.4058157608015</v>
      </c>
      <c r="AP27" s="16">
        <f ca="1">IF(tbl_senario[[#This Row],[prem_date]]&lt;=$B$4, 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3605440.465223744</v>
      </c>
      <c r="AQ27" s="16">
        <f ca="1">IF(tbl_senario[[#This Row],[prem_date]]&lt;=$B$4, 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1.011955525886889E-7</v>
      </c>
    </row>
    <row r="28" spans="2:43">
      <c r="B28" s="17" t="s">
        <v>174</v>
      </c>
      <c r="C28" s="17" t="s">
        <v>119</v>
      </c>
      <c r="D28" s="17">
        <v>1000</v>
      </c>
      <c r="E28" s="17">
        <v>3799.999998368</v>
      </c>
      <c r="F28" s="15">
        <v>43154</v>
      </c>
      <c r="G28" s="15">
        <v>43182.625</v>
      </c>
      <c r="H28" s="15">
        <v>43154</v>
      </c>
      <c r="I28" s="17">
        <v>-388800</v>
      </c>
      <c r="J28" s="17" t="s">
        <v>8</v>
      </c>
      <c r="K28" s="17" t="s">
        <v>112</v>
      </c>
      <c r="L28" s="17" t="s">
        <v>65</v>
      </c>
      <c r="M28" s="17">
        <v>10000</v>
      </c>
      <c r="N28" s="17">
        <v>3949</v>
      </c>
      <c r="O28" s="17">
        <v>0.18</v>
      </c>
      <c r="P28" s="17" t="s">
        <v>175</v>
      </c>
      <c r="Q28" s="17" t="s">
        <v>176</v>
      </c>
      <c r="R28" s="17" t="s">
        <v>177</v>
      </c>
      <c r="S28" s="17" t="s">
        <v>178</v>
      </c>
      <c r="T28" s="17" t="s">
        <v>179</v>
      </c>
      <c r="U28" s="17" t="s">
        <v>180</v>
      </c>
      <c r="V28" s="17" t="s">
        <v>181</v>
      </c>
      <c r="W28" s="17" t="s">
        <v>182</v>
      </c>
      <c r="X28" s="17" t="s">
        <v>183</v>
      </c>
      <c r="Y28" s="17" t="s">
        <v>184</v>
      </c>
      <c r="Z28" s="17" t="s">
        <v>185</v>
      </c>
      <c r="AA28" s="17" t="s">
        <v>186</v>
      </c>
      <c r="AB28" s="17" t="s">
        <v>187</v>
      </c>
      <c r="AC28" s="17">
        <v>0.13500000000000001</v>
      </c>
      <c r="AD28" s="18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0.18</v>
      </c>
      <c r="AE28" s="16">
        <f ca="1">IF(tbl_senario[[#This Row],[prem_date]]&lt;=$B$4, 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249986.22279545429</v>
      </c>
      <c r="AF28" s="16">
        <f ca="1">IF(tbl_senario[[#This Row],[prem_date]]&lt;=$B$4, 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71516.152412322554</v>
      </c>
      <c r="AG28" s="16">
        <f ca="1">IF(tbl_senario[[#This Row],[prem_date]]&lt;=$B$4, 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14955.546779233642</v>
      </c>
      <c r="AH28" s="16">
        <f ca="1">IF(tbl_senario[[#This Row],[prem_date]]&lt;=$B$4, 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2518.4275148156321</v>
      </c>
      <c r="AI28" s="16">
        <f ca="1">IF(tbl_senario[[#This Row],[prem_date]]&lt;=$B$4, 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675119.07402005664</v>
      </c>
      <c r="AJ28" s="16">
        <f ca="1">IF(tbl_senario[[#This Row],[prem_date]]&lt;=$B$4, 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1465060.2132370085</v>
      </c>
      <c r="AK28" s="16">
        <f ca="1">IF(tbl_senario[[#This Row],[prem_date]]&lt;=$B$4, 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2534589.7533849534</v>
      </c>
      <c r="AL28" s="16">
        <f ca="1">IF(tbl_senario[[#This Row],[prem_date]]&lt;=$B$4, 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5890.0958506236038</v>
      </c>
      <c r="AM28" s="16">
        <f ca="1">IF(tbl_senario[[#This Row],[prem_date]]&lt;=$B$4, 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842.00627116258045</v>
      </c>
      <c r="AN28" s="16">
        <f ca="1">IF(tbl_senario[[#This Row],[prem_date]]&lt;=$B$4, 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2567744.9741551774</v>
      </c>
      <c r="AO28" s="16">
        <f ca="1">IF(tbl_senario[[#This Row],[prem_date]]&lt;=$B$4, 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2506814.3987799431</v>
      </c>
      <c r="AP28" s="16">
        <f ca="1">IF(tbl_senario[[#This Row],[prem_date]]&lt;=$B$4, 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1.2764163014759625E-4</v>
      </c>
      <c r="AQ28" s="16">
        <f ca="1">IF(tbl_senario[[#This Row],[prem_date]]&lt;=$B$4, 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3102230.3500541388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2</xdr:col>
                <xdr:colOff>0</xdr:colOff>
                <xdr:row>2</xdr:row>
                <xdr:rowOff>0</xdr:rowOff>
              </from>
              <to>
                <xdr:col>3</xdr:col>
                <xdr:colOff>152400</xdr:colOff>
                <xdr:row>4</xdr:row>
                <xdr:rowOff>19050</xdr:rowOff>
              </to>
            </anchor>
          </controlPr>
        </control>
      </mc:Choice>
      <mc:Fallback>
        <control shapeId="1025" r:id="rId3" name="CommandButton1"/>
      </mc:Fallback>
    </mc:AlternateContent>
  </controls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C5:H9"/>
  <sheetViews>
    <sheetView workbookViewId="0">
      <selection activeCell="H9" sqref="C5:H9"/>
    </sheetView>
  </sheetViews>
  <sheetFormatPr defaultRowHeight="13.5"/>
  <cols>
    <col min="3" max="3" width="37.5" customWidth="1"/>
    <col min="4" max="4" width="11" customWidth="1"/>
    <col min="5" max="5" width="9.875" customWidth="1"/>
    <col min="6" max="6" width="11.625" bestFit="1" customWidth="1"/>
    <col min="7" max="7" width="16.5" customWidth="1"/>
    <col min="8" max="8" width="16.125" customWidth="1"/>
  </cols>
  <sheetData>
    <row r="5" spans="3:8">
      <c r="C5" s="14" t="s">
        <v>159</v>
      </c>
      <c r="D5" s="14" t="s">
        <v>156</v>
      </c>
      <c r="E5" s="14" t="s">
        <v>157</v>
      </c>
      <c r="F5" s="14" t="s">
        <v>158</v>
      </c>
      <c r="G5" s="26" t="s">
        <v>160</v>
      </c>
      <c r="H5" s="25" t="s">
        <v>161</v>
      </c>
    </row>
    <row r="6" spans="3:8">
      <c r="C6" s="14" t="s">
        <v>70</v>
      </c>
      <c r="D6" s="14">
        <v>10000</v>
      </c>
      <c r="E6" s="14">
        <v>3720.0000015999999</v>
      </c>
      <c r="F6" s="23">
        <v>43205.625</v>
      </c>
      <c r="G6" s="24">
        <v>91.558626941717804</v>
      </c>
      <c r="H6" s="17">
        <v>50</v>
      </c>
    </row>
    <row r="7" spans="3:8">
      <c r="C7" s="14" t="s">
        <v>71</v>
      </c>
      <c r="D7" s="14">
        <v>10000</v>
      </c>
      <c r="E7" s="14">
        <v>3650.00000142</v>
      </c>
      <c r="F7" s="23">
        <v>43205.625</v>
      </c>
      <c r="G7" s="24">
        <v>62.653669021666843</v>
      </c>
      <c r="H7" s="17">
        <v>43</v>
      </c>
    </row>
    <row r="8" spans="3:8">
      <c r="C8" s="14" t="s">
        <v>72</v>
      </c>
      <c r="D8" s="14">
        <v>10000</v>
      </c>
      <c r="E8" s="14">
        <v>3650.0000014560001</v>
      </c>
      <c r="F8" s="23">
        <v>43189.625</v>
      </c>
      <c r="G8" s="24">
        <v>46.598445113950078</v>
      </c>
      <c r="H8" s="17">
        <v>47</v>
      </c>
    </row>
    <row r="9" spans="3:8">
      <c r="C9" s="14" t="s">
        <v>73</v>
      </c>
      <c r="D9" s="14">
        <v>5000</v>
      </c>
      <c r="E9" s="14">
        <v>3550.00000086</v>
      </c>
      <c r="F9" s="23">
        <v>43167.625</v>
      </c>
      <c r="G9" s="24">
        <v>4.4288120319890956</v>
      </c>
      <c r="H9" s="17">
        <v>63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8:N30"/>
  <sheetViews>
    <sheetView workbookViewId="0">
      <selection activeCell="K30" sqref="K30"/>
    </sheetView>
  </sheetViews>
  <sheetFormatPr defaultRowHeight="12"/>
  <cols>
    <col min="1" max="1" width="9" style="6"/>
    <col min="2" max="2" width="34.25" style="6" customWidth="1"/>
    <col min="3" max="3" width="9.5" style="6" customWidth="1"/>
    <col min="4" max="4" width="14" style="6" customWidth="1"/>
    <col min="5" max="5" width="15.125" style="6" customWidth="1"/>
    <col min="6" max="6" width="14" style="6" customWidth="1"/>
    <col min="7" max="7" width="12.875" style="6" customWidth="1"/>
    <col min="8" max="8" width="9" style="6"/>
    <col min="9" max="9" width="14" style="6" customWidth="1"/>
    <col min="10" max="10" width="10.625" style="6" customWidth="1"/>
    <col min="11" max="11" width="9.5" style="6" customWidth="1"/>
    <col min="12" max="16384" width="9" style="6"/>
  </cols>
  <sheetData>
    <row r="8" spans="2:14">
      <c r="B8" s="8" t="s">
        <v>4</v>
      </c>
      <c r="C8" s="1" t="s">
        <v>76</v>
      </c>
      <c r="D8" s="1" t="s">
        <v>77</v>
      </c>
      <c r="E8" s="2" t="s">
        <v>78</v>
      </c>
      <c r="F8" s="1" t="s">
        <v>79</v>
      </c>
      <c r="G8" s="1" t="s">
        <v>80</v>
      </c>
      <c r="H8" s="1" t="s">
        <v>81</v>
      </c>
      <c r="I8" s="1" t="s">
        <v>82</v>
      </c>
      <c r="J8" s="1" t="s">
        <v>83</v>
      </c>
      <c r="K8" s="1" t="s">
        <v>5</v>
      </c>
      <c r="L8" s="1" t="s">
        <v>6</v>
      </c>
      <c r="M8" s="1" t="s">
        <v>84</v>
      </c>
      <c r="N8" s="6" t="s">
        <v>94</v>
      </c>
    </row>
    <row r="9" spans="2:14">
      <c r="B9" s="3" t="s">
        <v>69</v>
      </c>
      <c r="C9" s="3">
        <v>500</v>
      </c>
      <c r="D9" s="4">
        <v>43140</v>
      </c>
      <c r="E9" s="4">
        <v>43219.625</v>
      </c>
      <c r="F9" s="4">
        <v>43219</v>
      </c>
      <c r="G9" s="4">
        <v>43140</v>
      </c>
      <c r="H9" s="12">
        <v>3699.9999992799999</v>
      </c>
      <c r="I9" s="12">
        <v>-275000.00800000003</v>
      </c>
      <c r="J9" s="3" t="s">
        <v>8</v>
      </c>
      <c r="K9" s="5" t="s">
        <v>97</v>
      </c>
      <c r="L9" s="3" t="s">
        <v>67</v>
      </c>
      <c r="M9" s="3" t="s">
        <v>113</v>
      </c>
      <c r="N9" s="6">
        <v>0.125</v>
      </c>
    </row>
    <row r="10" spans="2:14">
      <c r="B10" s="3" t="s">
        <v>70</v>
      </c>
      <c r="C10" s="3">
        <v>1000</v>
      </c>
      <c r="D10" s="4">
        <v>43140</v>
      </c>
      <c r="E10" s="4">
        <v>43205.625</v>
      </c>
      <c r="F10" s="4">
        <v>43205</v>
      </c>
      <c r="G10" s="4">
        <v>43140</v>
      </c>
      <c r="H10" s="12">
        <v>3720.0000015999999</v>
      </c>
      <c r="I10" s="12">
        <v>-499999.99575</v>
      </c>
      <c r="J10" s="3" t="s">
        <v>8</v>
      </c>
      <c r="K10" s="6" t="s">
        <v>97</v>
      </c>
      <c r="L10" s="3" t="s">
        <v>67</v>
      </c>
      <c r="M10" s="3" t="s">
        <v>114</v>
      </c>
      <c r="N10" s="6">
        <v>0.125</v>
      </c>
    </row>
    <row r="11" spans="2:14">
      <c r="B11" s="5" t="s">
        <v>98</v>
      </c>
      <c r="C11" s="5">
        <v>100</v>
      </c>
      <c r="D11" s="4">
        <v>43139</v>
      </c>
      <c r="E11" s="4">
        <v>43201.625</v>
      </c>
      <c r="F11" s="4">
        <v>43201</v>
      </c>
      <c r="G11" s="4">
        <v>43139</v>
      </c>
      <c r="H11" s="3">
        <v>524</v>
      </c>
      <c r="I11" s="3">
        <v>-235800</v>
      </c>
      <c r="J11" s="3" t="s">
        <v>8</v>
      </c>
      <c r="K11" s="6" t="s">
        <v>97</v>
      </c>
      <c r="L11" s="3" t="s">
        <v>109</v>
      </c>
      <c r="M11" s="3" t="s">
        <v>115</v>
      </c>
      <c r="N11" s="6">
        <v>0.125</v>
      </c>
    </row>
    <row r="12" spans="2:14">
      <c r="B12" s="5" t="s">
        <v>99</v>
      </c>
      <c r="C12" s="5">
        <v>100</v>
      </c>
      <c r="D12" s="4">
        <v>43139</v>
      </c>
      <c r="E12" s="4">
        <v>43201.625</v>
      </c>
      <c r="F12" s="4">
        <v>43201</v>
      </c>
      <c r="G12" s="4">
        <v>43139</v>
      </c>
      <c r="H12" s="3">
        <v>524</v>
      </c>
      <c r="I12" s="3">
        <v>-235800</v>
      </c>
      <c r="J12" s="3" t="s">
        <v>46</v>
      </c>
      <c r="K12" s="6" t="s">
        <v>97</v>
      </c>
      <c r="L12" s="3" t="s">
        <v>109</v>
      </c>
      <c r="M12" s="3" t="s">
        <v>115</v>
      </c>
      <c r="N12" s="6">
        <v>0.125</v>
      </c>
    </row>
    <row r="13" spans="2:14">
      <c r="B13" s="5" t="s">
        <v>71</v>
      </c>
      <c r="C13" s="5">
        <v>1000</v>
      </c>
      <c r="D13" s="4">
        <v>43132</v>
      </c>
      <c r="E13" s="4">
        <v>43205.625</v>
      </c>
      <c r="F13" s="4">
        <v>43205</v>
      </c>
      <c r="G13" s="4">
        <v>43132</v>
      </c>
      <c r="H13" s="3">
        <v>3650.00000142</v>
      </c>
      <c r="I13" s="3">
        <v>-429999.99489999999</v>
      </c>
      <c r="J13" s="3" t="s">
        <v>8</v>
      </c>
      <c r="K13" s="6" t="s">
        <v>97</v>
      </c>
      <c r="L13" s="3" t="s">
        <v>67</v>
      </c>
      <c r="M13" s="3" t="s">
        <v>114</v>
      </c>
      <c r="N13" s="6">
        <v>0.125</v>
      </c>
    </row>
    <row r="14" spans="2:14">
      <c r="B14" s="5" t="s">
        <v>72</v>
      </c>
      <c r="C14" s="5">
        <v>1000</v>
      </c>
      <c r="D14" s="4">
        <v>43129</v>
      </c>
      <c r="E14" s="4">
        <v>43189.625</v>
      </c>
      <c r="F14" s="4">
        <v>43189</v>
      </c>
      <c r="G14" s="4">
        <v>43129</v>
      </c>
      <c r="H14" s="6">
        <v>3650.0000014560001</v>
      </c>
      <c r="I14" s="6">
        <v>-470000.00880000001</v>
      </c>
      <c r="J14" s="6" t="s">
        <v>8</v>
      </c>
      <c r="K14" s="5" t="s">
        <v>97</v>
      </c>
      <c r="L14" s="6" t="s">
        <v>67</v>
      </c>
      <c r="M14" s="3" t="s">
        <v>114</v>
      </c>
      <c r="N14" s="6">
        <v>0.125</v>
      </c>
    </row>
    <row r="15" spans="2:14">
      <c r="B15" s="5" t="s">
        <v>10</v>
      </c>
      <c r="C15" s="5">
        <v>400</v>
      </c>
      <c r="D15" s="4">
        <v>43118</v>
      </c>
      <c r="E15" s="4">
        <v>43200.625</v>
      </c>
      <c r="F15" s="4">
        <v>43202</v>
      </c>
      <c r="G15" s="4">
        <v>43118</v>
      </c>
      <c r="H15" s="6">
        <v>14500.000004</v>
      </c>
      <c r="I15" s="6">
        <v>-400000</v>
      </c>
      <c r="J15" s="6" t="s">
        <v>8</v>
      </c>
      <c r="K15" s="6" t="s">
        <v>97</v>
      </c>
      <c r="L15" s="6" t="s">
        <v>11</v>
      </c>
      <c r="M15" s="3" t="s">
        <v>116</v>
      </c>
      <c r="N15" s="6">
        <v>0.12</v>
      </c>
    </row>
    <row r="16" spans="2:14">
      <c r="B16" s="5" t="s">
        <v>73</v>
      </c>
      <c r="C16" s="5">
        <v>500</v>
      </c>
      <c r="D16" s="4">
        <v>43104</v>
      </c>
      <c r="E16" s="4">
        <v>43167.625</v>
      </c>
      <c r="F16" s="4">
        <v>43167</v>
      </c>
      <c r="G16" s="4">
        <v>43104</v>
      </c>
      <c r="H16" s="6">
        <v>3550.00000086</v>
      </c>
      <c r="I16" s="6">
        <v>-315000.00594</v>
      </c>
      <c r="J16" s="6" t="s">
        <v>8</v>
      </c>
      <c r="K16" s="6" t="s">
        <v>97</v>
      </c>
      <c r="L16" s="6" t="s">
        <v>67</v>
      </c>
      <c r="M16" s="3" t="s">
        <v>114</v>
      </c>
      <c r="N16" s="6">
        <v>0.125</v>
      </c>
    </row>
    <row r="17" spans="2:14">
      <c r="B17" s="5" t="s">
        <v>44</v>
      </c>
      <c r="C17" s="5">
        <v>125</v>
      </c>
      <c r="D17" s="4">
        <v>43098</v>
      </c>
      <c r="E17" s="4">
        <v>43159.625</v>
      </c>
      <c r="F17" s="4">
        <v>43279</v>
      </c>
      <c r="G17" s="4">
        <v>43098</v>
      </c>
      <c r="H17" s="6">
        <v>10039.999997630001</v>
      </c>
      <c r="I17" s="6">
        <v>0</v>
      </c>
      <c r="J17" s="6" t="s">
        <v>46</v>
      </c>
      <c r="K17" s="6" t="s">
        <v>97</v>
      </c>
      <c r="L17" s="6" t="s">
        <v>47</v>
      </c>
      <c r="M17" s="3" t="s">
        <v>117</v>
      </c>
    </row>
    <row r="18" spans="2:14">
      <c r="B18" s="5" t="s">
        <v>45</v>
      </c>
      <c r="C18" s="5">
        <v>-125</v>
      </c>
      <c r="D18" s="4">
        <v>43098</v>
      </c>
      <c r="E18" s="4">
        <v>43159.625</v>
      </c>
      <c r="F18" s="4">
        <v>43279</v>
      </c>
      <c r="G18" s="4">
        <v>43098</v>
      </c>
      <c r="H18" s="6">
        <v>9500.0000023699995</v>
      </c>
      <c r="I18" s="6">
        <v>9375</v>
      </c>
      <c r="J18" s="6" t="s">
        <v>8</v>
      </c>
      <c r="K18" s="6" t="s">
        <v>97</v>
      </c>
      <c r="L18" s="6" t="s">
        <v>47</v>
      </c>
      <c r="M18" s="3" t="s">
        <v>117</v>
      </c>
    </row>
    <row r="19" spans="2:14">
      <c r="B19" s="5" t="s">
        <v>100</v>
      </c>
      <c r="C19" s="5">
        <v>-50</v>
      </c>
      <c r="D19" s="4">
        <v>43077</v>
      </c>
      <c r="E19" s="4">
        <v>43189.625</v>
      </c>
      <c r="F19" s="4">
        <v>43194</v>
      </c>
      <c r="G19" s="4">
        <v>43076</v>
      </c>
      <c r="H19" s="6">
        <v>1258</v>
      </c>
      <c r="I19" s="6">
        <v>297000</v>
      </c>
      <c r="J19" s="6" t="s">
        <v>8</v>
      </c>
      <c r="K19" s="5" t="s">
        <v>97</v>
      </c>
      <c r="L19" s="6" t="s">
        <v>110</v>
      </c>
      <c r="M19" s="3" t="s">
        <v>118</v>
      </c>
    </row>
    <row r="20" spans="2:14">
      <c r="B20" s="5" t="s">
        <v>101</v>
      </c>
      <c r="C20" s="5">
        <v>-50</v>
      </c>
      <c r="D20" s="4">
        <v>43077</v>
      </c>
      <c r="E20" s="4">
        <v>43189.625</v>
      </c>
      <c r="F20" s="4">
        <v>43194</v>
      </c>
      <c r="G20" s="4">
        <v>43076</v>
      </c>
      <c r="H20" s="6">
        <v>1258</v>
      </c>
      <c r="I20" s="6">
        <v>297000</v>
      </c>
      <c r="J20" s="6" t="s">
        <v>46</v>
      </c>
      <c r="K20" s="6" t="s">
        <v>97</v>
      </c>
      <c r="L20" s="6" t="s">
        <v>110</v>
      </c>
      <c r="M20" s="3" t="s">
        <v>118</v>
      </c>
    </row>
    <row r="21" spans="2:14">
      <c r="B21" s="5" t="s">
        <v>102</v>
      </c>
      <c r="C21" s="5">
        <v>2000</v>
      </c>
      <c r="D21" s="4">
        <v>43067</v>
      </c>
      <c r="E21" s="4">
        <v>43189.625</v>
      </c>
      <c r="F21" s="4">
        <v>43189</v>
      </c>
      <c r="G21" s="4">
        <v>43067</v>
      </c>
      <c r="H21" s="6">
        <v>1199.9999998999999</v>
      </c>
      <c r="I21" s="6">
        <v>-5999999.9280000003</v>
      </c>
      <c r="J21" s="6" t="s">
        <v>8</v>
      </c>
      <c r="K21" s="6" t="s">
        <v>97</v>
      </c>
      <c r="L21" s="6" t="s">
        <v>110</v>
      </c>
      <c r="M21" s="3" t="s">
        <v>119</v>
      </c>
      <c r="N21" s="6">
        <v>0.32</v>
      </c>
    </row>
    <row r="22" spans="2:14">
      <c r="B22" s="5" t="s">
        <v>103</v>
      </c>
      <c r="C22" s="5">
        <v>300</v>
      </c>
      <c r="D22" s="4">
        <v>43054</v>
      </c>
      <c r="E22" s="4">
        <v>43189.625</v>
      </c>
      <c r="F22" s="4">
        <v>43190</v>
      </c>
      <c r="G22" s="4">
        <v>43054</v>
      </c>
      <c r="H22" s="6">
        <v>13000.000006799999</v>
      </c>
      <c r="I22" s="6">
        <v>-1791000.0179999999</v>
      </c>
      <c r="J22" s="6" t="s">
        <v>8</v>
      </c>
      <c r="K22" s="6" t="s">
        <v>97</v>
      </c>
      <c r="L22" s="6" t="s">
        <v>111</v>
      </c>
      <c r="M22" s="3" t="s">
        <v>119</v>
      </c>
      <c r="N22" s="6">
        <v>0.26</v>
      </c>
    </row>
    <row r="23" spans="2:14">
      <c r="B23" s="5" t="s">
        <v>104</v>
      </c>
      <c r="C23" s="5">
        <v>-500</v>
      </c>
      <c r="D23" s="4">
        <v>43048</v>
      </c>
      <c r="E23" s="4">
        <v>43203.625</v>
      </c>
      <c r="F23" s="4">
        <v>43203</v>
      </c>
      <c r="G23" s="4">
        <v>43048</v>
      </c>
      <c r="H23" s="6">
        <v>3599.9999997999998</v>
      </c>
      <c r="I23" s="6">
        <v>931199.99399999995</v>
      </c>
      <c r="J23" s="6" t="s">
        <v>8</v>
      </c>
      <c r="K23" s="6" t="s">
        <v>97</v>
      </c>
      <c r="L23" s="6" t="s">
        <v>112</v>
      </c>
      <c r="M23" s="3" t="s">
        <v>118</v>
      </c>
    </row>
    <row r="24" spans="2:14">
      <c r="B24" s="5" t="s">
        <v>105</v>
      </c>
      <c r="C24" s="5">
        <v>-500</v>
      </c>
      <c r="D24" s="4">
        <v>43048</v>
      </c>
      <c r="E24" s="4">
        <v>43203.625</v>
      </c>
      <c r="F24" s="4">
        <v>43203</v>
      </c>
      <c r="G24" s="4">
        <v>43048</v>
      </c>
      <c r="H24" s="6">
        <v>4000.0000002000002</v>
      </c>
      <c r="I24" s="6">
        <v>1122200.0019999999</v>
      </c>
      <c r="J24" s="6" t="s">
        <v>46</v>
      </c>
      <c r="K24" s="5" t="s">
        <v>97</v>
      </c>
      <c r="L24" s="6" t="s">
        <v>112</v>
      </c>
      <c r="M24" s="3" t="s">
        <v>118</v>
      </c>
    </row>
    <row r="25" spans="2:14">
      <c r="B25" s="5" t="s">
        <v>106</v>
      </c>
      <c r="C25" s="5">
        <v>500</v>
      </c>
      <c r="D25" s="4">
        <v>43048</v>
      </c>
      <c r="E25" s="4">
        <v>43203.625</v>
      </c>
      <c r="F25" s="4">
        <v>43203</v>
      </c>
      <c r="G25" s="4">
        <v>43048</v>
      </c>
      <c r="H25" s="6">
        <v>450</v>
      </c>
      <c r="I25" s="6">
        <v>-760500</v>
      </c>
      <c r="J25" s="6" t="s">
        <v>8</v>
      </c>
      <c r="K25" s="6" t="s">
        <v>97</v>
      </c>
      <c r="L25" s="6" t="s">
        <v>109</v>
      </c>
      <c r="M25" s="3" t="s">
        <v>119</v>
      </c>
      <c r="N25" s="6">
        <v>0.27</v>
      </c>
    </row>
    <row r="26" spans="2:14">
      <c r="B26" s="5" t="s">
        <v>107</v>
      </c>
      <c r="C26" s="5">
        <v>1500</v>
      </c>
      <c r="D26" s="4">
        <v>43048</v>
      </c>
      <c r="E26" s="4">
        <v>43203.625</v>
      </c>
      <c r="F26" s="4">
        <v>43203</v>
      </c>
      <c r="G26" s="4">
        <v>43048</v>
      </c>
      <c r="H26" s="6">
        <v>4000</v>
      </c>
      <c r="I26" s="6">
        <v>-2317950</v>
      </c>
      <c r="J26" s="6" t="s">
        <v>46</v>
      </c>
      <c r="K26" s="6" t="s">
        <v>97</v>
      </c>
      <c r="L26" s="6" t="s">
        <v>112</v>
      </c>
      <c r="M26" s="3" t="s">
        <v>119</v>
      </c>
      <c r="N26" s="6">
        <v>0.255</v>
      </c>
    </row>
    <row r="27" spans="2:14">
      <c r="B27" s="5" t="s">
        <v>108</v>
      </c>
      <c r="C27" s="5">
        <v>1500</v>
      </c>
      <c r="D27" s="4">
        <v>43048</v>
      </c>
      <c r="E27" s="4">
        <v>43203.625</v>
      </c>
      <c r="F27" s="4">
        <v>43203</v>
      </c>
      <c r="G27" s="4">
        <v>43048</v>
      </c>
      <c r="H27" s="6">
        <v>3600</v>
      </c>
      <c r="I27" s="6">
        <v>-2277450</v>
      </c>
      <c r="J27" s="6" t="s">
        <v>8</v>
      </c>
      <c r="K27" s="6" t="s">
        <v>97</v>
      </c>
      <c r="L27" s="6" t="s">
        <v>112</v>
      </c>
      <c r="M27" s="3" t="s">
        <v>120</v>
      </c>
      <c r="N27" s="6">
        <v>0.255</v>
      </c>
    </row>
    <row r="28" spans="2:14">
      <c r="B28" s="5" t="s">
        <v>7</v>
      </c>
      <c r="C28" s="5">
        <v>100</v>
      </c>
      <c r="D28" s="4">
        <v>43123</v>
      </c>
      <c r="E28" s="4">
        <v>43183.625</v>
      </c>
      <c r="F28" s="4">
        <v>43183</v>
      </c>
      <c r="G28" s="4">
        <v>43123</v>
      </c>
      <c r="H28" s="5">
        <v>50000.000004000001</v>
      </c>
      <c r="I28" s="3">
        <v>-50000.004000000001</v>
      </c>
      <c r="J28" s="3" t="s">
        <v>8</v>
      </c>
      <c r="K28" s="3" t="s">
        <v>97</v>
      </c>
      <c r="L28" s="3" t="s">
        <v>9</v>
      </c>
      <c r="M28" s="3" t="s">
        <v>130</v>
      </c>
      <c r="N28" s="6">
        <v>0.12</v>
      </c>
    </row>
    <row r="29" spans="2:14">
      <c r="B29" s="5" t="s">
        <v>173</v>
      </c>
      <c r="C29" s="5">
        <v>1000</v>
      </c>
      <c r="D29" s="4">
        <v>43154</v>
      </c>
      <c r="E29" s="4">
        <v>43182.625</v>
      </c>
      <c r="F29" s="4">
        <v>43184</v>
      </c>
      <c r="G29" s="4">
        <v>43154</v>
      </c>
      <c r="H29" s="28">
        <v>3929.9999985759996</v>
      </c>
      <c r="I29" s="12">
        <v>-271800</v>
      </c>
      <c r="J29" s="3" t="s">
        <v>46</v>
      </c>
      <c r="K29" s="3">
        <v>1</v>
      </c>
      <c r="L29" s="3" t="s">
        <v>112</v>
      </c>
      <c r="M29" s="3" t="s">
        <v>119</v>
      </c>
      <c r="N29" s="6">
        <v>0.13500000000000001</v>
      </c>
    </row>
    <row r="30" spans="2:14">
      <c r="B30" s="5" t="s">
        <v>174</v>
      </c>
      <c r="C30" s="5">
        <v>1000</v>
      </c>
      <c r="D30" s="4">
        <v>43154</v>
      </c>
      <c r="E30" s="4">
        <v>43182.625</v>
      </c>
      <c r="F30" s="4">
        <v>43184</v>
      </c>
      <c r="G30" s="4">
        <v>43154</v>
      </c>
      <c r="H30" s="28">
        <v>3799.999998368</v>
      </c>
      <c r="I30" s="12">
        <v>-388800</v>
      </c>
      <c r="J30" s="3" t="s">
        <v>8</v>
      </c>
      <c r="K30" s="3">
        <v>1</v>
      </c>
      <c r="L30" s="3" t="s">
        <v>112</v>
      </c>
      <c r="M30" s="3" t="s">
        <v>119</v>
      </c>
      <c r="N30" s="6">
        <v>0.13500000000000001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5:I15"/>
  <sheetViews>
    <sheetView workbookViewId="0">
      <selection activeCell="F27" sqref="F27"/>
    </sheetView>
  </sheetViews>
  <sheetFormatPr defaultRowHeight="12"/>
  <cols>
    <col min="1" max="1" width="9" style="6"/>
    <col min="2" max="2" width="9.5" style="6" customWidth="1"/>
    <col min="3" max="5" width="10.625" style="6" customWidth="1"/>
    <col min="6" max="7" width="9" style="6"/>
    <col min="8" max="8" width="14.125" style="6" customWidth="1"/>
    <col min="9" max="16384" width="9" style="6"/>
  </cols>
  <sheetData>
    <row r="5" spans="2:9">
      <c r="B5" s="29" t="s">
        <v>20</v>
      </c>
      <c r="C5" s="29"/>
      <c r="D5" s="29"/>
      <c r="E5" s="29"/>
      <c r="F5" s="29"/>
      <c r="G5" s="29"/>
      <c r="H5" s="29"/>
    </row>
    <row r="6" spans="2:9">
      <c r="B6" s="6" t="s">
        <v>19</v>
      </c>
      <c r="C6" s="6" t="s">
        <v>87</v>
      </c>
      <c r="D6" s="6" t="s">
        <v>41</v>
      </c>
      <c r="E6" s="6" t="s">
        <v>89</v>
      </c>
      <c r="F6" s="6" t="s">
        <v>74</v>
      </c>
      <c r="G6" s="6" t="s">
        <v>0</v>
      </c>
      <c r="H6" s="6" t="s">
        <v>18</v>
      </c>
      <c r="I6" s="6" t="s">
        <v>88</v>
      </c>
    </row>
    <row r="7" spans="2:9">
      <c r="B7" s="6" t="s">
        <v>43</v>
      </c>
      <c r="C7" s="6" t="s">
        <v>2</v>
      </c>
      <c r="D7" s="6" t="s">
        <v>42</v>
      </c>
      <c r="E7" s="6" t="str">
        <f>tbl_ticker[[#This Row],[ticker]]&amp;"."&amp;tbl_ticker[[#This Row],[exchange]]</f>
        <v>cu1805.shf</v>
      </c>
      <c r="F7" s="6">
        <v>5</v>
      </c>
      <c r="G7" s="6">
        <v>0.14000000000000001</v>
      </c>
      <c r="H7" s="6">
        <v>0</v>
      </c>
      <c r="I7" s="9">
        <v>53820</v>
      </c>
    </row>
    <row r="8" spans="2:9">
      <c r="B8" s="6" t="s">
        <v>35</v>
      </c>
      <c r="C8" s="6" t="s">
        <v>14</v>
      </c>
      <c r="D8" s="6" t="s">
        <v>42</v>
      </c>
      <c r="E8" s="6" t="str">
        <f>tbl_ticker[[#This Row],[ticker]]&amp;"."&amp;tbl_ticker[[#This Row],[exchange]]</f>
        <v>al1805.shf</v>
      </c>
      <c r="F8" s="6">
        <v>5</v>
      </c>
      <c r="G8" s="6">
        <v>0.14000000000000001</v>
      </c>
      <c r="H8" s="6">
        <v>0</v>
      </c>
      <c r="I8" s="9">
        <v>14455</v>
      </c>
    </row>
    <row r="9" spans="2:9">
      <c r="B9" s="6" t="s">
        <v>36</v>
      </c>
      <c r="C9" s="6" t="s">
        <v>3</v>
      </c>
      <c r="D9" s="6" t="s">
        <v>42</v>
      </c>
      <c r="E9" s="6" t="str">
        <f>tbl_ticker[[#This Row],[ticker]]&amp;"."&amp;tbl_ticker[[#This Row],[exchange]]</f>
        <v>ag1806.shf</v>
      </c>
      <c r="F9" s="6">
        <v>15</v>
      </c>
      <c r="G9" s="6">
        <v>0.11</v>
      </c>
      <c r="H9" s="6">
        <v>0</v>
      </c>
      <c r="I9" s="9">
        <v>3696</v>
      </c>
    </row>
    <row r="10" spans="2:9">
      <c r="B10" s="6" t="s">
        <v>51</v>
      </c>
      <c r="C10" s="6" t="s">
        <v>49</v>
      </c>
      <c r="D10" s="6" t="s">
        <v>50</v>
      </c>
      <c r="E10" s="7" t="str">
        <f>tbl_ticker[[#This Row],[ticker]]&amp;"."&amp;tbl_ticker[[#This Row],[exchange]]</f>
        <v>l1805.dce</v>
      </c>
      <c r="F10" s="7">
        <v>5</v>
      </c>
      <c r="G10" s="6">
        <v>0.19</v>
      </c>
      <c r="H10" s="6">
        <v>0</v>
      </c>
      <c r="I10" s="9">
        <v>9590</v>
      </c>
    </row>
    <row r="11" spans="2:9">
      <c r="B11" s="6" t="s">
        <v>68</v>
      </c>
      <c r="C11" s="6" t="s">
        <v>66</v>
      </c>
      <c r="D11" s="6" t="s">
        <v>42</v>
      </c>
      <c r="E11" s="7" t="str">
        <f>tbl_ticker[[#This Row],[ticker]]&amp;"."&amp;tbl_ticker[[#This Row],[exchange]]</f>
        <v>rb1810.shf</v>
      </c>
      <c r="F11" s="7">
        <v>10</v>
      </c>
      <c r="G11" s="6">
        <v>0.18</v>
      </c>
      <c r="H11" s="6">
        <v>0</v>
      </c>
      <c r="I11" s="9">
        <v>3845</v>
      </c>
    </row>
    <row r="12" spans="2:9">
      <c r="B12" s="6" t="s">
        <v>131</v>
      </c>
      <c r="C12" s="6" t="s">
        <v>132</v>
      </c>
      <c r="D12" s="6" t="s">
        <v>129</v>
      </c>
      <c r="E12" s="7" t="str">
        <f>tbl_ticker[[#This Row],[ticker]]&amp;"."&amp;tbl_ticker[[#This Row],[exchange]]</f>
        <v>rb1805.shf</v>
      </c>
      <c r="F12" s="7">
        <v>10</v>
      </c>
      <c r="G12" s="6">
        <v>0.18</v>
      </c>
      <c r="H12" s="6">
        <v>0</v>
      </c>
      <c r="I12" s="9">
        <f>RTD("wdf.rtq",,tbl_ticker[[#This Row],[w_ticker]],"LastPrice")</f>
        <v>3949</v>
      </c>
    </row>
    <row r="13" spans="2:9">
      <c r="B13" s="6" t="s">
        <v>128</v>
      </c>
      <c r="C13" s="6" t="s">
        <v>90</v>
      </c>
      <c r="D13" s="6" t="s">
        <v>91</v>
      </c>
      <c r="E13" s="7" t="str">
        <f>tbl_ticker[[#This Row],[ticker]]&amp;"."&amp;tbl_ticker[[#This Row],[exchange]]</f>
        <v>i1805.dce</v>
      </c>
      <c r="F13" s="7">
        <v>100</v>
      </c>
      <c r="G13" s="6">
        <v>0.36</v>
      </c>
      <c r="H13" s="6">
        <v>0</v>
      </c>
      <c r="I13" s="9">
        <v>548.5</v>
      </c>
    </row>
    <row r="14" spans="2:9">
      <c r="B14" s="6" t="s">
        <v>121</v>
      </c>
      <c r="C14" s="6" t="s">
        <v>124</v>
      </c>
      <c r="D14" s="6" t="s">
        <v>129</v>
      </c>
      <c r="E14" s="7" t="str">
        <f>tbl_ticker[[#This Row],[ticker]]&amp;"."&amp;tbl_ticker[[#This Row],[exchange]]</f>
        <v>ru1805.shf</v>
      </c>
      <c r="F14" s="6">
        <v>10</v>
      </c>
      <c r="G14" s="6">
        <v>0.36</v>
      </c>
      <c r="H14" s="6">
        <v>0</v>
      </c>
      <c r="I14" s="9">
        <v>12850</v>
      </c>
    </row>
    <row r="15" spans="2:9">
      <c r="B15" s="6" t="s">
        <v>122</v>
      </c>
      <c r="C15" s="6" t="s">
        <v>126</v>
      </c>
      <c r="D15" s="6" t="s">
        <v>127</v>
      </c>
      <c r="E15" s="7" t="str">
        <f>tbl_ticker[[#This Row],[ticker]]&amp;"."&amp;tbl_ticker[[#This Row],[exchange]]</f>
        <v>jm1805.dce</v>
      </c>
      <c r="F15" s="6">
        <v>60</v>
      </c>
      <c r="G15" s="6">
        <v>0.36</v>
      </c>
      <c r="H15" s="6">
        <v>0</v>
      </c>
      <c r="I15" s="9">
        <v>1398</v>
      </c>
    </row>
  </sheetData>
  <mergeCells count="1">
    <mergeCell ref="B5:H5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5:AI57"/>
  <sheetViews>
    <sheetView workbookViewId="0">
      <selection activeCell="J32" sqref="J32"/>
    </sheetView>
  </sheetViews>
  <sheetFormatPr defaultRowHeight="12"/>
  <cols>
    <col min="1" max="1" width="3.375" style="6" customWidth="1"/>
    <col min="2" max="2" width="10.625" style="6" customWidth="1"/>
    <col min="3" max="4" width="9" style="6" customWidth="1"/>
    <col min="5" max="16384" width="9" style="6"/>
  </cols>
  <sheetData>
    <row r="5" spans="2:35">
      <c r="B5" s="29" t="s">
        <v>15</v>
      </c>
      <c r="C5" s="29"/>
      <c r="D5" s="29"/>
      <c r="E5" s="29"/>
      <c r="F5" s="29"/>
    </row>
    <row r="6" spans="2:35">
      <c r="B6" s="6" t="s">
        <v>12</v>
      </c>
      <c r="C6" s="6" t="s">
        <v>17</v>
      </c>
      <c r="D6" s="6" t="s">
        <v>16</v>
      </c>
      <c r="E6" s="6" t="s">
        <v>133</v>
      </c>
      <c r="F6" s="6" t="s">
        <v>13</v>
      </c>
      <c r="G6" s="6" t="s">
        <v>134</v>
      </c>
      <c r="H6" s="6" t="s">
        <v>135</v>
      </c>
      <c r="I6" s="6" t="s">
        <v>1</v>
      </c>
      <c r="J6" s="6" t="s">
        <v>125</v>
      </c>
      <c r="K6" s="6" t="s">
        <v>136</v>
      </c>
      <c r="L6" s="6" t="s">
        <v>137</v>
      </c>
      <c r="M6" s="6" t="s">
        <v>138</v>
      </c>
      <c r="N6" s="6" t="s">
        <v>65</v>
      </c>
      <c r="O6" s="6" t="s">
        <v>139</v>
      </c>
      <c r="P6" s="6" t="s">
        <v>140</v>
      </c>
      <c r="Q6" s="6" t="s">
        <v>141</v>
      </c>
      <c r="R6" s="6" t="s">
        <v>142</v>
      </c>
      <c r="S6" s="6" t="s">
        <v>8</v>
      </c>
      <c r="T6" s="6" t="s">
        <v>143</v>
      </c>
      <c r="U6" s="6" t="s">
        <v>144</v>
      </c>
      <c r="V6" s="6" t="s">
        <v>145</v>
      </c>
      <c r="W6" s="6" t="s">
        <v>146</v>
      </c>
      <c r="X6" s="6" t="s">
        <v>147</v>
      </c>
      <c r="Y6" s="6" t="s">
        <v>148</v>
      </c>
      <c r="Z6" s="6" t="s">
        <v>46</v>
      </c>
      <c r="AA6" s="6" t="s">
        <v>149</v>
      </c>
      <c r="AB6" s="6" t="s">
        <v>150</v>
      </c>
      <c r="AC6" s="6" t="s">
        <v>151</v>
      </c>
      <c r="AD6" s="6" t="s">
        <v>152</v>
      </c>
      <c r="AE6" s="6" t="s">
        <v>153</v>
      </c>
      <c r="AF6" s="6" t="s">
        <v>48</v>
      </c>
      <c r="AG6" s="6" t="s">
        <v>154</v>
      </c>
      <c r="AH6" s="6" t="s">
        <v>123</v>
      </c>
      <c r="AI6" s="6" t="s">
        <v>155</v>
      </c>
    </row>
    <row r="7" spans="2:35">
      <c r="B7" s="6" t="s">
        <v>118</v>
      </c>
      <c r="C7" s="6">
        <v>0</v>
      </c>
      <c r="D7" s="6">
        <v>0.1</v>
      </c>
      <c r="E7" s="21">
        <v>6.4000000000000001E-2</v>
      </c>
      <c r="F7" s="21">
        <v>5.5E-2</v>
      </c>
      <c r="G7" s="21">
        <v>6.8000000000000005E-2</v>
      </c>
      <c r="H7" s="21">
        <v>7.5999999999999998E-2</v>
      </c>
      <c r="I7" s="21">
        <v>6.0999999999999999E-2</v>
      </c>
      <c r="J7" s="21">
        <v>0.107</v>
      </c>
      <c r="K7" s="21">
        <v>0.1</v>
      </c>
      <c r="L7" s="21">
        <v>8.4000000000000005E-2</v>
      </c>
      <c r="M7" s="21">
        <v>0.115</v>
      </c>
      <c r="N7" s="21">
        <v>0.1</v>
      </c>
      <c r="O7" s="21">
        <v>4.1000000000000002E-2</v>
      </c>
      <c r="P7" s="21">
        <v>6.7000000000000004E-2</v>
      </c>
      <c r="Q7" s="21">
        <v>5.0999999999999997E-2</v>
      </c>
      <c r="R7" s="21">
        <v>5.5E-2</v>
      </c>
      <c r="S7" s="21">
        <v>0.05</v>
      </c>
      <c r="T7" s="21">
        <v>4.8000000000000001E-2</v>
      </c>
      <c r="U7" s="21">
        <v>6.7000000000000004E-2</v>
      </c>
      <c r="V7" s="21">
        <v>7.0000000000000007E-2</v>
      </c>
      <c r="W7" s="21">
        <v>4.3999999999999997E-2</v>
      </c>
      <c r="X7" s="21">
        <v>4.3999999999999997E-2</v>
      </c>
      <c r="Y7" s="21">
        <v>6.2E-2</v>
      </c>
      <c r="Z7" s="21">
        <v>3.6999999999999998E-2</v>
      </c>
      <c r="AA7" s="21">
        <v>4.5999999999999999E-2</v>
      </c>
      <c r="AB7" s="21">
        <v>6.0999999999999999E-2</v>
      </c>
      <c r="AC7" s="21">
        <v>8.1000000000000003E-2</v>
      </c>
      <c r="AD7" s="21">
        <v>6.8000000000000005E-2</v>
      </c>
      <c r="AE7" s="21">
        <v>7.0000000000000007E-2</v>
      </c>
      <c r="AF7" s="21">
        <v>6.4000000000000001E-2</v>
      </c>
      <c r="AG7" s="21">
        <v>6.6000000000000003E-2</v>
      </c>
      <c r="AH7" s="21">
        <v>8.7999999999999995E-2</v>
      </c>
      <c r="AI7" s="21">
        <v>6.3E-2</v>
      </c>
    </row>
    <row r="8" spans="2:35">
      <c r="B8" s="6" t="s">
        <v>117</v>
      </c>
      <c r="C8" s="6">
        <v>0</v>
      </c>
      <c r="D8" s="6">
        <v>0.1</v>
      </c>
      <c r="E8" s="21">
        <v>6.4000000000000001E-2</v>
      </c>
      <c r="F8" s="21">
        <v>5.5E-2</v>
      </c>
      <c r="G8" s="21">
        <v>6.8000000000000005E-2</v>
      </c>
      <c r="H8" s="21">
        <v>7.5999999999999998E-2</v>
      </c>
      <c r="I8" s="21">
        <v>6.0999999999999999E-2</v>
      </c>
      <c r="J8" s="21">
        <v>0.107</v>
      </c>
      <c r="K8" s="21">
        <v>0.1</v>
      </c>
      <c r="L8" s="21">
        <v>8.4000000000000005E-2</v>
      </c>
      <c r="M8" s="21">
        <v>0.115</v>
      </c>
      <c r="N8" s="21">
        <v>0.1</v>
      </c>
      <c r="O8" s="21">
        <v>4.1000000000000002E-2</v>
      </c>
      <c r="P8" s="21">
        <v>6.7000000000000004E-2</v>
      </c>
      <c r="Q8" s="21">
        <v>5.0999999999999997E-2</v>
      </c>
      <c r="R8" s="21">
        <v>5.5E-2</v>
      </c>
      <c r="S8" s="21">
        <v>0.05</v>
      </c>
      <c r="T8" s="21">
        <v>4.8000000000000001E-2</v>
      </c>
      <c r="U8" s="21">
        <v>6.7000000000000004E-2</v>
      </c>
      <c r="V8" s="21">
        <v>7.0000000000000007E-2</v>
      </c>
      <c r="W8" s="21">
        <v>4.3999999999999997E-2</v>
      </c>
      <c r="X8" s="21">
        <v>4.3999999999999997E-2</v>
      </c>
      <c r="Y8" s="21">
        <v>6.2E-2</v>
      </c>
      <c r="Z8" s="21">
        <v>3.6999999999999998E-2</v>
      </c>
      <c r="AA8" s="21">
        <v>4.5999999999999999E-2</v>
      </c>
      <c r="AB8" s="21">
        <v>6.0999999999999999E-2</v>
      </c>
      <c r="AC8" s="21">
        <v>8.1000000000000003E-2</v>
      </c>
      <c r="AD8" s="21">
        <v>6.8000000000000005E-2</v>
      </c>
      <c r="AE8" s="21">
        <v>7.0000000000000007E-2</v>
      </c>
      <c r="AF8" s="21">
        <v>6.4000000000000001E-2</v>
      </c>
      <c r="AG8" s="21">
        <v>6.6000000000000003E-2</v>
      </c>
      <c r="AH8" s="21">
        <v>8.7999999999999995E-2</v>
      </c>
      <c r="AI8" s="21">
        <v>6.3E-2</v>
      </c>
    </row>
    <row r="9" spans="2:35">
      <c r="B9" s="5" t="s">
        <v>116</v>
      </c>
      <c r="C9" s="6">
        <v>0</v>
      </c>
      <c r="D9" s="6">
        <v>0.1</v>
      </c>
      <c r="E9" s="21">
        <v>6.4000000000000001E-2</v>
      </c>
      <c r="F9" s="21">
        <v>5.5E-2</v>
      </c>
      <c r="G9" s="21">
        <v>6.8000000000000005E-2</v>
      </c>
      <c r="H9" s="21">
        <v>7.5999999999999998E-2</v>
      </c>
      <c r="I9" s="21">
        <v>6.0999999999999999E-2</v>
      </c>
      <c r="J9" s="21">
        <v>0.107</v>
      </c>
      <c r="K9" s="21">
        <v>0.1</v>
      </c>
      <c r="L9" s="21">
        <v>8.4000000000000005E-2</v>
      </c>
      <c r="M9" s="21">
        <v>0.115</v>
      </c>
      <c r="N9" s="21">
        <v>0.1</v>
      </c>
      <c r="O9" s="21">
        <v>4.1000000000000002E-2</v>
      </c>
      <c r="P9" s="21">
        <v>6.7000000000000004E-2</v>
      </c>
      <c r="Q9" s="21">
        <v>5.0999999999999997E-2</v>
      </c>
      <c r="R9" s="21">
        <v>5.5E-2</v>
      </c>
      <c r="S9" s="21">
        <v>0.05</v>
      </c>
      <c r="T9" s="21">
        <v>4.8000000000000001E-2</v>
      </c>
      <c r="U9" s="21">
        <v>6.7000000000000004E-2</v>
      </c>
      <c r="V9" s="21">
        <v>7.0000000000000007E-2</v>
      </c>
      <c r="W9" s="21">
        <v>4.3999999999999997E-2</v>
      </c>
      <c r="X9" s="21">
        <v>4.3999999999999997E-2</v>
      </c>
      <c r="Y9" s="21">
        <v>6.2E-2</v>
      </c>
      <c r="Z9" s="21">
        <v>3.6999999999999998E-2</v>
      </c>
      <c r="AA9" s="21">
        <v>4.5999999999999999E-2</v>
      </c>
      <c r="AB9" s="21">
        <v>6.0999999999999999E-2</v>
      </c>
      <c r="AC9" s="21">
        <v>8.1000000000000003E-2</v>
      </c>
      <c r="AD9" s="21">
        <v>6.8000000000000005E-2</v>
      </c>
      <c r="AE9" s="21">
        <v>7.0000000000000007E-2</v>
      </c>
      <c r="AF9" s="21">
        <v>6.4000000000000001E-2</v>
      </c>
      <c r="AG9" s="21">
        <v>6.6000000000000003E-2</v>
      </c>
      <c r="AH9" s="21">
        <v>8.7999999999999995E-2</v>
      </c>
      <c r="AI9" s="21">
        <v>6.3E-2</v>
      </c>
    </row>
    <row r="10" spans="2:35">
      <c r="B10" s="6" t="s">
        <v>115</v>
      </c>
      <c r="C10" s="6">
        <v>0</v>
      </c>
      <c r="D10" s="6">
        <v>0.1</v>
      </c>
      <c r="E10" s="21">
        <v>6.4000000000000001E-2</v>
      </c>
      <c r="F10" s="21">
        <v>5.5E-2</v>
      </c>
      <c r="G10" s="21">
        <v>6.8000000000000005E-2</v>
      </c>
      <c r="H10" s="21">
        <v>7.5999999999999998E-2</v>
      </c>
      <c r="I10" s="21">
        <v>6.0999999999999999E-2</v>
      </c>
      <c r="J10" s="21">
        <v>0.107</v>
      </c>
      <c r="K10" s="21">
        <v>0.1</v>
      </c>
      <c r="L10" s="21">
        <v>8.4000000000000005E-2</v>
      </c>
      <c r="M10" s="21">
        <v>0.115</v>
      </c>
      <c r="N10" s="21">
        <v>0.1</v>
      </c>
      <c r="O10" s="21">
        <v>4.1000000000000002E-2</v>
      </c>
      <c r="P10" s="21">
        <v>6.7000000000000004E-2</v>
      </c>
      <c r="Q10" s="21">
        <v>5.0999999999999997E-2</v>
      </c>
      <c r="R10" s="21">
        <v>5.5E-2</v>
      </c>
      <c r="S10" s="21">
        <v>0.05</v>
      </c>
      <c r="T10" s="21">
        <v>4.8000000000000001E-2</v>
      </c>
      <c r="U10" s="21">
        <v>6.7000000000000004E-2</v>
      </c>
      <c r="V10" s="21">
        <v>7.0000000000000007E-2</v>
      </c>
      <c r="W10" s="21">
        <v>4.3999999999999997E-2</v>
      </c>
      <c r="X10" s="21">
        <v>4.3999999999999997E-2</v>
      </c>
      <c r="Y10" s="21">
        <v>6.2E-2</v>
      </c>
      <c r="Z10" s="21">
        <v>3.6999999999999998E-2</v>
      </c>
      <c r="AA10" s="21">
        <v>4.5999999999999999E-2</v>
      </c>
      <c r="AB10" s="21">
        <v>6.0999999999999999E-2</v>
      </c>
      <c r="AC10" s="21">
        <v>8.1000000000000003E-2</v>
      </c>
      <c r="AD10" s="21">
        <v>6.8000000000000005E-2</v>
      </c>
      <c r="AE10" s="21">
        <v>7.0000000000000007E-2</v>
      </c>
      <c r="AF10" s="21">
        <v>6.4000000000000001E-2</v>
      </c>
      <c r="AG10" s="21">
        <v>6.6000000000000003E-2</v>
      </c>
      <c r="AH10" s="21">
        <v>8.7999999999999995E-2</v>
      </c>
      <c r="AI10" s="21">
        <v>6.3E-2</v>
      </c>
    </row>
    <row r="11" spans="2:35">
      <c r="B11" s="6" t="s">
        <v>114</v>
      </c>
      <c r="C11" s="6">
        <v>0</v>
      </c>
      <c r="D11" s="6">
        <v>0.1</v>
      </c>
      <c r="E11" s="21">
        <v>6.4000000000000001E-2</v>
      </c>
      <c r="F11" s="21">
        <v>5.5E-2</v>
      </c>
      <c r="G11" s="21">
        <v>6.8000000000000005E-2</v>
      </c>
      <c r="H11" s="21">
        <v>7.5999999999999998E-2</v>
      </c>
      <c r="I11" s="21">
        <v>6.0999999999999999E-2</v>
      </c>
      <c r="J11" s="21">
        <v>0.107</v>
      </c>
      <c r="K11" s="21">
        <v>0.1</v>
      </c>
      <c r="L11" s="21">
        <v>8.4000000000000005E-2</v>
      </c>
      <c r="M11" s="21">
        <v>0.115</v>
      </c>
      <c r="N11" s="21">
        <v>0.1</v>
      </c>
      <c r="O11" s="21">
        <v>4.1000000000000002E-2</v>
      </c>
      <c r="P11" s="21">
        <v>6.7000000000000004E-2</v>
      </c>
      <c r="Q11" s="21">
        <v>5.0999999999999997E-2</v>
      </c>
      <c r="R11" s="21">
        <v>5.5E-2</v>
      </c>
      <c r="S11" s="21">
        <v>0.05</v>
      </c>
      <c r="T11" s="21">
        <v>4.8000000000000001E-2</v>
      </c>
      <c r="U11" s="21">
        <v>6.7000000000000004E-2</v>
      </c>
      <c r="V11" s="21">
        <v>7.0000000000000007E-2</v>
      </c>
      <c r="W11" s="21">
        <v>4.3999999999999997E-2</v>
      </c>
      <c r="X11" s="21">
        <v>4.3999999999999997E-2</v>
      </c>
      <c r="Y11" s="21">
        <v>6.2E-2</v>
      </c>
      <c r="Z11" s="21">
        <v>3.6999999999999998E-2</v>
      </c>
      <c r="AA11" s="21">
        <v>4.5999999999999999E-2</v>
      </c>
      <c r="AB11" s="21">
        <v>6.0999999999999999E-2</v>
      </c>
      <c r="AC11" s="21">
        <v>8.1000000000000003E-2</v>
      </c>
      <c r="AD11" s="21">
        <v>6.8000000000000005E-2</v>
      </c>
      <c r="AE11" s="21">
        <v>7.0000000000000007E-2</v>
      </c>
      <c r="AF11" s="21">
        <v>6.4000000000000001E-2</v>
      </c>
      <c r="AG11" s="21">
        <v>6.6000000000000003E-2</v>
      </c>
      <c r="AH11" s="21">
        <v>8.7999999999999995E-2</v>
      </c>
      <c r="AI11" s="21">
        <v>6.3E-2</v>
      </c>
    </row>
    <row r="12" spans="2:35">
      <c r="B12" s="6" t="s">
        <v>119</v>
      </c>
      <c r="C12" s="6">
        <v>0</v>
      </c>
      <c r="D12" s="6">
        <v>0.1</v>
      </c>
      <c r="E12" s="21">
        <v>6.4000000000000001E-2</v>
      </c>
      <c r="F12" s="21">
        <v>5.5E-2</v>
      </c>
      <c r="G12" s="21">
        <v>6.8000000000000005E-2</v>
      </c>
      <c r="H12" s="21">
        <v>7.5999999999999998E-2</v>
      </c>
      <c r="I12" s="21">
        <v>6.0999999999999999E-2</v>
      </c>
      <c r="J12" s="21">
        <v>0.107</v>
      </c>
      <c r="K12" s="21">
        <v>0.1</v>
      </c>
      <c r="L12" s="21">
        <v>8.4000000000000005E-2</v>
      </c>
      <c r="M12" s="21">
        <v>0.115</v>
      </c>
      <c r="N12" s="21">
        <v>0.1</v>
      </c>
      <c r="O12" s="21">
        <v>4.1000000000000002E-2</v>
      </c>
      <c r="P12" s="21">
        <v>6.7000000000000004E-2</v>
      </c>
      <c r="Q12" s="21">
        <v>5.0999999999999997E-2</v>
      </c>
      <c r="R12" s="21">
        <v>5.5E-2</v>
      </c>
      <c r="S12" s="21">
        <v>0.05</v>
      </c>
      <c r="T12" s="21">
        <v>4.8000000000000001E-2</v>
      </c>
      <c r="U12" s="21">
        <v>6.7000000000000004E-2</v>
      </c>
      <c r="V12" s="21">
        <v>7.0000000000000007E-2</v>
      </c>
      <c r="W12" s="21">
        <v>4.3999999999999997E-2</v>
      </c>
      <c r="X12" s="21">
        <v>4.3999999999999997E-2</v>
      </c>
      <c r="Y12" s="21">
        <v>6.2E-2</v>
      </c>
      <c r="Z12" s="21">
        <v>3.6999999999999998E-2</v>
      </c>
      <c r="AA12" s="21">
        <v>4.5999999999999999E-2</v>
      </c>
      <c r="AB12" s="21">
        <v>6.0999999999999999E-2</v>
      </c>
      <c r="AC12" s="21">
        <v>8.1000000000000003E-2</v>
      </c>
      <c r="AD12" s="21">
        <v>6.8000000000000005E-2</v>
      </c>
      <c r="AE12" s="21">
        <v>7.0000000000000007E-2</v>
      </c>
      <c r="AF12" s="21">
        <v>6.4000000000000001E-2</v>
      </c>
      <c r="AG12" s="21">
        <v>6.6000000000000003E-2</v>
      </c>
      <c r="AH12" s="21">
        <v>8.7999999999999995E-2</v>
      </c>
      <c r="AI12" s="21">
        <v>6.3E-2</v>
      </c>
    </row>
    <row r="13" spans="2:35">
      <c r="B13" s="6" t="s">
        <v>130</v>
      </c>
      <c r="C13" s="6">
        <v>0</v>
      </c>
      <c r="D13" s="6">
        <v>0.1</v>
      </c>
      <c r="E13" s="21">
        <v>6.4000000000000001E-2</v>
      </c>
      <c r="F13" s="21">
        <v>5.5E-2</v>
      </c>
      <c r="G13" s="21">
        <v>6.8000000000000005E-2</v>
      </c>
      <c r="H13" s="21">
        <v>7.5999999999999998E-2</v>
      </c>
      <c r="I13" s="21">
        <v>6.0999999999999999E-2</v>
      </c>
      <c r="J13" s="21">
        <v>0.107</v>
      </c>
      <c r="K13" s="21">
        <v>0.1</v>
      </c>
      <c r="L13" s="21">
        <v>8.4000000000000005E-2</v>
      </c>
      <c r="M13" s="21">
        <v>0.115</v>
      </c>
      <c r="N13" s="21">
        <v>0.1</v>
      </c>
      <c r="O13" s="21">
        <v>4.1000000000000002E-2</v>
      </c>
      <c r="P13" s="21">
        <v>6.7000000000000004E-2</v>
      </c>
      <c r="Q13" s="21">
        <v>5.0999999999999997E-2</v>
      </c>
      <c r="R13" s="21">
        <v>5.5E-2</v>
      </c>
      <c r="S13" s="21">
        <v>0.05</v>
      </c>
      <c r="T13" s="21">
        <v>4.8000000000000001E-2</v>
      </c>
      <c r="U13" s="21">
        <v>6.7000000000000004E-2</v>
      </c>
      <c r="V13" s="21">
        <v>7.0000000000000007E-2</v>
      </c>
      <c r="W13" s="21">
        <v>4.3999999999999997E-2</v>
      </c>
      <c r="X13" s="21">
        <v>4.3999999999999997E-2</v>
      </c>
      <c r="Y13" s="21">
        <v>6.2E-2</v>
      </c>
      <c r="Z13" s="21">
        <v>3.6999999999999998E-2</v>
      </c>
      <c r="AA13" s="21">
        <v>4.5999999999999999E-2</v>
      </c>
      <c r="AB13" s="21">
        <v>6.0999999999999999E-2</v>
      </c>
      <c r="AC13" s="21">
        <v>8.1000000000000003E-2</v>
      </c>
      <c r="AD13" s="21">
        <v>6.8000000000000005E-2</v>
      </c>
      <c r="AE13" s="21">
        <v>7.0000000000000007E-2</v>
      </c>
      <c r="AF13" s="21">
        <v>6.4000000000000001E-2</v>
      </c>
      <c r="AG13" s="21">
        <v>6.6000000000000003E-2</v>
      </c>
      <c r="AH13" s="21">
        <v>8.7999999999999995E-2</v>
      </c>
      <c r="AI13" s="21">
        <v>6.3E-2</v>
      </c>
    </row>
    <row r="26" spans="7:11">
      <c r="K26" s="20"/>
    </row>
    <row r="27" spans="7:11">
      <c r="G27" s="22"/>
      <c r="K27" s="20"/>
    </row>
    <row r="28" spans="7:11">
      <c r="G28" s="22"/>
      <c r="K28" s="20"/>
    </row>
    <row r="29" spans="7:11">
      <c r="G29" s="22"/>
      <c r="K29" s="20"/>
    </row>
    <row r="30" spans="7:11">
      <c r="G30" s="22"/>
      <c r="K30" s="20"/>
    </row>
    <row r="31" spans="7:11">
      <c r="G31" s="22"/>
      <c r="K31" s="20"/>
    </row>
    <row r="32" spans="7:11">
      <c r="G32" s="22"/>
      <c r="K32" s="20"/>
    </row>
    <row r="33" spans="7:11">
      <c r="G33" s="22"/>
      <c r="K33" s="20"/>
    </row>
    <row r="34" spans="7:11">
      <c r="G34" s="22"/>
      <c r="K34" s="20"/>
    </row>
    <row r="35" spans="7:11">
      <c r="G35" s="22"/>
      <c r="K35" s="20"/>
    </row>
    <row r="36" spans="7:11">
      <c r="G36" s="22"/>
      <c r="K36" s="20"/>
    </row>
    <row r="37" spans="7:11">
      <c r="G37" s="22"/>
      <c r="K37" s="20"/>
    </row>
    <row r="38" spans="7:11">
      <c r="G38" s="22"/>
      <c r="K38" s="20"/>
    </row>
    <row r="39" spans="7:11">
      <c r="G39" s="22"/>
      <c r="K39" s="20"/>
    </row>
    <row r="40" spans="7:11">
      <c r="G40" s="22"/>
      <c r="K40" s="20"/>
    </row>
    <row r="41" spans="7:11">
      <c r="G41" s="22"/>
      <c r="K41" s="20"/>
    </row>
    <row r="42" spans="7:11">
      <c r="G42" s="22"/>
      <c r="K42" s="20"/>
    </row>
    <row r="43" spans="7:11">
      <c r="G43" s="22"/>
      <c r="K43" s="20"/>
    </row>
    <row r="44" spans="7:11">
      <c r="G44" s="22"/>
      <c r="K44" s="20"/>
    </row>
    <row r="45" spans="7:11">
      <c r="G45" s="22"/>
      <c r="K45" s="20"/>
    </row>
    <row r="46" spans="7:11">
      <c r="G46" s="22"/>
      <c r="K46" s="20"/>
    </row>
    <row r="47" spans="7:11">
      <c r="G47" s="22"/>
      <c r="K47" s="20"/>
    </row>
    <row r="48" spans="7:11">
      <c r="G48" s="22"/>
      <c r="K48" s="20"/>
    </row>
    <row r="49" spans="7:11">
      <c r="G49" s="22"/>
      <c r="K49" s="20"/>
    </row>
    <row r="50" spans="7:11">
      <c r="G50" s="22"/>
      <c r="K50" s="20"/>
    </row>
    <row r="51" spans="7:11">
      <c r="G51" s="22"/>
      <c r="K51" s="20"/>
    </row>
    <row r="52" spans="7:11">
      <c r="G52" s="22"/>
      <c r="K52" s="20"/>
    </row>
    <row r="53" spans="7:11">
      <c r="G53" s="22"/>
      <c r="K53" s="20"/>
    </row>
    <row r="54" spans="7:11">
      <c r="G54" s="22"/>
      <c r="K54" s="20"/>
    </row>
    <row r="55" spans="7:11">
      <c r="G55" s="22"/>
      <c r="K55" s="20"/>
    </row>
    <row r="56" spans="7:11">
      <c r="G56" s="22"/>
      <c r="K56" s="20"/>
    </row>
    <row r="57" spans="7:11">
      <c r="G57" s="22"/>
    </row>
  </sheetData>
  <mergeCells count="1">
    <mergeCell ref="B5:F5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6:E19"/>
  <sheetViews>
    <sheetView workbookViewId="0">
      <selection activeCell="F21" sqref="F21"/>
    </sheetView>
  </sheetViews>
  <sheetFormatPr defaultRowHeight="13.5"/>
  <cols>
    <col min="2" max="2" width="11.75" customWidth="1"/>
    <col min="3" max="3" width="21.75" customWidth="1"/>
    <col min="4" max="4" width="19.125" customWidth="1"/>
    <col min="5" max="5" width="13.25" customWidth="1"/>
  </cols>
  <sheetData>
    <row r="6" spans="2:5">
      <c r="B6" t="s">
        <v>21</v>
      </c>
      <c r="C6" t="s">
        <v>38</v>
      </c>
      <c r="D6" t="s">
        <v>37</v>
      </c>
      <c r="E6" t="s">
        <v>93</v>
      </c>
    </row>
    <row r="7" spans="2:5">
      <c r="B7" t="s">
        <v>40</v>
      </c>
      <c r="C7">
        <v>1</v>
      </c>
      <c r="D7">
        <v>1</v>
      </c>
      <c r="E7">
        <v>1</v>
      </c>
    </row>
    <row r="8" spans="2:5">
      <c r="B8" t="s">
        <v>23</v>
      </c>
      <c r="C8" t="s">
        <v>162</v>
      </c>
      <c r="D8">
        <v>1</v>
      </c>
      <c r="E8">
        <v>1</v>
      </c>
    </row>
    <row r="9" spans="2:5">
      <c r="B9" t="s">
        <v>24</v>
      </c>
      <c r="C9" t="s">
        <v>163</v>
      </c>
      <c r="D9">
        <v>1</v>
      </c>
      <c r="E9">
        <v>1</v>
      </c>
    </row>
    <row r="10" spans="2:5">
      <c r="B10" t="s">
        <v>25</v>
      </c>
      <c r="C10" t="s">
        <v>164</v>
      </c>
      <c r="D10">
        <v>1</v>
      </c>
      <c r="E10">
        <v>1</v>
      </c>
    </row>
    <row r="11" spans="2:5">
      <c r="B11" t="s">
        <v>26</v>
      </c>
      <c r="C11" t="s">
        <v>165</v>
      </c>
      <c r="D11">
        <v>1</v>
      </c>
      <c r="E11">
        <v>1</v>
      </c>
    </row>
    <row r="12" spans="2:5">
      <c r="B12" t="s">
        <v>27</v>
      </c>
      <c r="C12" t="s">
        <v>166</v>
      </c>
      <c r="D12">
        <v>1</v>
      </c>
      <c r="E12">
        <v>1</v>
      </c>
    </row>
    <row r="13" spans="2:5">
      <c r="B13" t="s">
        <v>28</v>
      </c>
      <c r="C13" t="s">
        <v>172</v>
      </c>
      <c r="D13">
        <v>1</v>
      </c>
      <c r="E13">
        <v>1</v>
      </c>
    </row>
    <row r="14" spans="2:5">
      <c r="B14" t="s">
        <v>29</v>
      </c>
      <c r="C14" t="s">
        <v>164</v>
      </c>
      <c r="D14" s="27" t="s">
        <v>170</v>
      </c>
      <c r="E14" s="13">
        <v>1</v>
      </c>
    </row>
    <row r="15" spans="2:5">
      <c r="B15" t="s">
        <v>30</v>
      </c>
      <c r="C15" t="s">
        <v>164</v>
      </c>
      <c r="D15" t="s">
        <v>171</v>
      </c>
      <c r="E15">
        <v>1</v>
      </c>
    </row>
    <row r="16" spans="2:5">
      <c r="B16" t="s">
        <v>31</v>
      </c>
      <c r="C16" t="s">
        <v>167</v>
      </c>
      <c r="D16" s="27" t="s">
        <v>170</v>
      </c>
      <c r="E16" s="13">
        <v>1</v>
      </c>
    </row>
    <row r="17" spans="2:5">
      <c r="B17" t="s">
        <v>32</v>
      </c>
      <c r="C17" t="s">
        <v>167</v>
      </c>
      <c r="D17" t="s">
        <v>171</v>
      </c>
      <c r="E17">
        <v>1</v>
      </c>
    </row>
    <row r="18" spans="2:5">
      <c r="B18" t="s">
        <v>33</v>
      </c>
      <c r="C18" t="s">
        <v>168</v>
      </c>
      <c r="D18">
        <v>1</v>
      </c>
      <c r="E18" s="13">
        <v>0.3</v>
      </c>
    </row>
    <row r="19" spans="2:5">
      <c r="B19" t="s">
        <v>34</v>
      </c>
      <c r="C19" t="s">
        <v>169</v>
      </c>
      <c r="D19">
        <v>1</v>
      </c>
      <c r="E19">
        <v>0.3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result_summary</vt:lpstr>
      <vt:lpstr>result_senario</vt:lpstr>
      <vt:lpstr>Sheet1</vt:lpstr>
      <vt:lpstr>rec_trades</vt:lpstr>
      <vt:lpstr>rec_ticker</vt:lpstr>
      <vt:lpstr>param_vrxk</vt:lpstr>
      <vt:lpstr>script_senario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2018-02-23T10:13:57Z</dcterms:modified>
</cp:coreProperties>
</file>