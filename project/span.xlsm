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8" i="5" l="1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I22" i="6"/>
  <c r="E22" i="6"/>
  <c r="J22" i="6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25" i="5"/>
  <c r="AE26" i="5"/>
  <c r="AE27" i="5"/>
  <c r="E18" i="6"/>
  <c r="AR7" i="5"/>
  <c r="AO8" i="5"/>
  <c r="AL9" i="5"/>
  <c r="AI10" i="5"/>
  <c r="AF11" i="5"/>
  <c r="AN13" i="5"/>
  <c r="AH7" i="5"/>
  <c r="AP16" i="5"/>
  <c r="AJ18" i="5"/>
  <c r="AR19" i="5"/>
  <c r="AM18" i="5"/>
  <c r="AQ11" i="5"/>
  <c r="AN12" i="5"/>
  <c r="AK13" i="5"/>
  <c r="AH14" i="5"/>
  <c r="AR9" i="5"/>
  <c r="AL19" i="5"/>
  <c r="AF13" i="5"/>
  <c r="AL20" i="5"/>
  <c r="AK16" i="5"/>
  <c r="AN10" i="5"/>
  <c r="AG21" i="5"/>
  <c r="AI24" i="5"/>
  <c r="AM11" i="5"/>
  <c r="AM13" i="5"/>
  <c r="AF17" i="5"/>
  <c r="AL23" i="5"/>
  <c r="AQ25" i="5"/>
  <c r="AG20" i="5"/>
  <c r="AK18" i="5"/>
  <c r="AQ17" i="5"/>
  <c r="AI17" i="5"/>
  <c r="AQ24" i="5"/>
  <c r="AQ8" i="5"/>
  <c r="AM27" i="5"/>
  <c r="AJ24" i="5"/>
  <c r="AO19" i="5"/>
  <c r="AR12" i="5"/>
  <c r="AK9" i="5"/>
  <c r="AO23" i="5"/>
  <c r="AG7" i="5"/>
  <c r="AK25" i="5"/>
  <c r="AQ26" i="5"/>
  <c r="AG8" i="5"/>
  <c r="AR26" i="5"/>
  <c r="AO12" i="5"/>
  <c r="AL10" i="5"/>
  <c r="AO26" i="5"/>
  <c r="AH16" i="5"/>
  <c r="AI14" i="5"/>
  <c r="AP12" i="5"/>
  <c r="AK26" i="5"/>
  <c r="AG23" i="5"/>
  <c r="AI23" i="5"/>
  <c r="AP13" i="5"/>
  <c r="AG16" i="5"/>
  <c r="AQ13" i="5"/>
  <c r="AN7" i="5"/>
  <c r="AL18" i="5"/>
  <c r="AN21" i="5"/>
  <c r="AG11" i="5"/>
  <c r="AH10" i="5"/>
  <c r="AO14" i="5"/>
  <c r="AH19" i="5"/>
  <c r="AF18" i="5"/>
  <c r="AI8" i="5"/>
  <c r="AJ23" i="5"/>
  <c r="AG24" i="5"/>
  <c r="AP8" i="5"/>
  <c r="AN23" i="5"/>
  <c r="AL26" i="5"/>
  <c r="AM24" i="5"/>
  <c r="AG27" i="5"/>
  <c r="AH26" i="5"/>
  <c r="AP10" i="5"/>
  <c r="AG22" i="5"/>
  <c r="AF25" i="5"/>
  <c r="AR20" i="5"/>
  <c r="AG15" i="5"/>
  <c r="AR15" i="5"/>
  <c r="AO16" i="5"/>
  <c r="AL17" i="5"/>
  <c r="AI18" i="5"/>
  <c r="AF19" i="5"/>
  <c r="AM8" i="5"/>
  <c r="AG10" i="5"/>
  <c r="AO11" i="5"/>
  <c r="AI13" i="5"/>
  <c r="AQ14" i="5"/>
  <c r="AL13" i="5"/>
  <c r="AQ19" i="5"/>
  <c r="AN20" i="5"/>
  <c r="AK21" i="5"/>
  <c r="AH22" i="5"/>
  <c r="AR25" i="5"/>
  <c r="AK14" i="5"/>
  <c r="AR18" i="5"/>
  <c r="AK15" i="5"/>
  <c r="AR27" i="5"/>
  <c r="AJ11" i="5"/>
  <c r="AM12" i="5"/>
  <c r="AF16" i="5"/>
  <c r="AF9" i="5"/>
  <c r="AJ12" i="5"/>
  <c r="AL15" i="5"/>
  <c r="AJ22" i="5"/>
  <c r="AN26" i="5"/>
  <c r="AR14" i="5"/>
  <c r="AJ20" i="5"/>
  <c r="AP19" i="5"/>
  <c r="AF7" i="5"/>
  <c r="AN9" i="5"/>
  <c r="AG25" i="5"/>
  <c r="AI21" i="5"/>
  <c r="AJ13" i="5"/>
  <c r="AQ15" i="5"/>
  <c r="AR21" i="5"/>
  <c r="AO15" i="5"/>
  <c r="AQ7" i="5"/>
  <c r="AN27" i="5"/>
  <c r="AP15" i="5"/>
  <c r="AL12" i="5"/>
  <c r="AR8" i="5"/>
  <c r="AI11" i="5"/>
  <c r="AH15" i="5"/>
  <c r="AM10" i="5"/>
  <c r="AP26" i="5"/>
  <c r="AQ23" i="5"/>
  <c r="AN17" i="5"/>
  <c r="AL7" i="5"/>
  <c r="AJ15" i="5"/>
  <c r="AJ17" i="5"/>
  <c r="AF22" i="5"/>
  <c r="AO17" i="5"/>
  <c r="AF20" i="5"/>
  <c r="AM9" i="5"/>
  <c r="AP11" i="5"/>
  <c r="AF10" i="5"/>
  <c r="AO22" i="5"/>
  <c r="AM19" i="5"/>
  <c r="AG13" i="5"/>
  <c r="AM22" i="5"/>
  <c r="AO18" i="5"/>
  <c r="AK23" i="5"/>
  <c r="AR24" i="5"/>
  <c r="AI27" i="5"/>
  <c r="AG18" i="5"/>
  <c r="AL21" i="5"/>
  <c r="AL24" i="5"/>
  <c r="AN16" i="5"/>
  <c r="AI9" i="5"/>
  <c r="AJ21" i="5"/>
  <c r="AR23" i="5"/>
  <c r="AO24" i="5"/>
  <c r="AL25" i="5"/>
  <c r="AI26" i="5"/>
  <c r="AF27" i="5"/>
  <c r="AM16" i="5"/>
  <c r="AG26" i="5"/>
  <c r="AO27" i="5"/>
  <c r="AH8" i="5"/>
  <c r="AQ22" i="5"/>
  <c r="AK8" i="5"/>
  <c r="AQ27" i="5"/>
  <c r="AM7" i="5"/>
  <c r="AJ8" i="5"/>
  <c r="AG9" i="5"/>
  <c r="AQ12" i="5"/>
  <c r="AJ9" i="5"/>
  <c r="AQ21" i="5"/>
  <c r="AJ10" i="5"/>
  <c r="AP25" i="5"/>
  <c r="AJ27" i="5"/>
  <c r="AL14" i="5"/>
  <c r="AP27" i="5"/>
  <c r="AH25" i="5"/>
  <c r="AK17" i="5"/>
  <c r="AG12" i="5"/>
  <c r="AH18" i="5"/>
  <c r="AK27" i="5"/>
  <c r="AQ16" i="5"/>
  <c r="AI16" i="5"/>
  <c r="AO21" i="5"/>
  <c r="AP20" i="5"/>
  <c r="AI7" i="5"/>
  <c r="AK10" i="5"/>
  <c r="AQ10" i="5"/>
  <c r="AN11" i="5"/>
  <c r="AK12" i="5"/>
  <c r="AH13" i="5"/>
  <c r="AR17" i="5"/>
  <c r="AL11" i="5"/>
  <c r="AF21" i="5"/>
  <c r="AN22" i="5"/>
  <c r="AH24" i="5"/>
  <c r="AP9" i="5"/>
  <c r="AK24" i="5"/>
  <c r="AP14" i="5"/>
  <c r="AM15" i="5"/>
  <c r="AJ16" i="5"/>
  <c r="AG17" i="5"/>
  <c r="AP7" i="5"/>
  <c r="AJ25" i="5"/>
  <c r="AP24" i="5"/>
  <c r="AJ26" i="5"/>
  <c r="AO20" i="5"/>
  <c r="AI22" i="5"/>
  <c r="AK11" i="5"/>
  <c r="AH17" i="5"/>
  <c r="AN8" i="5"/>
  <c r="AR13" i="5"/>
  <c r="AJ14" i="5"/>
  <c r="AF23" i="5"/>
  <c r="AF8" i="5"/>
  <c r="AH20" i="5"/>
  <c r="AP18" i="5"/>
  <c r="AH12" i="5"/>
  <c r="AN18" i="5"/>
  <c r="AM21" i="5"/>
  <c r="AG14" i="5"/>
  <c r="AH9" i="5"/>
  <c r="AQ18" i="5"/>
  <c r="AN19" i="5"/>
  <c r="AK20" i="5"/>
  <c r="AH21" i="5"/>
  <c r="AQ20" i="5"/>
  <c r="AL27" i="5"/>
  <c r="AR10" i="5"/>
  <c r="AM17" i="5"/>
  <c r="AG19" i="5"/>
  <c r="AP17" i="5"/>
  <c r="AJ19" i="5"/>
  <c r="AP22" i="5"/>
  <c r="AM23" i="5"/>
  <c r="AP23" i="5"/>
  <c r="AI20" i="5"/>
  <c r="AN15" i="5"/>
  <c r="AR22" i="5"/>
  <c r="AI15" i="5"/>
  <c r="AF26" i="5"/>
  <c r="AM20" i="5"/>
  <c r="AF15" i="5"/>
  <c r="AJ7" i="5"/>
  <c r="AK22" i="5"/>
  <c r="AF14" i="5"/>
  <c r="AO9" i="5"/>
  <c r="AF12" i="5"/>
  <c r="AN14" i="5"/>
  <c r="AQ9" i="5"/>
  <c r="AI25" i="5"/>
  <c r="AH11" i="5"/>
  <c r="AO7" i="5"/>
  <c r="AL22" i="5"/>
  <c r="AM14" i="5"/>
  <c r="AO10" i="5"/>
  <c r="AK7" i="5"/>
  <c r="AR16" i="5"/>
  <c r="AI19" i="5"/>
  <c r="AH23" i="5"/>
  <c r="AM26" i="5"/>
  <c r="AN25" i="5"/>
  <c r="AH27" i="5"/>
  <c r="AL8" i="5"/>
  <c r="AK19" i="5"/>
  <c r="AP21" i="5"/>
  <c r="AI12" i="5"/>
  <c r="AR11" i="5"/>
  <c r="AO25" i="5"/>
  <c r="AM25" i="5"/>
  <c r="AO13" i="5"/>
  <c r="AN24" i="5"/>
  <c r="AL16" i="5"/>
  <c r="AF24" i="5"/>
  <c r="E17" i="6" l="1"/>
  <c r="E16" i="6"/>
  <c r="E12" i="6" l="1"/>
  <c r="J17" i="6"/>
  <c r="J12" i="6"/>
  <c r="J18" i="6"/>
  <c r="J16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8" i="6"/>
  <c r="J9" i="6"/>
  <c r="J7" i="6"/>
</calcChain>
</file>

<file path=xl/sharedStrings.xml><?xml version="1.0" encoding="utf-8"?>
<sst xmlns="http://schemas.openxmlformats.org/spreadsheetml/2006/main" count="810" uniqueCount="345">
  <si>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</si>
  <si>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</si>
  <si>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</si>
  <si>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</si>
  <si>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</si>
  <si>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</si>
  <si>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</si>
  <si>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</si>
  <si>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</si>
  <si>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</si>
  <si>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</si>
  <si>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</si>
  <si>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</si>
  <si>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</si>
  <si>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</si>
  <si>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</si>
  <si>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</si>
  <si>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</si>
  <si>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</si>
  <si>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</si>
  <si>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</si>
  <si>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</si>
  <si>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</si>
  <si>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</si>
  <si>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</si>
  <si>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</si>
  <si>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</si>
  <si>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</si>
  <si>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</si>
  <si>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</si>
  <si>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</si>
  <si>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</si>
  <si>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</si>
  <si>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</si>
  <si>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</si>
  <si>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</si>
  <si>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</si>
  <si>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</si>
  <si>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</si>
  <si>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</si>
  <si>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</si>
  <si>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</si>
  <si>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</si>
  <si>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</si>
  <si>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</si>
  <si>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</si>
  <si>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</si>
  <si>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</si>
  <si>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</si>
  <si>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</si>
  <si>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</si>
  <si>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</si>
  <si>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</si>
  <si>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</si>
  <si>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</si>
  <si>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</si>
  <si>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</si>
  <si>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</si>
  <si>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</si>
  <si>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</si>
  <si>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</si>
  <si>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</si>
  <si>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</si>
  <si>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</si>
  <si>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</si>
  <si>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</si>
  <si>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</si>
  <si>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</si>
  <si>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</si>
  <si>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</si>
  <si>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</si>
  <si>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</si>
  <si>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</si>
  <si>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</si>
  <si>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</si>
  <si>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</si>
  <si>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</si>
  <si>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</si>
  <si>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</si>
  <si>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</si>
  <si>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</si>
  <si>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</si>
  <si>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</si>
  <si>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</si>
  <si>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</si>
  <si>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</si>
  <si>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</si>
  <si>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</si>
  <si>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</si>
  <si>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</si>
  <si>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</si>
  <si>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</si>
  <si>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</si>
  <si>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</si>
  <si>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</si>
  <si>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</si>
  <si>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</si>
  <si>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</si>
  <si>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</si>
  <si>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</si>
  <si>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</si>
  <si>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</si>
  <si>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</si>
  <si>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</si>
  <si>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</si>
  <si>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</si>
  <si>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</si>
  <si>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</si>
  <si>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</si>
  <si>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</si>
  <si>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</si>
  <si>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</si>
  <si>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</si>
  <si>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</si>
  <si>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</si>
  <si>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</si>
  <si>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</si>
  <si>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</si>
  <si>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</si>
  <si>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</si>
  <si>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</si>
  <si>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</si>
  <si>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</si>
  <si>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</si>
  <si>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</si>
  <si>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</si>
  <si>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</si>
  <si>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</si>
  <si>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</si>
  <si>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</si>
  <si>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</si>
  <si>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</si>
  <si>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</si>
  <si>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</si>
  <si>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</si>
  <si>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</si>
  <si>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</si>
  <si>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</si>
  <si>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</si>
  <si>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</si>
  <si>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</si>
  <si>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</si>
  <si>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</si>
  <si>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</si>
  <si>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</si>
  <si>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</si>
  <si>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</si>
  <si>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</si>
  <si>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</si>
  <si>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</si>
  <si>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</si>
  <si>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</si>
  <si>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</si>
  <si>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</si>
  <si>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</si>
  <si>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</si>
  <si>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</si>
  <si>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</si>
  <si>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</si>
  <si>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</si>
  <si>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</si>
  <si>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</si>
  <si>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</si>
  <si>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</si>
  <si>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</si>
  <si>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</si>
  <si>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</si>
  <si>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</si>
  <si>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</si>
  <si>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</si>
  <si>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</si>
  <si>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</si>
  <si>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</si>
  <si>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</si>
  <si>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</si>
  <si>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</si>
  <si>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</si>
  <si>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</si>
  <si>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</si>
  <si>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</si>
  <si>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</si>
  <si>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</si>
  <si>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</si>
  <si>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</si>
  <si>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</si>
  <si>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</si>
  <si>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</si>
  <si>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</si>
  <si>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</si>
  <si>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</si>
  <si>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</si>
  <si>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</si>
  <si>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</si>
  <si>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</si>
  <si>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1.058|1|1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</si>
  <si>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</si>
  <si>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</si>
  <si>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</si>
  <si>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</si>
  <si>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</si>
  <si>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</si>
  <si>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</si>
  <si>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</si>
  <si>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</si>
  <si>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</si>
  <si>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</si>
  <si>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</si>
  <si>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</si>
  <si>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</si>
  <si>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</si>
  <si>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</si>
  <si>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</si>
  <si>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</si>
  <si>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</si>
  <si>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</si>
  <si>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</si>
  <si>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</si>
  <si>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</si>
  <si>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</si>
  <si>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</si>
  <si>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</si>
  <si>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</si>
  <si>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</si>
  <si>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</si>
  <si>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</si>
  <si>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</si>
  <si>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</si>
  <si>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</si>
  <si>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</si>
  <si>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</si>
  <si>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</si>
  <si>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</si>
  <si>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</si>
  <si>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</si>
  <si>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</si>
  <si>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</si>
  <si>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</si>
  <si>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</si>
  <si>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</si>
  <si>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</si>
  <si>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</si>
  <si>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</si>
  <si>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</si>
  <si>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</si>
  <si>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</si>
  <si>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</si>
  <si>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</si>
  <si>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</si>
  <si>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</si>
  <si>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</si>
  <si>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</si>
  <si>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</si>
  <si>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</si>
  <si>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</si>
  <si>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</si>
  <si>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</si>
  <si>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</si>
  <si>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</si>
  <si>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</si>
  <si>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</si>
  <si>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</si>
  <si>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</si>
  <si>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</si>
  <si>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</si>
  <si>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</si>
  <si>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</si>
  <si>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</si>
  <si>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.958|1|1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</si>
  <si>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</si>
  <si>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</si>
  <si>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</si>
  <si>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</si>
  <si>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</si>
  <si>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</si>
  <si>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</si>
  <si>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</si>
  <si>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</si>
  <si>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</si>
  <si>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</si>
  <si>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</si>
  <si>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</si>
  <si>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</si>
  <si>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</si>
  <si>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</si>
  <si>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</si>
  <si>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</si>
  <si>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</si>
  <si>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</si>
  <si>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</si>
  <si>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</si>
  <si>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</si>
  <si>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</si>
  <si>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</si>
  <si>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</si>
  <si>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</si>
  <si>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</si>
  <si>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</si>
  <si>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</si>
  <si>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</si>
  <si>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</si>
  <si>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</si>
  <si>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</si>
  <si>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</si>
  <si>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</si>
  <si>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</si>
  <si>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</si>
  <si>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</si>
  <si>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</si>
  <si>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</si>
  <si>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</si>
  <si>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</si>
  <si>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</si>
  <si>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</si>
  <si>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</si>
  <si>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</si>
  <si>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</si>
  <si>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</si>
  <si>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</si>
  <si>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</si>
  <si>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</si>
  <si>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</si>
  <si>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</si>
  <si>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</si>
  <si>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</si>
  <si>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</si>
  <si>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  <phoneticPr fontId="1" type="noConversion"/>
  </si>
  <si>
    <t>20180410-CICC-MRJH-LMEAH-SWP-86</t>
  </si>
  <si>
    <t>p</t>
    <phoneticPr fontId="1" type="noConversion"/>
  </si>
  <si>
    <t>ah</t>
    <phoneticPr fontId="1" type="noConversion"/>
  </si>
  <si>
    <t>gcz18e</t>
    <phoneticPr fontId="1" type="noConversion"/>
  </si>
  <si>
    <t>20180411-CICC-MRJH-LMEAH-SWP-85</t>
  </si>
  <si>
    <t>c</t>
    <phoneticPr fontId="1" type="noConversion"/>
  </si>
  <si>
    <t>20180417-CICC-LZ-AL1807-VAN-C-52</t>
  </si>
  <si>
    <t>c</t>
    <phoneticPr fontId="1" type="noConversion"/>
  </si>
  <si>
    <t>van</t>
    <phoneticPr fontId="1" type="noConversion"/>
  </si>
  <si>
    <t>al1807</t>
  </si>
  <si>
    <t>al1807</t>
    <phoneticPr fontId="1" type="noConversion"/>
  </si>
  <si>
    <t>20180413-CICC-MRJH-LMEAH-VAN-C-82</t>
  </si>
  <si>
    <t>20180413-CICC-MRJH-LMEAH-VAN-P-82</t>
  </si>
  <si>
    <t>ah</t>
    <phoneticPr fontId="1" type="noConversion"/>
  </si>
  <si>
    <t>al1807</t>
    <phoneticPr fontId="1" type="noConversion"/>
  </si>
  <si>
    <t>1.038|1|1</t>
  </si>
  <si>
    <t>.962|1|1</t>
  </si>
  <si>
    <t>1.115|1|.35</t>
  </si>
  <si>
    <t>.885|1|.35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</si>
</sst>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0" xfId="0" applyFill="1"/>
    <xf numFmtId="180" fontId="3" fillId="0" borderId="0" xfId="0" applyNumberFormat="1" applyFont="1"/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27" totalsRowShown="0" headerRowDxfId="126" dataDxfId="125">
  <autoFilter ref="B6:AR27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50" totalsRowShown="0" headerRowDxfId="68" dataDxfId="67">
  <autoFilter ref="B8:N50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2" totalsRowShown="0" headerRowDxfId="53" dataDxfId="52">
  <autoFilter ref="B6:J22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27"/>
  <sheetViews>
    <sheetView tabSelected="1" topLeftCell="J1" zoomScaleNormal="100" workbookViewId="0">
      <selection activeCell="AL31" sqref="AL31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43207</v>
      </c>
      <c r="AE4" s="8"/>
    </row>
    <row r="6" spans="1:46">
      <c r="A6" s="6" t="s">
        <v>216</v>
      </c>
      <c r="B6" s="6" t="s">
        <v>200</v>
      </c>
      <c r="C6" s="6" t="s">
        <v>79</v>
      </c>
      <c r="D6" s="6" t="s">
        <v>163</v>
      </c>
      <c r="E6" s="6" t="s">
        <v>71</v>
      </c>
      <c r="F6" s="6" t="s">
        <v>13</v>
      </c>
      <c r="G6" s="6" t="s">
        <v>91</v>
      </c>
      <c r="H6" s="6" t="s">
        <v>73</v>
      </c>
      <c r="I6" s="6" t="s">
        <v>87</v>
      </c>
      <c r="J6" s="6" t="s">
        <v>77</v>
      </c>
      <c r="K6" s="6" t="s">
        <v>78</v>
      </c>
      <c r="L6" s="6" t="s">
        <v>4</v>
      </c>
      <c r="M6" s="6" t="s">
        <v>80</v>
      </c>
      <c r="N6" s="6" t="s">
        <v>70</v>
      </c>
      <c r="O6" s="6" t="s">
        <v>81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89</v>
      </c>
      <c r="AE6" s="6" t="s">
        <v>90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109</v>
      </c>
      <c r="D7" s="9" t="s">
        <v>164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3384</v>
      </c>
      <c r="P7" s="9">
        <v>0.18</v>
      </c>
      <c r="Q7" s="9" t="s">
        <v>162</v>
      </c>
      <c r="R7" s="9" t="s">
        <v>254</v>
      </c>
      <c r="S7" s="9" t="s">
        <v>255</v>
      </c>
      <c r="T7" s="9" t="s">
        <v>256</v>
      </c>
      <c r="U7" s="9" t="s">
        <v>257</v>
      </c>
      <c r="V7" s="9" t="s">
        <v>258</v>
      </c>
      <c r="W7" s="9" t="s">
        <v>259</v>
      </c>
      <c r="X7" s="9" t="s">
        <v>260</v>
      </c>
      <c r="Y7" s="9" t="s">
        <v>261</v>
      </c>
      <c r="Z7" s="9" t="s">
        <v>262</v>
      </c>
      <c r="AA7" s="9" t="s">
        <v>263</v>
      </c>
      <c r="AB7" s="9" t="s">
        <v>264</v>
      </c>
      <c r="AC7" s="9" t="s">
        <v>265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0.17127943485086342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1304332.3024576781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705889.74663513352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194083.50315331738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-136120.48189776402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1912610.9705895563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2504396.6055377689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3113095.358119593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-114051.94973098565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-157855.59727304778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3113095.3584753033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3113095.3581113173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-274967.77835539373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1538131.2673493428</v>
      </c>
    </row>
    <row r="8" spans="1:46">
      <c r="B8" s="9" t="s">
        <v>268</v>
      </c>
      <c r="C8" s="9" t="s">
        <v>168</v>
      </c>
      <c r="D8" s="9" t="s">
        <v>240</v>
      </c>
      <c r="E8" s="9">
        <v>-64</v>
      </c>
      <c r="F8" s="9">
        <v>16.545999999999999</v>
      </c>
      <c r="G8" s="7">
        <v>43157</v>
      </c>
      <c r="H8" s="7">
        <v>43217</v>
      </c>
      <c r="I8" s="7">
        <v>43217</v>
      </c>
      <c r="J8" s="9">
        <v>751.95</v>
      </c>
      <c r="K8" s="9" t="s">
        <v>269</v>
      </c>
      <c r="L8" s="9" t="s">
        <v>270</v>
      </c>
      <c r="M8" s="9" t="s">
        <v>271</v>
      </c>
      <c r="N8" s="9">
        <v>-320000</v>
      </c>
      <c r="O8" s="9">
        <v>16.664999999999999</v>
      </c>
      <c r="P8" s="9">
        <v>0.12</v>
      </c>
      <c r="Q8" s="9" t="s">
        <v>162</v>
      </c>
      <c r="R8" s="9" t="s">
        <v>272</v>
      </c>
      <c r="S8" s="9" t="s">
        <v>273</v>
      </c>
      <c r="T8" s="9" t="s">
        <v>274</v>
      </c>
      <c r="U8" s="9" t="s">
        <v>275</v>
      </c>
      <c r="V8" s="9" t="s">
        <v>276</v>
      </c>
      <c r="W8" s="9" t="s">
        <v>277</v>
      </c>
      <c r="X8" s="9" t="s">
        <v>278</v>
      </c>
      <c r="Y8" s="9" t="s">
        <v>279</v>
      </c>
      <c r="Z8" s="9" t="s">
        <v>280</v>
      </c>
      <c r="AA8" s="9" t="s">
        <v>281</v>
      </c>
      <c r="AB8" s="9" t="s">
        <v>282</v>
      </c>
      <c r="AC8" s="9" t="s">
        <v>283</v>
      </c>
      <c r="AD8" s="9"/>
      <c r="AE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-37328.04999999993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-170648.04999999984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-309300.84999999969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-442620.85000000079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95991.950000000012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234644.75000000044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367964.74999999983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-442620.85000000079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-442620.85000000079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367964.74999999983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367964.74999999983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-296281.00999999978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271128.91000000003</v>
      </c>
    </row>
    <row r="9" spans="1:46">
      <c r="B9" s="9" t="s">
        <v>173</v>
      </c>
      <c r="C9" s="9" t="s">
        <v>168</v>
      </c>
      <c r="D9" s="9" t="s">
        <v>240</v>
      </c>
      <c r="E9" s="9">
        <v>-24</v>
      </c>
      <c r="F9" s="9">
        <v>2236</v>
      </c>
      <c r="G9" s="7">
        <v>43122</v>
      </c>
      <c r="H9" s="7">
        <v>43209</v>
      </c>
      <c r="I9" s="7">
        <v>43209</v>
      </c>
      <c r="J9" s="9">
        <v>402.48</v>
      </c>
      <c r="K9" s="9" t="s">
        <v>243</v>
      </c>
      <c r="L9" s="9" t="s">
        <v>284</v>
      </c>
      <c r="M9" s="9" t="s">
        <v>285</v>
      </c>
      <c r="N9" s="9">
        <v>-600</v>
      </c>
      <c r="O9" s="9">
        <v>2382</v>
      </c>
      <c r="P9" s="9">
        <v>0.25</v>
      </c>
      <c r="Q9" s="9" t="s">
        <v>162</v>
      </c>
      <c r="R9" s="9" t="s">
        <v>286</v>
      </c>
      <c r="S9" s="9" t="s">
        <v>287</v>
      </c>
      <c r="T9" s="9" t="s">
        <v>288</v>
      </c>
      <c r="U9" s="9" t="s">
        <v>289</v>
      </c>
      <c r="V9" s="9" t="s">
        <v>290</v>
      </c>
      <c r="W9" s="9" t="s">
        <v>291</v>
      </c>
      <c r="X9" s="9" t="s">
        <v>292</v>
      </c>
      <c r="Y9" s="9" t="s">
        <v>293</v>
      </c>
      <c r="Z9" s="9" t="s">
        <v>294</v>
      </c>
      <c r="AA9" s="9" t="s">
        <v>295</v>
      </c>
      <c r="AB9" s="9" t="s">
        <v>296</v>
      </c>
      <c r="AC9" s="9" t="s">
        <v>297</v>
      </c>
      <c r="AD9" s="9"/>
      <c r="AE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88002.48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110869.68000000004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133736.88000000009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156604.08000000016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65135.279999999955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42268.079999999907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19400.879999999855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156604.08000000016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156604.08000000016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19400.879999999855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19400.879999999855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79583.820000000007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-17458.860000000019</v>
      </c>
    </row>
    <row r="10" spans="1:46">
      <c r="B10" s="9" t="s">
        <v>298</v>
      </c>
      <c r="C10" s="9" t="s">
        <v>168</v>
      </c>
      <c r="D10" s="9" t="s">
        <v>240</v>
      </c>
      <c r="E10" s="9">
        <v>-30</v>
      </c>
      <c r="F10" s="9">
        <v>16.71</v>
      </c>
      <c r="G10" s="7">
        <v>43158</v>
      </c>
      <c r="H10" s="7">
        <v>43217</v>
      </c>
      <c r="I10" s="7">
        <v>43217</v>
      </c>
      <c r="J10" s="9">
        <v>751.95</v>
      </c>
      <c r="K10" s="9" t="s">
        <v>269</v>
      </c>
      <c r="L10" s="9" t="s">
        <v>270</v>
      </c>
      <c r="M10" s="9" t="s">
        <v>271</v>
      </c>
      <c r="N10" s="9">
        <v>-150000</v>
      </c>
      <c r="O10" s="9">
        <v>16.664999999999999</v>
      </c>
      <c r="P10" s="9">
        <v>0.12</v>
      </c>
      <c r="Q10" s="9" t="s">
        <v>162</v>
      </c>
      <c r="R10" s="9" t="s">
        <v>272</v>
      </c>
      <c r="S10" s="9" t="s">
        <v>273</v>
      </c>
      <c r="T10" s="9" t="s">
        <v>274</v>
      </c>
      <c r="U10" s="9" t="s">
        <v>275</v>
      </c>
      <c r="V10" s="9" t="s">
        <v>276</v>
      </c>
      <c r="W10" s="9" t="s">
        <v>277</v>
      </c>
      <c r="X10" s="9" t="s">
        <v>278</v>
      </c>
      <c r="Y10" s="9" t="s">
        <v>279</v>
      </c>
      <c r="Z10" s="9" t="s">
        <v>280</v>
      </c>
      <c r="AA10" s="9" t="s">
        <v>281</v>
      </c>
      <c r="AB10" s="9" t="s">
        <v>282</v>
      </c>
      <c r="AC10" s="9" t="s">
        <v>283</v>
      </c>
      <c r="AD10" s="9"/>
      <c r="AE1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7501.9500000002554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-54991.799999999719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-119985.29999999964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-182479.05000000013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69995.70000000023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134989.20000000042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197482.95000000013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-182479.05000000013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-182479.05000000013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197482.95000000013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197482.95000000013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-129872.24999999981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136101.15000000008</v>
      </c>
    </row>
    <row r="11" spans="1:46">
      <c r="B11" s="9" t="s">
        <v>299</v>
      </c>
      <c r="C11" s="9" t="s">
        <v>168</v>
      </c>
      <c r="D11" s="9" t="s">
        <v>240</v>
      </c>
      <c r="E11" s="9">
        <v>-12</v>
      </c>
      <c r="F11" s="9">
        <v>6812.5</v>
      </c>
      <c r="G11" s="7">
        <v>43168.625</v>
      </c>
      <c r="H11" s="7">
        <v>43257.625</v>
      </c>
      <c r="I11" s="7">
        <v>43257</v>
      </c>
      <c r="J11" s="9">
        <v>1021.875</v>
      </c>
      <c r="K11" s="9" t="s">
        <v>269</v>
      </c>
      <c r="L11" s="9" t="s">
        <v>242</v>
      </c>
      <c r="M11" s="9" t="s">
        <v>300</v>
      </c>
      <c r="N11" s="9">
        <v>-300</v>
      </c>
      <c r="O11" s="9">
        <v>6883.5</v>
      </c>
      <c r="P11" s="9">
        <v>0.12</v>
      </c>
      <c r="Q11" s="9" t="s">
        <v>162</v>
      </c>
      <c r="R11" s="9" t="s">
        <v>178</v>
      </c>
      <c r="S11" s="9" t="s">
        <v>301</v>
      </c>
      <c r="T11" s="9" t="s">
        <v>194</v>
      </c>
      <c r="U11" s="9" t="s">
        <v>179</v>
      </c>
      <c r="V11" s="9" t="s">
        <v>302</v>
      </c>
      <c r="W11" s="9" t="s">
        <v>195</v>
      </c>
      <c r="X11" s="9" t="s">
        <v>196</v>
      </c>
      <c r="Y11" s="9" t="s">
        <v>197</v>
      </c>
      <c r="Z11" s="9" t="s">
        <v>198</v>
      </c>
      <c r="AA11" s="9" t="s">
        <v>199</v>
      </c>
      <c r="AB11" s="9" t="s">
        <v>303</v>
      </c>
      <c r="AC11" s="9" t="s">
        <v>304</v>
      </c>
      <c r="AD11" s="9"/>
      <c r="AE1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-20278.125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-59514.074999999779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-100815.07499999979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-140051.02500000011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18957.825000000048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60258.82500000007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99494.775000000111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-140051.02500000011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-140051.02500000011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99494.775000000111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99494.775000000111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-90996.922499999971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78130.672499999971</v>
      </c>
    </row>
    <row r="12" spans="1:46">
      <c r="B12" s="9" t="s">
        <v>305</v>
      </c>
      <c r="C12" s="9" t="s">
        <v>168</v>
      </c>
      <c r="D12" s="9" t="s">
        <v>240</v>
      </c>
      <c r="E12" s="9">
        <v>-30</v>
      </c>
      <c r="F12" s="9">
        <v>16.545000000000002</v>
      </c>
      <c r="G12" s="7">
        <v>43175</v>
      </c>
      <c r="H12" s="7">
        <v>43238</v>
      </c>
      <c r="I12" s="7">
        <v>43238</v>
      </c>
      <c r="J12" s="9">
        <v>1240.875</v>
      </c>
      <c r="K12" s="9" t="s">
        <v>269</v>
      </c>
      <c r="L12" s="9" t="s">
        <v>306</v>
      </c>
      <c r="M12" s="9" t="s">
        <v>271</v>
      </c>
      <c r="N12" s="9">
        <v>-150000</v>
      </c>
      <c r="O12" s="9">
        <v>16.725000000000001</v>
      </c>
      <c r="P12" s="9">
        <v>0.12</v>
      </c>
      <c r="Q12" s="9" t="s">
        <v>162</v>
      </c>
      <c r="R12" s="9" t="s">
        <v>272</v>
      </c>
      <c r="S12" s="9" t="s">
        <v>273</v>
      </c>
      <c r="T12" s="9" t="s">
        <v>274</v>
      </c>
      <c r="U12" s="9" t="s">
        <v>275</v>
      </c>
      <c r="V12" s="9" t="s">
        <v>276</v>
      </c>
      <c r="W12" s="9" t="s">
        <v>277</v>
      </c>
      <c r="X12" s="9" t="s">
        <v>278</v>
      </c>
      <c r="Y12" s="9" t="s">
        <v>279</v>
      </c>
      <c r="Z12" s="9" t="s">
        <v>280</v>
      </c>
      <c r="AA12" s="9" t="s">
        <v>281</v>
      </c>
      <c r="AB12" s="9" t="s">
        <v>282</v>
      </c>
      <c r="AC12" s="9" t="s">
        <v>283</v>
      </c>
      <c r="AD12" s="9"/>
      <c r="AE1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-25759.124999999956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-88477.874999999942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-153705.37500000006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-216424.12500000003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36959.625000000022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102187.12500000015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164905.87499999985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-216424.12500000003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-216424.12500000003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164905.87499999985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164905.87499999985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-141674.62499999985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125256.37500000007</v>
      </c>
      <c r="AT12" s="29"/>
    </row>
    <row r="13" spans="1:46">
      <c r="B13" s="9" t="s">
        <v>307</v>
      </c>
      <c r="C13" s="9" t="s">
        <v>168</v>
      </c>
      <c r="D13" s="9" t="s">
        <v>240</v>
      </c>
      <c r="E13" s="9">
        <v>-37</v>
      </c>
      <c r="F13" s="9">
        <v>6818.76</v>
      </c>
      <c r="G13" s="7">
        <v>43185</v>
      </c>
      <c r="H13" s="7">
        <v>43271</v>
      </c>
      <c r="I13" s="7">
        <v>43271</v>
      </c>
      <c r="J13" s="9">
        <v>3153.6765</v>
      </c>
      <c r="K13" s="9" t="s">
        <v>269</v>
      </c>
      <c r="L13" s="9" t="s">
        <v>242</v>
      </c>
      <c r="M13" s="9" t="s">
        <v>300</v>
      </c>
      <c r="N13" s="9">
        <v>-925</v>
      </c>
      <c r="O13" s="9">
        <v>6883.5</v>
      </c>
      <c r="P13" s="9">
        <v>0.12</v>
      </c>
      <c r="Q13" s="9" t="s">
        <v>162</v>
      </c>
      <c r="R13" s="9" t="s">
        <v>178</v>
      </c>
      <c r="S13" s="9" t="s">
        <v>301</v>
      </c>
      <c r="T13" s="9" t="s">
        <v>194</v>
      </c>
      <c r="U13" s="9" t="s">
        <v>179</v>
      </c>
      <c r="V13" s="9" t="s">
        <v>302</v>
      </c>
      <c r="W13" s="9" t="s">
        <v>195</v>
      </c>
      <c r="X13" s="9" t="s">
        <v>196</v>
      </c>
      <c r="Y13" s="9" t="s">
        <v>197</v>
      </c>
      <c r="Z13" s="9" t="s">
        <v>198</v>
      </c>
      <c r="AA13" s="9" t="s">
        <v>199</v>
      </c>
      <c r="AB13" s="9" t="s">
        <v>303</v>
      </c>
      <c r="AC13" s="9" t="s">
        <v>304</v>
      </c>
      <c r="AD13" s="9"/>
      <c r="AE1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-56730.823499999795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-177708.33599999911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-305053.0859999992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-426030.59850000014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64246.689000000348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191591.43900000042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312568.95150000055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-426030.59850000014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-426030.59850000014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312568.95150000055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312568.95150000055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-278544.27412499982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242932.47712499998</v>
      </c>
    </row>
    <row r="14" spans="1:46">
      <c r="B14" s="9" t="s">
        <v>308</v>
      </c>
      <c r="C14" s="9" t="s">
        <v>168</v>
      </c>
      <c r="D14" s="9" t="s">
        <v>240</v>
      </c>
      <c r="E14" s="9">
        <v>-30</v>
      </c>
      <c r="F14" s="9">
        <v>16.535</v>
      </c>
      <c r="G14" s="7">
        <v>43166</v>
      </c>
      <c r="H14" s="7">
        <v>43217</v>
      </c>
      <c r="I14" s="7">
        <v>43217</v>
      </c>
      <c r="J14" s="9">
        <v>-744.07499999999993</v>
      </c>
      <c r="K14" s="9" t="s">
        <v>269</v>
      </c>
      <c r="L14" s="9" t="s">
        <v>270</v>
      </c>
      <c r="M14" s="9" t="s">
        <v>271</v>
      </c>
      <c r="N14" s="9">
        <v>-150000</v>
      </c>
      <c r="O14" s="9">
        <v>16.664999999999999</v>
      </c>
      <c r="P14" s="9">
        <v>0.12</v>
      </c>
      <c r="Q14" s="9" t="s">
        <v>162</v>
      </c>
      <c r="R14" s="9" t="s">
        <v>272</v>
      </c>
      <c r="S14" s="9" t="s">
        <v>273</v>
      </c>
      <c r="T14" s="9" t="s">
        <v>274</v>
      </c>
      <c r="U14" s="9" t="s">
        <v>275</v>
      </c>
      <c r="V14" s="9" t="s">
        <v>276</v>
      </c>
      <c r="W14" s="9" t="s">
        <v>277</v>
      </c>
      <c r="X14" s="9" t="s">
        <v>278</v>
      </c>
      <c r="Y14" s="9" t="s">
        <v>279</v>
      </c>
      <c r="Z14" s="9" t="s">
        <v>280</v>
      </c>
      <c r="AA14" s="9" t="s">
        <v>281</v>
      </c>
      <c r="AB14" s="9" t="s">
        <v>282</v>
      </c>
      <c r="AC14" s="9" t="s">
        <v>283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-20244.074999999852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-82737.824999999822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-147731.32499999975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-210225.07500000027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42249.675000000119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107243.17500000031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169736.92500000002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-210225.07500000027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-210225.07500000027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169736.92500000002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169736.92500000002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-140555.77499999985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125417.62500000006</v>
      </c>
    </row>
    <row r="15" spans="1:46">
      <c r="B15" s="9" t="s">
        <v>309</v>
      </c>
      <c r="C15" s="9" t="s">
        <v>168</v>
      </c>
      <c r="D15" s="9" t="s">
        <v>240</v>
      </c>
      <c r="E15" s="9">
        <v>0</v>
      </c>
      <c r="F15" s="9">
        <v>1366.7</v>
      </c>
      <c r="G15" s="7">
        <v>43187</v>
      </c>
      <c r="H15" s="7">
        <v>43279</v>
      </c>
      <c r="I15" s="7">
        <v>43279</v>
      </c>
      <c r="J15" s="9">
        <v>-1298.365</v>
      </c>
      <c r="K15" s="9" t="s">
        <v>243</v>
      </c>
      <c r="L15" s="9" t="s">
        <v>310</v>
      </c>
      <c r="M15" s="9" t="s">
        <v>311</v>
      </c>
      <c r="N15" s="9">
        <v>0</v>
      </c>
      <c r="O15" s="9">
        <v>1367.9</v>
      </c>
      <c r="P15" s="9">
        <v>0.12</v>
      </c>
      <c r="Q15" s="9" t="s">
        <v>162</v>
      </c>
      <c r="R15" s="9" t="s">
        <v>312</v>
      </c>
      <c r="S15" s="9" t="s">
        <v>313</v>
      </c>
      <c r="T15" s="9" t="s">
        <v>266</v>
      </c>
      <c r="U15" s="9" t="s">
        <v>314</v>
      </c>
      <c r="V15" s="9" t="s">
        <v>315</v>
      </c>
      <c r="W15" s="9" t="s">
        <v>267</v>
      </c>
      <c r="X15" s="9" t="s">
        <v>316</v>
      </c>
      <c r="Y15" s="9" t="s">
        <v>317</v>
      </c>
      <c r="Z15" s="9" t="s">
        <v>318</v>
      </c>
      <c r="AA15" s="9" t="s">
        <v>319</v>
      </c>
      <c r="AB15" s="9" t="s">
        <v>320</v>
      </c>
      <c r="AC15" s="9" t="s">
        <v>321</v>
      </c>
      <c r="AD15" s="9"/>
      <c r="AE1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16" spans="1:46">
      <c r="B16" s="9" t="s">
        <v>322</v>
      </c>
      <c r="C16" s="9" t="s">
        <v>168</v>
      </c>
      <c r="D16" s="9" t="s">
        <v>240</v>
      </c>
      <c r="E16" s="9">
        <v>-30</v>
      </c>
      <c r="F16" s="9">
        <v>16.59</v>
      </c>
      <c r="G16" s="7">
        <v>43187</v>
      </c>
      <c r="H16" s="7">
        <v>43238</v>
      </c>
      <c r="I16" s="7">
        <v>43238</v>
      </c>
      <c r="J16" s="9">
        <v>-1244.25</v>
      </c>
      <c r="K16" s="9" t="s">
        <v>269</v>
      </c>
      <c r="L16" s="9" t="s">
        <v>306</v>
      </c>
      <c r="M16" s="9" t="s">
        <v>271</v>
      </c>
      <c r="N16" s="9">
        <v>-150000</v>
      </c>
      <c r="O16" s="9">
        <v>16.725000000000001</v>
      </c>
      <c r="P16" s="9">
        <v>0.12</v>
      </c>
      <c r="Q16" s="9" t="s">
        <v>162</v>
      </c>
      <c r="R16" s="9" t="s">
        <v>272</v>
      </c>
      <c r="S16" s="9" t="s">
        <v>273</v>
      </c>
      <c r="T16" s="9" t="s">
        <v>274</v>
      </c>
      <c r="U16" s="9" t="s">
        <v>275</v>
      </c>
      <c r="V16" s="9" t="s">
        <v>276</v>
      </c>
      <c r="W16" s="9" t="s">
        <v>277</v>
      </c>
      <c r="X16" s="9" t="s">
        <v>278</v>
      </c>
      <c r="Y16" s="9" t="s">
        <v>279</v>
      </c>
      <c r="Z16" s="9" t="s">
        <v>280</v>
      </c>
      <c r="AA16" s="9" t="s">
        <v>281</v>
      </c>
      <c r="AB16" s="9" t="s">
        <v>282</v>
      </c>
      <c r="AC16" s="9" t="s">
        <v>283</v>
      </c>
      <c r="AD16" s="9"/>
      <c r="AE1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-21494.250000000233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-84213.000000000218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-149440.50000000035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-212159.25000000032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41224.499999999745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106451.99999999987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169170.74999999959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-212159.25000000032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-212159.25000000032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169170.74999999959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169170.74999999959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-141797.24999999994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125133.74999999997</v>
      </c>
    </row>
    <row r="17" spans="2:46">
      <c r="B17" s="9" t="s">
        <v>323</v>
      </c>
      <c r="C17" s="9" t="s">
        <v>168</v>
      </c>
      <c r="D17" s="9" t="s">
        <v>240</v>
      </c>
      <c r="E17" s="9">
        <v>-24</v>
      </c>
      <c r="F17" s="9">
        <v>2051</v>
      </c>
      <c r="G17" s="7">
        <v>43187</v>
      </c>
      <c r="H17" s="7">
        <v>43209</v>
      </c>
      <c r="I17" s="7">
        <v>43209</v>
      </c>
      <c r="J17" s="9">
        <v>-615.30000000000007</v>
      </c>
      <c r="K17" s="9" t="s">
        <v>269</v>
      </c>
      <c r="L17" s="9" t="s">
        <v>284</v>
      </c>
      <c r="M17" s="9" t="s">
        <v>285</v>
      </c>
      <c r="N17" s="9">
        <v>-600</v>
      </c>
      <c r="O17" s="9">
        <v>2382</v>
      </c>
      <c r="P17" s="9">
        <v>0.25</v>
      </c>
      <c r="Q17" s="9" t="s">
        <v>162</v>
      </c>
      <c r="R17" s="9" t="s">
        <v>286</v>
      </c>
      <c r="S17" s="9" t="s">
        <v>287</v>
      </c>
      <c r="T17" s="9" t="s">
        <v>288</v>
      </c>
      <c r="U17" s="9" t="s">
        <v>289</v>
      </c>
      <c r="V17" s="9" t="s">
        <v>290</v>
      </c>
      <c r="W17" s="9" t="s">
        <v>291</v>
      </c>
      <c r="X17" s="9" t="s">
        <v>292</v>
      </c>
      <c r="Y17" s="9" t="s">
        <v>293</v>
      </c>
      <c r="Z17" s="9" t="s">
        <v>294</v>
      </c>
      <c r="AA17" s="9" t="s">
        <v>295</v>
      </c>
      <c r="AB17" s="9" t="s">
        <v>296</v>
      </c>
      <c r="AC17" s="9" t="s">
        <v>297</v>
      </c>
      <c r="AD17" s="9"/>
      <c r="AE1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-199215.3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-222082.50000000003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-244949.70000000007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-267816.90000000014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-176348.09999999995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-153480.89999999991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-130613.69999999985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-267816.90000000014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-267816.90000000014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-130613.69999999985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-130613.69999999985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-118646.64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-21603.959999999981</v>
      </c>
    </row>
    <row r="18" spans="2:46">
      <c r="B18" s="9" t="s">
        <v>324</v>
      </c>
      <c r="C18" s="9" t="s">
        <v>168</v>
      </c>
      <c r="D18" s="9" t="s">
        <v>240</v>
      </c>
      <c r="E18" s="9">
        <v>-52</v>
      </c>
      <c r="F18" s="9">
        <v>6631.92</v>
      </c>
      <c r="G18" s="7">
        <v>43186</v>
      </c>
      <c r="H18" s="7">
        <v>43273</v>
      </c>
      <c r="I18" s="7">
        <v>43273</v>
      </c>
      <c r="J18" s="9">
        <v>-4310.7479999999996</v>
      </c>
      <c r="K18" s="9" t="s">
        <v>269</v>
      </c>
      <c r="L18" s="9" t="s">
        <v>242</v>
      </c>
      <c r="M18" s="9" t="s">
        <v>300</v>
      </c>
      <c r="N18" s="9">
        <v>-1300</v>
      </c>
      <c r="O18" s="9">
        <v>6883.5</v>
      </c>
      <c r="P18" s="9">
        <v>0.12</v>
      </c>
      <c r="Q18" s="9" t="s">
        <v>162</v>
      </c>
      <c r="R18" s="9" t="s">
        <v>178</v>
      </c>
      <c r="S18" s="9" t="s">
        <v>301</v>
      </c>
      <c r="T18" s="9" t="s">
        <v>194</v>
      </c>
      <c r="U18" s="9" t="s">
        <v>179</v>
      </c>
      <c r="V18" s="9" t="s">
        <v>302</v>
      </c>
      <c r="W18" s="9" t="s">
        <v>195</v>
      </c>
      <c r="X18" s="9" t="s">
        <v>196</v>
      </c>
      <c r="Y18" s="9" t="s">
        <v>197</v>
      </c>
      <c r="Z18" s="9" t="s">
        <v>198</v>
      </c>
      <c r="AA18" s="9" t="s">
        <v>199</v>
      </c>
      <c r="AB18" s="9" t="s">
        <v>303</v>
      </c>
      <c r="AC18" s="9" t="s">
        <v>304</v>
      </c>
      <c r="AD18" s="9"/>
      <c r="AE1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-331364.74799999991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-501387.19799999893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-680358.19799999904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-850380.64800000039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-161342.29799999969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17628.702000000398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187651.15200000061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-850380.64800000039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-850380.64800000039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187651.15200000061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187651.15200000061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-485222.77049999987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247663.47449999995</v>
      </c>
      <c r="AT18" s="29"/>
    </row>
    <row r="19" spans="2:46">
      <c r="B19" s="9" t="s">
        <v>238</v>
      </c>
      <c r="C19" s="9" t="s">
        <v>168</v>
      </c>
      <c r="D19" s="9" t="s">
        <v>240</v>
      </c>
      <c r="E19" s="9">
        <v>-37</v>
      </c>
      <c r="F19" s="9">
        <v>6662.89</v>
      </c>
      <c r="G19" s="7">
        <v>43188.625</v>
      </c>
      <c r="H19" s="7">
        <v>43313.625</v>
      </c>
      <c r="I19" s="7">
        <v>43313.625</v>
      </c>
      <c r="J19" s="9">
        <v>-3081.5866249999999</v>
      </c>
      <c r="K19" s="9" t="s">
        <v>243</v>
      </c>
      <c r="L19" s="9" t="s">
        <v>242</v>
      </c>
      <c r="M19" s="9" t="s">
        <v>300</v>
      </c>
      <c r="N19" s="9">
        <v>-925</v>
      </c>
      <c r="O19" s="9">
        <v>6883.5</v>
      </c>
      <c r="P19" s="9">
        <v>0.12</v>
      </c>
      <c r="Q19" s="9" t="s">
        <v>162</v>
      </c>
      <c r="R19" s="9" t="s">
        <v>178</v>
      </c>
      <c r="S19" s="9" t="s">
        <v>301</v>
      </c>
      <c r="T19" s="9" t="s">
        <v>194</v>
      </c>
      <c r="U19" s="9" t="s">
        <v>179</v>
      </c>
      <c r="V19" s="9" t="s">
        <v>302</v>
      </c>
      <c r="W19" s="9" t="s">
        <v>195</v>
      </c>
      <c r="X19" s="9" t="s">
        <v>196</v>
      </c>
      <c r="Y19" s="9" t="s">
        <v>197</v>
      </c>
      <c r="Z19" s="9" t="s">
        <v>198</v>
      </c>
      <c r="AA19" s="9" t="s">
        <v>199</v>
      </c>
      <c r="AB19" s="9" t="s">
        <v>303</v>
      </c>
      <c r="AC19" s="9" t="s">
        <v>304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200982.66337499971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321960.17587499903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449304.92587499908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570282.43837500003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80005.150874999556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-47339.599125000517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-168317.11162500066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570282.43837500003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570282.43837500003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-168317.11162500066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-168317.11162500066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329079.2764999998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-192397.47475000002</v>
      </c>
    </row>
    <row r="20" spans="2:46">
      <c r="B20" s="9" t="s">
        <v>246</v>
      </c>
      <c r="C20" s="9" t="s">
        <v>252</v>
      </c>
      <c r="D20" s="9" t="s">
        <v>164</v>
      </c>
      <c r="E20" s="9">
        <v>-300</v>
      </c>
      <c r="F20" s="9">
        <v>3119.52</v>
      </c>
      <c r="G20" s="7">
        <v>43187</v>
      </c>
      <c r="H20" s="7">
        <v>43217.625</v>
      </c>
      <c r="I20" s="7">
        <v>43187</v>
      </c>
      <c r="J20" s="9">
        <v>0</v>
      </c>
      <c r="K20" s="9" t="s">
        <v>6</v>
      </c>
      <c r="L20" s="9" t="s">
        <v>64</v>
      </c>
      <c r="M20" s="9" t="s">
        <v>62</v>
      </c>
      <c r="N20" s="9">
        <v>-3000</v>
      </c>
      <c r="O20" s="9">
        <v>3384</v>
      </c>
      <c r="P20" s="9">
        <v>0.18</v>
      </c>
      <c r="Q20" s="9" t="s">
        <v>162</v>
      </c>
      <c r="R20" s="9" t="s">
        <v>254</v>
      </c>
      <c r="S20" s="9" t="s">
        <v>255</v>
      </c>
      <c r="T20" s="9" t="s">
        <v>256</v>
      </c>
      <c r="U20" s="9" t="s">
        <v>257</v>
      </c>
      <c r="V20" s="9" t="s">
        <v>258</v>
      </c>
      <c r="W20" s="9" t="s">
        <v>259</v>
      </c>
      <c r="X20" s="9" t="s">
        <v>260</v>
      </c>
      <c r="Y20" s="9" t="s">
        <v>261</v>
      </c>
      <c r="Z20" s="9" t="s">
        <v>262</v>
      </c>
      <c r="AA20" s="9" t="s">
        <v>263</v>
      </c>
      <c r="AB20" s="9" t="s">
        <v>264</v>
      </c>
      <c r="AC20" s="9" t="s">
        <v>265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-373.21815722134988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-5.1509106453445286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-3.0733464923202062E-2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-6.3331936630654093E-5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-9508.4168227897044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-82357.133768444182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-314672.48135303415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-1.8114800972275523E-3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-7.2622101045471038E-7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-321604.12467118341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-308449.88991443691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-2.5084322966077234E-15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-478848.73923631583</v>
      </c>
    </row>
    <row r="21" spans="2:46">
      <c r="B21" s="9" t="s">
        <v>247</v>
      </c>
      <c r="C21" s="9" t="s">
        <v>252</v>
      </c>
      <c r="D21" s="9" t="s">
        <v>164</v>
      </c>
      <c r="E21" s="9">
        <v>360</v>
      </c>
      <c r="F21" s="9">
        <v>3312.48</v>
      </c>
      <c r="G21" s="7">
        <v>43187</v>
      </c>
      <c r="H21" s="7">
        <v>43217.625</v>
      </c>
      <c r="I21" s="7">
        <v>43187</v>
      </c>
      <c r="J21" s="9">
        <v>0</v>
      </c>
      <c r="K21" s="9" t="s">
        <v>43</v>
      </c>
      <c r="L21" s="9" t="s">
        <v>64</v>
      </c>
      <c r="M21" s="9" t="s">
        <v>62</v>
      </c>
      <c r="N21" s="9">
        <v>3600</v>
      </c>
      <c r="O21" s="9">
        <v>3384</v>
      </c>
      <c r="P21" s="9">
        <v>0.18</v>
      </c>
      <c r="Q21" s="9" t="s">
        <v>162</v>
      </c>
      <c r="R21" s="9" t="s">
        <v>254</v>
      </c>
      <c r="S21" s="9" t="s">
        <v>255</v>
      </c>
      <c r="T21" s="9" t="s">
        <v>256</v>
      </c>
      <c r="U21" s="9" t="s">
        <v>257</v>
      </c>
      <c r="V21" s="9" t="s">
        <v>258</v>
      </c>
      <c r="W21" s="9" t="s">
        <v>259</v>
      </c>
      <c r="X21" s="9" t="s">
        <v>260</v>
      </c>
      <c r="Y21" s="9" t="s">
        <v>261</v>
      </c>
      <c r="Z21" s="9" t="s">
        <v>262</v>
      </c>
      <c r="AA21" s="9" t="s">
        <v>263</v>
      </c>
      <c r="AB21" s="9" t="s">
        <v>264</v>
      </c>
      <c r="AC21" s="9" t="s">
        <v>265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310573.73114710191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700401.99741001916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1121956.6534254199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1560082.9823061887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72031.901716220949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6480.5122104994762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138.66237149500034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1560094.4037276276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1560080.57887291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384.69011701361615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36.880604424614646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997732.07946180273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9.4504192210988048E-9</v>
      </c>
    </row>
    <row r="22" spans="2:46">
      <c r="B22" s="9" t="s">
        <v>326</v>
      </c>
      <c r="C22" s="9" t="s">
        <v>168</v>
      </c>
      <c r="D22" s="9" t="s">
        <v>240</v>
      </c>
      <c r="E22" s="9">
        <v>-58</v>
      </c>
      <c r="F22" s="9">
        <v>2117.38</v>
      </c>
      <c r="G22" s="7">
        <v>43200.625</v>
      </c>
      <c r="H22" s="7">
        <v>43286.625</v>
      </c>
      <c r="I22" s="7">
        <v>43286</v>
      </c>
      <c r="J22" s="9">
        <v>1535.1005</v>
      </c>
      <c r="K22" s="9" t="s">
        <v>6</v>
      </c>
      <c r="L22" s="9" t="s">
        <v>284</v>
      </c>
      <c r="M22" s="9" t="s">
        <v>285</v>
      </c>
      <c r="N22" s="9">
        <v>-1450</v>
      </c>
      <c r="O22" s="9">
        <v>2382</v>
      </c>
      <c r="P22" s="9">
        <v>0.25</v>
      </c>
      <c r="Q22" s="9" t="s">
        <v>162</v>
      </c>
      <c r="R22" s="9" t="s">
        <v>286</v>
      </c>
      <c r="S22" s="9" t="s">
        <v>287</v>
      </c>
      <c r="T22" s="9" t="s">
        <v>288</v>
      </c>
      <c r="U22" s="9" t="s">
        <v>289</v>
      </c>
      <c r="V22" s="9" t="s">
        <v>290</v>
      </c>
      <c r="W22" s="9" t="s">
        <v>291</v>
      </c>
      <c r="X22" s="9" t="s">
        <v>292</v>
      </c>
      <c r="Y22" s="9" t="s">
        <v>293</v>
      </c>
      <c r="Z22" s="9" t="s">
        <v>294</v>
      </c>
      <c r="AA22" s="9" t="s">
        <v>295</v>
      </c>
      <c r="AB22" s="9" t="s">
        <v>296</v>
      </c>
      <c r="AC22" s="9" t="s">
        <v>297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385234.10049999983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440496.50049999997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495758.90050000005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551021.30050000013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329971.70049999974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274709.3004999996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219446.90049999949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551021.30050000013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551021.30050000013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219446.90049999949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219446.90049999949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253089.65549999996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18569.845499999898</v>
      </c>
    </row>
    <row r="23" spans="2:46">
      <c r="B23" s="9" t="s">
        <v>330</v>
      </c>
      <c r="C23" s="9" t="s">
        <v>168</v>
      </c>
      <c r="D23" s="9" t="s">
        <v>240</v>
      </c>
      <c r="E23" s="9">
        <v>-8</v>
      </c>
      <c r="F23" s="9">
        <v>2185.5</v>
      </c>
      <c r="G23" s="7">
        <v>43201.625</v>
      </c>
      <c r="H23" s="7">
        <v>43286.625</v>
      </c>
      <c r="I23" s="7">
        <v>43286</v>
      </c>
      <c r="J23" s="9">
        <v>218.55</v>
      </c>
      <c r="K23" s="9" t="s">
        <v>43</v>
      </c>
      <c r="L23" s="9" t="s">
        <v>284</v>
      </c>
      <c r="M23" s="9" t="s">
        <v>285</v>
      </c>
      <c r="N23" s="9">
        <v>-200</v>
      </c>
      <c r="O23" s="9">
        <v>2382</v>
      </c>
      <c r="P23" s="9">
        <v>0.25</v>
      </c>
      <c r="Q23" s="9" t="s">
        <v>162</v>
      </c>
      <c r="R23" s="9" t="s">
        <v>286</v>
      </c>
      <c r="S23" s="9" t="s">
        <v>287</v>
      </c>
      <c r="T23" s="9" t="s">
        <v>288</v>
      </c>
      <c r="U23" s="9" t="s">
        <v>289</v>
      </c>
      <c r="V23" s="9" t="s">
        <v>290</v>
      </c>
      <c r="W23" s="9" t="s">
        <v>291</v>
      </c>
      <c r="X23" s="9" t="s">
        <v>292</v>
      </c>
      <c r="Y23" s="9" t="s">
        <v>293</v>
      </c>
      <c r="Z23" s="9" t="s">
        <v>294</v>
      </c>
      <c r="AA23" s="9" t="s">
        <v>295</v>
      </c>
      <c r="AB23" s="9" t="s">
        <v>296</v>
      </c>
      <c r="AC23" s="9" t="s">
        <v>297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-39081.449999999997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-46703.850000000013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-54326.250000000029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-61948.650000000045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-31459.049999999985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-23836.649999999969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-16214.249999999953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-61948.650000000045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-61948.650000000045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-16214.249999999953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-16214.249999999953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-29710.230000000003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2637.3300000000063</v>
      </c>
    </row>
    <row r="24" spans="2:46">
      <c r="B24" s="9" t="s">
        <v>330</v>
      </c>
      <c r="C24" s="9" t="s">
        <v>168</v>
      </c>
      <c r="D24" s="9" t="s">
        <v>240</v>
      </c>
      <c r="E24" s="9">
        <v>-5</v>
      </c>
      <c r="F24" s="9">
        <v>2266.5</v>
      </c>
      <c r="G24" s="7">
        <v>43202.625</v>
      </c>
      <c r="H24" s="7">
        <v>43286.625</v>
      </c>
      <c r="I24" s="7">
        <v>43286</v>
      </c>
      <c r="J24" s="9">
        <v>141.65625</v>
      </c>
      <c r="K24" s="9" t="s">
        <v>43</v>
      </c>
      <c r="L24" s="9" t="s">
        <v>284</v>
      </c>
      <c r="M24" s="9" t="s">
        <v>285</v>
      </c>
      <c r="N24" s="9">
        <v>-125</v>
      </c>
      <c r="O24" s="9">
        <v>2382</v>
      </c>
      <c r="P24" s="9">
        <v>0.25</v>
      </c>
      <c r="Q24" s="9" t="s">
        <v>162</v>
      </c>
      <c r="R24" s="9" t="s">
        <v>286</v>
      </c>
      <c r="S24" s="9" t="s">
        <v>287</v>
      </c>
      <c r="T24" s="9" t="s">
        <v>288</v>
      </c>
      <c r="U24" s="9" t="s">
        <v>289</v>
      </c>
      <c r="V24" s="9" t="s">
        <v>290</v>
      </c>
      <c r="W24" s="9" t="s">
        <v>291</v>
      </c>
      <c r="X24" s="9" t="s">
        <v>292</v>
      </c>
      <c r="Y24" s="9" t="s">
        <v>293</v>
      </c>
      <c r="Z24" s="9" t="s">
        <v>294</v>
      </c>
      <c r="AA24" s="9" t="s">
        <v>295</v>
      </c>
      <c r="AB24" s="9" t="s">
        <v>296</v>
      </c>
      <c r="AC24" s="9" t="s">
        <v>297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-14295.84375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-19059.843750000011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-23823.843750000022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-28587.843750000029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-9531.8437499999891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-4767.84374999998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-3.8437499999699867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-28587.843750000029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-28587.843750000029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-3.8437499999699867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-3.8437499999699867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-15020.081250000005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5197.1437500000038</v>
      </c>
    </row>
    <row r="25" spans="2:46">
      <c r="B25" s="9" t="s">
        <v>332</v>
      </c>
      <c r="C25" s="9" t="s">
        <v>113</v>
      </c>
      <c r="D25" s="9" t="s">
        <v>164</v>
      </c>
      <c r="E25" s="9">
        <v>400</v>
      </c>
      <c r="F25" s="9">
        <v>15500</v>
      </c>
      <c r="G25" s="7">
        <v>43207</v>
      </c>
      <c r="H25" s="7">
        <v>43259.625</v>
      </c>
      <c r="I25" s="7">
        <v>43259</v>
      </c>
      <c r="J25" s="9">
        <v>-271680</v>
      </c>
      <c r="K25" s="9" t="s">
        <v>43</v>
      </c>
      <c r="L25" s="9" t="s">
        <v>335</v>
      </c>
      <c r="M25" s="9" t="s">
        <v>10</v>
      </c>
      <c r="N25" s="9">
        <v>2000</v>
      </c>
      <c r="O25" s="9">
        <v>15010</v>
      </c>
      <c r="P25" s="9">
        <v>0.18</v>
      </c>
      <c r="Q25" s="9" t="s">
        <v>162</v>
      </c>
      <c r="R25" s="9" t="s">
        <v>178</v>
      </c>
      <c r="S25" s="9" t="s">
        <v>341</v>
      </c>
      <c r="T25" s="9" t="s">
        <v>194</v>
      </c>
      <c r="U25" s="9" t="s">
        <v>179</v>
      </c>
      <c r="V25" s="9" t="s">
        <v>342</v>
      </c>
      <c r="W25" s="9" t="s">
        <v>195</v>
      </c>
      <c r="X25" s="9" t="s">
        <v>196</v>
      </c>
      <c r="Y25" s="9" t="s">
        <v>197</v>
      </c>
      <c r="Z25" s="9" t="s">
        <v>198</v>
      </c>
      <c r="AA25" s="9" t="s">
        <v>199</v>
      </c>
      <c r="AB25" s="9" t="s">
        <v>343</v>
      </c>
      <c r="AC25" s="9" t="s">
        <v>344</v>
      </c>
      <c r="AD25" s="9">
        <v>0.16</v>
      </c>
      <c r="AE25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77639.864198766532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285979.28636450996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562199.93157609901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925697.83237510989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-68450.610165570717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-162821.29950553435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-220581.15051002637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996194.54059844208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856320.36385267111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-195248.25695144996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-240717.86424590193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624745.55093669449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-270602.5927418893</v>
      </c>
    </row>
    <row r="26" spans="2:46">
      <c r="B26" s="9" t="s">
        <v>337</v>
      </c>
      <c r="C26" s="9" t="s">
        <v>168</v>
      </c>
      <c r="D26" s="9" t="s">
        <v>164</v>
      </c>
      <c r="E26" s="9">
        <v>80</v>
      </c>
      <c r="F26" s="9">
        <v>2600.0000006499999</v>
      </c>
      <c r="G26" s="7">
        <v>43203</v>
      </c>
      <c r="H26" s="7">
        <v>43285.625</v>
      </c>
      <c r="I26" s="7">
        <v>43285</v>
      </c>
      <c r="J26" s="9">
        <v>-52000.001000000004</v>
      </c>
      <c r="K26" s="9" t="s">
        <v>43</v>
      </c>
      <c r="L26" s="9" t="s">
        <v>284</v>
      </c>
      <c r="M26" s="9" t="s">
        <v>285</v>
      </c>
      <c r="N26" s="9">
        <v>2000</v>
      </c>
      <c r="O26" s="9">
        <v>2382</v>
      </c>
      <c r="P26" s="9">
        <v>0.25</v>
      </c>
      <c r="Q26" s="9" t="s">
        <v>162</v>
      </c>
      <c r="R26" s="9" t="s">
        <v>286</v>
      </c>
      <c r="S26" s="9" t="s">
        <v>287</v>
      </c>
      <c r="T26" s="9" t="s">
        <v>288</v>
      </c>
      <c r="U26" s="9" t="s">
        <v>289</v>
      </c>
      <c r="V26" s="9" t="s">
        <v>290</v>
      </c>
      <c r="W26" s="9" t="s">
        <v>291</v>
      </c>
      <c r="X26" s="9" t="s">
        <v>292</v>
      </c>
      <c r="Y26" s="9" t="s">
        <v>293</v>
      </c>
      <c r="Z26" s="9" t="s">
        <v>294</v>
      </c>
      <c r="AA26" s="9" t="s">
        <v>295</v>
      </c>
      <c r="AB26" s="9" t="s">
        <v>296</v>
      </c>
      <c r="AC26" s="9" t="s">
        <v>297</v>
      </c>
      <c r="AD26" s="9">
        <v>0.25</v>
      </c>
      <c r="AE26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22738.783268289568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42860.569346098579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66491.009047441796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93812.280269234689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5888.6866543573851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-7971.7588999845248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-19157.574432070433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115979.0847810108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71911.64017245562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-7269.0640886787078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-29498.177903536649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36675.884492095618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-47905.142034488417</v>
      </c>
    </row>
    <row r="27" spans="2:46">
      <c r="B27" s="9" t="s">
        <v>338</v>
      </c>
      <c r="C27" s="9" t="s">
        <v>168</v>
      </c>
      <c r="D27" s="9" t="s">
        <v>164</v>
      </c>
      <c r="E27" s="9">
        <v>-80</v>
      </c>
      <c r="F27" s="9">
        <v>2099.9999993500001</v>
      </c>
      <c r="G27" s="7">
        <v>43203</v>
      </c>
      <c r="H27" s="7">
        <v>43285.625</v>
      </c>
      <c r="I27" s="7">
        <v>43285</v>
      </c>
      <c r="J27" s="9">
        <v>50000.000599999999</v>
      </c>
      <c r="K27" s="9" t="s">
        <v>6</v>
      </c>
      <c r="L27" s="9" t="s">
        <v>284</v>
      </c>
      <c r="M27" s="9" t="s">
        <v>285</v>
      </c>
      <c r="N27" s="9">
        <v>-2000</v>
      </c>
      <c r="O27" s="9">
        <v>2382</v>
      </c>
      <c r="P27" s="9">
        <v>0.25</v>
      </c>
      <c r="Q27" s="9" t="s">
        <v>162</v>
      </c>
      <c r="R27" s="9" t="s">
        <v>286</v>
      </c>
      <c r="S27" s="9" t="s">
        <v>287</v>
      </c>
      <c r="T27" s="9" t="s">
        <v>288</v>
      </c>
      <c r="U27" s="9" t="s">
        <v>289</v>
      </c>
      <c r="V27" s="9" t="s">
        <v>290</v>
      </c>
      <c r="W27" s="9" t="s">
        <v>291</v>
      </c>
      <c r="X27" s="9" t="s">
        <v>292</v>
      </c>
      <c r="Y27" s="9" t="s">
        <v>293</v>
      </c>
      <c r="Z27" s="9" t="s">
        <v>294</v>
      </c>
      <c r="AA27" s="9" t="s">
        <v>295</v>
      </c>
      <c r="AB27" s="9" t="s">
        <v>296</v>
      </c>
      <c r="AC27" s="9" t="s">
        <v>297</v>
      </c>
      <c r="AD27" s="9">
        <v>0.25</v>
      </c>
      <c r="AE2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0.25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13581.514174393596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22145.147891414748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28896.088123227772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34157.881145063729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2845.124209655849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-10453.696297685972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-26723.369557330239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26466.600422017676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40313.940357316817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-43176.481019627128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-10976.634669731073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47819.01652698301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-2237.8231245396964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0"/>
  <sheetViews>
    <sheetView topLeftCell="A16" zoomScale="85" zoomScaleNormal="85" workbookViewId="0">
      <selection activeCell="M48" sqref="M48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183</v>
      </c>
      <c r="C8" s="16" t="s">
        <v>71</v>
      </c>
      <c r="D8" s="16" t="s">
        <v>72</v>
      </c>
      <c r="E8" s="17" t="s">
        <v>73</v>
      </c>
      <c r="F8" s="16" t="s">
        <v>74</v>
      </c>
      <c r="G8" s="16" t="s">
        <v>75</v>
      </c>
      <c r="H8" s="16" t="s">
        <v>76</v>
      </c>
      <c r="I8" s="16" t="s">
        <v>77</v>
      </c>
      <c r="J8" s="16" t="s">
        <v>78</v>
      </c>
      <c r="K8" s="16" t="s">
        <v>163</v>
      </c>
      <c r="L8" s="16" t="s">
        <v>4</v>
      </c>
      <c r="M8" s="16" t="s">
        <v>79</v>
      </c>
      <c r="N8" s="18" t="s">
        <v>89</v>
      </c>
    </row>
    <row r="9" spans="2:14">
      <c r="B9" s="18" t="s">
        <v>202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92</v>
      </c>
      <c r="L9" s="18" t="s">
        <v>9</v>
      </c>
      <c r="M9" s="18" t="s">
        <v>203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92</v>
      </c>
      <c r="L10" s="18" t="s">
        <v>64</v>
      </c>
      <c r="M10" s="18" t="s">
        <v>108</v>
      </c>
      <c r="N10" s="18">
        <v>0.125</v>
      </c>
    </row>
    <row r="11" spans="2:14">
      <c r="B11" s="18" t="s">
        <v>93</v>
      </c>
      <c r="C11" s="18">
        <v>100</v>
      </c>
      <c r="D11" s="19">
        <v>43139</v>
      </c>
      <c r="E11" s="19">
        <v>43201.625</v>
      </c>
      <c r="F11" s="19">
        <v>43201</v>
      </c>
      <c r="G11" s="19">
        <v>43201.625</v>
      </c>
      <c r="H11" s="18">
        <v>524</v>
      </c>
      <c r="I11" s="18">
        <v>-235800</v>
      </c>
      <c r="J11" s="18" t="s">
        <v>6</v>
      </c>
      <c r="K11" s="18" t="s">
        <v>92</v>
      </c>
      <c r="L11" s="18" t="s">
        <v>104</v>
      </c>
      <c r="M11" s="18" t="s">
        <v>110</v>
      </c>
      <c r="N11" s="18">
        <v>0.125</v>
      </c>
    </row>
    <row r="12" spans="2:14">
      <c r="B12" s="18" t="s">
        <v>94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43</v>
      </c>
      <c r="K12" s="18" t="s">
        <v>92</v>
      </c>
      <c r="L12" s="18" t="s">
        <v>104</v>
      </c>
      <c r="M12" s="18" t="s">
        <v>110</v>
      </c>
      <c r="N12" s="18">
        <v>0.125</v>
      </c>
    </row>
    <row r="13" spans="2:14">
      <c r="B13" s="18" t="s">
        <v>67</v>
      </c>
      <c r="C13" s="18">
        <v>1000</v>
      </c>
      <c r="D13" s="19">
        <v>43129</v>
      </c>
      <c r="E13" s="19">
        <v>43189.625</v>
      </c>
      <c r="F13" s="19">
        <v>43189</v>
      </c>
      <c r="G13" s="19">
        <v>43189.625</v>
      </c>
      <c r="H13" s="18">
        <v>3650.0000014560001</v>
      </c>
      <c r="I13" s="18">
        <v>-470000.00880000001</v>
      </c>
      <c r="J13" s="18" t="s">
        <v>6</v>
      </c>
      <c r="K13" s="18" t="s">
        <v>92</v>
      </c>
      <c r="L13" s="18" t="s">
        <v>64</v>
      </c>
      <c r="M13" s="18" t="s">
        <v>109</v>
      </c>
      <c r="N13" s="18">
        <v>0.125</v>
      </c>
    </row>
    <row r="14" spans="2:14">
      <c r="B14" s="18" t="s">
        <v>8</v>
      </c>
      <c r="C14" s="18">
        <v>400</v>
      </c>
      <c r="D14" s="19">
        <v>43118</v>
      </c>
      <c r="E14" s="19">
        <v>43200.625</v>
      </c>
      <c r="F14" s="19">
        <v>43202</v>
      </c>
      <c r="G14" s="19">
        <v>43200.625</v>
      </c>
      <c r="H14" s="18">
        <v>14500.000004</v>
      </c>
      <c r="I14" s="18">
        <v>-400000</v>
      </c>
      <c r="J14" s="18" t="s">
        <v>6</v>
      </c>
      <c r="K14" s="18" t="s">
        <v>92</v>
      </c>
      <c r="L14" s="18" t="s">
        <v>9</v>
      </c>
      <c r="M14" s="18" t="s">
        <v>111</v>
      </c>
      <c r="N14" s="18">
        <v>0.12</v>
      </c>
    </row>
    <row r="15" spans="2:14">
      <c r="B15" s="18" t="s">
        <v>68</v>
      </c>
      <c r="C15" s="18">
        <v>500</v>
      </c>
      <c r="D15" s="19">
        <v>43104</v>
      </c>
      <c r="E15" s="19">
        <v>43167.625</v>
      </c>
      <c r="F15" s="19">
        <v>43167</v>
      </c>
      <c r="G15" s="19">
        <v>43167.625</v>
      </c>
      <c r="H15" s="18">
        <v>3550.00000086</v>
      </c>
      <c r="I15" s="18">
        <v>-315000.00594</v>
      </c>
      <c r="J15" s="18" t="s">
        <v>6</v>
      </c>
      <c r="K15" s="18" t="s">
        <v>92</v>
      </c>
      <c r="L15" s="18" t="s">
        <v>64</v>
      </c>
      <c r="M15" s="18" t="s">
        <v>109</v>
      </c>
      <c r="N15" s="18">
        <v>0.125</v>
      </c>
    </row>
    <row r="16" spans="2:14">
      <c r="B16" s="18" t="s">
        <v>41</v>
      </c>
      <c r="C16" s="18">
        <v>125</v>
      </c>
      <c r="D16" s="19">
        <v>43098</v>
      </c>
      <c r="E16" s="19">
        <v>43159.625</v>
      </c>
      <c r="F16" s="19">
        <v>43279</v>
      </c>
      <c r="G16" s="19">
        <v>43098</v>
      </c>
      <c r="H16" s="18">
        <v>10039.999997630001</v>
      </c>
      <c r="I16" s="18">
        <v>0</v>
      </c>
      <c r="J16" s="18" t="s">
        <v>43</v>
      </c>
      <c r="K16" s="18" t="s">
        <v>92</v>
      </c>
      <c r="L16" s="18" t="s">
        <v>44</v>
      </c>
      <c r="M16" s="18" t="s">
        <v>112</v>
      </c>
      <c r="N16" s="18"/>
    </row>
    <row r="17" spans="2:14">
      <c r="B17" s="18" t="s">
        <v>42</v>
      </c>
      <c r="C17" s="18">
        <v>-125</v>
      </c>
      <c r="D17" s="19">
        <v>43098</v>
      </c>
      <c r="E17" s="19">
        <v>43159.625</v>
      </c>
      <c r="F17" s="19">
        <v>43279</v>
      </c>
      <c r="G17" s="19">
        <v>43098</v>
      </c>
      <c r="H17" s="18">
        <v>9500.0000023699995</v>
      </c>
      <c r="I17" s="18">
        <v>9375</v>
      </c>
      <c r="J17" s="18" t="s">
        <v>6</v>
      </c>
      <c r="K17" s="18" t="s">
        <v>92</v>
      </c>
      <c r="L17" s="18" t="s">
        <v>44</v>
      </c>
      <c r="M17" s="18" t="s">
        <v>112</v>
      </c>
      <c r="N17" s="18"/>
    </row>
    <row r="18" spans="2:14">
      <c r="B18" s="18" t="s">
        <v>95</v>
      </c>
      <c r="C18" s="18">
        <v>-50</v>
      </c>
      <c r="D18" s="19">
        <v>43077</v>
      </c>
      <c r="E18" s="19">
        <v>43189.625</v>
      </c>
      <c r="F18" s="19">
        <v>43194</v>
      </c>
      <c r="G18" s="19">
        <v>43076</v>
      </c>
      <c r="H18" s="18">
        <v>1258</v>
      </c>
      <c r="I18" s="18">
        <v>297000</v>
      </c>
      <c r="J18" s="18" t="s">
        <v>6</v>
      </c>
      <c r="K18" s="18" t="s">
        <v>92</v>
      </c>
      <c r="L18" s="18" t="s">
        <v>105</v>
      </c>
      <c r="M18" s="18" t="s">
        <v>113</v>
      </c>
      <c r="N18" s="18"/>
    </row>
    <row r="19" spans="2:14">
      <c r="B19" s="18" t="s">
        <v>96</v>
      </c>
      <c r="C19" s="18">
        <v>-50</v>
      </c>
      <c r="D19" s="19">
        <v>43077</v>
      </c>
      <c r="E19" s="19">
        <v>43189.625</v>
      </c>
      <c r="F19" s="19">
        <v>43194</v>
      </c>
      <c r="G19" s="19">
        <v>43076</v>
      </c>
      <c r="H19" s="18">
        <v>1258</v>
      </c>
      <c r="I19" s="18">
        <v>297000</v>
      </c>
      <c r="J19" s="18" t="s">
        <v>43</v>
      </c>
      <c r="K19" s="18" t="s">
        <v>92</v>
      </c>
      <c r="L19" s="18" t="s">
        <v>105</v>
      </c>
      <c r="M19" s="18" t="s">
        <v>113</v>
      </c>
      <c r="N19" s="18"/>
    </row>
    <row r="20" spans="2:14">
      <c r="B20" s="18" t="s">
        <v>97</v>
      </c>
      <c r="C20" s="18">
        <v>2000</v>
      </c>
      <c r="D20" s="19">
        <v>43067</v>
      </c>
      <c r="E20" s="19">
        <v>43189.625</v>
      </c>
      <c r="F20" s="19">
        <v>43189</v>
      </c>
      <c r="G20" s="19">
        <v>43189.625</v>
      </c>
      <c r="H20" s="18">
        <v>1199.9999998999999</v>
      </c>
      <c r="I20" s="18">
        <v>-5999999.9280000003</v>
      </c>
      <c r="J20" s="18" t="s">
        <v>6</v>
      </c>
      <c r="K20" s="18" t="s">
        <v>92</v>
      </c>
      <c r="L20" s="18" t="s">
        <v>105</v>
      </c>
      <c r="M20" s="18" t="s">
        <v>114</v>
      </c>
      <c r="N20" s="18">
        <v>0.32</v>
      </c>
    </row>
    <row r="21" spans="2:14">
      <c r="B21" s="18" t="s">
        <v>98</v>
      </c>
      <c r="C21" s="18">
        <v>300</v>
      </c>
      <c r="D21" s="19">
        <v>43054</v>
      </c>
      <c r="E21" s="19">
        <v>43189.625</v>
      </c>
      <c r="F21" s="19">
        <v>43190</v>
      </c>
      <c r="G21" s="19">
        <v>43189.625</v>
      </c>
      <c r="H21" s="18">
        <v>13000.000006799999</v>
      </c>
      <c r="I21" s="18">
        <v>-1791000.0179999999</v>
      </c>
      <c r="J21" s="18" t="s">
        <v>6</v>
      </c>
      <c r="K21" s="18" t="s">
        <v>92</v>
      </c>
      <c r="L21" s="18" t="s">
        <v>106</v>
      </c>
      <c r="M21" s="18" t="s">
        <v>114</v>
      </c>
      <c r="N21" s="18">
        <v>0.26</v>
      </c>
    </row>
    <row r="22" spans="2:14">
      <c r="B22" s="18" t="s">
        <v>99</v>
      </c>
      <c r="C22" s="18">
        <v>-500</v>
      </c>
      <c r="D22" s="19">
        <v>43048</v>
      </c>
      <c r="E22" s="19">
        <v>43203.625</v>
      </c>
      <c r="F22" s="19">
        <v>43203</v>
      </c>
      <c r="G22" s="19">
        <v>43048</v>
      </c>
      <c r="H22" s="18">
        <v>3599.9999997999998</v>
      </c>
      <c r="I22" s="18">
        <v>931199.99399999995</v>
      </c>
      <c r="J22" s="18" t="s">
        <v>6</v>
      </c>
      <c r="K22" s="18" t="s">
        <v>92</v>
      </c>
      <c r="L22" s="18" t="s">
        <v>107</v>
      </c>
      <c r="M22" s="18" t="s">
        <v>113</v>
      </c>
      <c r="N22" s="18"/>
    </row>
    <row r="23" spans="2:14">
      <c r="B23" s="18" t="s">
        <v>100</v>
      </c>
      <c r="C23" s="18">
        <v>-500</v>
      </c>
      <c r="D23" s="19">
        <v>43048</v>
      </c>
      <c r="E23" s="19">
        <v>43203.625</v>
      </c>
      <c r="F23" s="19">
        <v>43203</v>
      </c>
      <c r="G23" s="19">
        <v>43048</v>
      </c>
      <c r="H23" s="18">
        <v>4000.0000002000002</v>
      </c>
      <c r="I23" s="18">
        <v>1122200.0019999999</v>
      </c>
      <c r="J23" s="18" t="s">
        <v>43</v>
      </c>
      <c r="K23" s="18" t="s">
        <v>92</v>
      </c>
      <c r="L23" s="18" t="s">
        <v>107</v>
      </c>
      <c r="M23" s="18" t="s">
        <v>113</v>
      </c>
      <c r="N23" s="18"/>
    </row>
    <row r="24" spans="2:14">
      <c r="B24" s="18" t="s">
        <v>101</v>
      </c>
      <c r="C24" s="18">
        <v>500</v>
      </c>
      <c r="D24" s="19">
        <v>43048</v>
      </c>
      <c r="E24" s="19">
        <v>43203.625</v>
      </c>
      <c r="F24" s="19">
        <v>43203</v>
      </c>
      <c r="G24" s="19">
        <v>43203.625</v>
      </c>
      <c r="H24" s="18">
        <v>450</v>
      </c>
      <c r="I24" s="18">
        <v>-760500</v>
      </c>
      <c r="J24" s="18" t="s">
        <v>6</v>
      </c>
      <c r="K24" s="18" t="s">
        <v>92</v>
      </c>
      <c r="L24" s="18" t="s">
        <v>104</v>
      </c>
      <c r="M24" s="18" t="s">
        <v>114</v>
      </c>
      <c r="N24" s="18">
        <v>0.27</v>
      </c>
    </row>
    <row r="25" spans="2:14">
      <c r="B25" s="18" t="s">
        <v>102</v>
      </c>
      <c r="C25" s="18">
        <v>1500</v>
      </c>
      <c r="D25" s="19">
        <v>43048</v>
      </c>
      <c r="E25" s="19">
        <v>43203.625</v>
      </c>
      <c r="F25" s="19">
        <v>43203</v>
      </c>
      <c r="G25" s="19">
        <v>43203.625</v>
      </c>
      <c r="H25" s="18">
        <v>4000</v>
      </c>
      <c r="I25" s="18">
        <v>-2317950</v>
      </c>
      <c r="J25" s="18" t="s">
        <v>43</v>
      </c>
      <c r="K25" s="18" t="s">
        <v>92</v>
      </c>
      <c r="L25" s="18" t="s">
        <v>107</v>
      </c>
      <c r="M25" s="18" t="s">
        <v>114</v>
      </c>
      <c r="N25" s="18">
        <v>0.255</v>
      </c>
    </row>
    <row r="26" spans="2:14">
      <c r="B26" s="18" t="s">
        <v>103</v>
      </c>
      <c r="C26" s="18">
        <v>1500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3600</v>
      </c>
      <c r="I26" s="18">
        <v>-2277450</v>
      </c>
      <c r="J26" s="18" t="s">
        <v>6</v>
      </c>
      <c r="K26" s="18" t="s">
        <v>92</v>
      </c>
      <c r="L26" s="18" t="s">
        <v>107</v>
      </c>
      <c r="M26" s="18" t="s">
        <v>115</v>
      </c>
      <c r="N26" s="18">
        <v>0.255</v>
      </c>
    </row>
    <row r="27" spans="2:14">
      <c r="B27" s="18" t="s">
        <v>325</v>
      </c>
      <c r="C27" s="18">
        <v>-1500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3600</v>
      </c>
      <c r="I27" s="18">
        <v>930000</v>
      </c>
      <c r="J27" s="18" t="s">
        <v>6</v>
      </c>
      <c r="K27" s="18" t="s">
        <v>92</v>
      </c>
      <c r="L27" s="18" t="s">
        <v>107</v>
      </c>
      <c r="M27" s="18" t="s">
        <v>115</v>
      </c>
      <c r="N27" s="18">
        <v>0.255</v>
      </c>
    </row>
    <row r="28" spans="2:14">
      <c r="B28" s="18" t="s">
        <v>5</v>
      </c>
      <c r="C28" s="18">
        <v>100</v>
      </c>
      <c r="D28" s="19">
        <v>43123</v>
      </c>
      <c r="E28" s="19">
        <v>43183.625</v>
      </c>
      <c r="F28" s="19">
        <v>43183</v>
      </c>
      <c r="G28" s="19">
        <v>43183.625</v>
      </c>
      <c r="H28" s="18">
        <v>50000.000004000001</v>
      </c>
      <c r="I28" s="18">
        <v>-50000.004000000001</v>
      </c>
      <c r="J28" s="18" t="s">
        <v>6</v>
      </c>
      <c r="K28" s="18" t="s">
        <v>92</v>
      </c>
      <c r="L28" s="18" t="s">
        <v>7</v>
      </c>
      <c r="M28" s="18" t="s">
        <v>125</v>
      </c>
      <c r="N28" s="18">
        <v>0.12</v>
      </c>
    </row>
    <row r="29" spans="2:14">
      <c r="B29" s="18" t="s">
        <v>160</v>
      </c>
      <c r="C29" s="18">
        <v>1000</v>
      </c>
      <c r="D29" s="19">
        <v>43154</v>
      </c>
      <c r="E29" s="19">
        <v>43182.625</v>
      </c>
      <c r="F29" s="19">
        <v>43184</v>
      </c>
      <c r="G29" s="19">
        <v>43154</v>
      </c>
      <c r="H29" s="20">
        <v>3929.9999985759996</v>
      </c>
      <c r="I29" s="20">
        <v>-271800</v>
      </c>
      <c r="J29" s="18" t="s">
        <v>43</v>
      </c>
      <c r="K29" s="18" t="s">
        <v>92</v>
      </c>
      <c r="L29" s="18" t="s">
        <v>107</v>
      </c>
      <c r="M29" s="18" t="s">
        <v>114</v>
      </c>
      <c r="N29" s="18">
        <v>0.13500000000000001</v>
      </c>
    </row>
    <row r="30" spans="2:14">
      <c r="B30" s="18" t="s">
        <v>161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3799.999998368</v>
      </c>
      <c r="I30" s="20">
        <v>-388800</v>
      </c>
      <c r="J30" s="18" t="s">
        <v>6</v>
      </c>
      <c r="K30" s="18" t="s">
        <v>92</v>
      </c>
      <c r="L30" s="18" t="s">
        <v>107</v>
      </c>
      <c r="M30" s="18" t="s">
        <v>114</v>
      </c>
      <c r="N30" s="18">
        <v>0.13500000000000001</v>
      </c>
    </row>
    <row r="31" spans="2:14">
      <c r="B31" s="18" t="s">
        <v>170</v>
      </c>
      <c r="C31" s="18">
        <v>-64</v>
      </c>
      <c r="D31" s="19">
        <v>43157</v>
      </c>
      <c r="E31" s="19">
        <v>43217</v>
      </c>
      <c r="F31" s="19">
        <v>43217</v>
      </c>
      <c r="G31" s="19">
        <v>43217</v>
      </c>
      <c r="H31" s="20">
        <v>16.545999999999999</v>
      </c>
      <c r="I31" s="20">
        <v>751.95</v>
      </c>
      <c r="J31" s="18" t="s">
        <v>180</v>
      </c>
      <c r="K31" s="18" t="s">
        <v>171</v>
      </c>
      <c r="L31" s="18" t="s">
        <v>172</v>
      </c>
      <c r="M31" s="18" t="s">
        <v>168</v>
      </c>
      <c r="N31" s="18"/>
    </row>
    <row r="32" spans="2:14">
      <c r="B32" s="18" t="s">
        <v>173</v>
      </c>
      <c r="C32" s="18">
        <v>-24</v>
      </c>
      <c r="D32" s="19">
        <v>43122</v>
      </c>
      <c r="E32" s="19">
        <v>43209</v>
      </c>
      <c r="F32" s="19">
        <v>43209</v>
      </c>
      <c r="G32" s="19">
        <v>43209</v>
      </c>
      <c r="H32" s="20">
        <v>2236</v>
      </c>
      <c r="I32" s="20">
        <v>402.48</v>
      </c>
      <c r="J32" s="18" t="s">
        <v>181</v>
      </c>
      <c r="K32" s="18" t="s">
        <v>241</v>
      </c>
      <c r="L32" s="18" t="s">
        <v>174</v>
      </c>
      <c r="M32" s="18" t="s">
        <v>168</v>
      </c>
      <c r="N32" s="18"/>
    </row>
    <row r="33" spans="2:14">
      <c r="B33" s="18" t="s">
        <v>182</v>
      </c>
      <c r="C33" s="18">
        <v>-30</v>
      </c>
      <c r="D33" s="19">
        <v>43158</v>
      </c>
      <c r="E33" s="19">
        <v>43217</v>
      </c>
      <c r="F33" s="19">
        <v>43217</v>
      </c>
      <c r="G33" s="19">
        <v>43217</v>
      </c>
      <c r="H33" s="20">
        <v>16.71</v>
      </c>
      <c r="I33" s="20">
        <v>751.95</v>
      </c>
      <c r="J33" s="18" t="s">
        <v>184</v>
      </c>
      <c r="K33" s="18" t="s">
        <v>185</v>
      </c>
      <c r="L33" s="18" t="s">
        <v>167</v>
      </c>
      <c r="M33" s="18" t="s">
        <v>168</v>
      </c>
      <c r="N33" s="18"/>
    </row>
    <row r="34" spans="2:14">
      <c r="B34" s="18" t="s">
        <v>209</v>
      </c>
      <c r="C34" s="18">
        <v>-12</v>
      </c>
      <c r="D34" s="19">
        <v>43168.625</v>
      </c>
      <c r="E34" s="19">
        <v>43257.625</v>
      </c>
      <c r="F34" s="19">
        <v>43259</v>
      </c>
      <c r="G34" s="19">
        <v>43257</v>
      </c>
      <c r="H34" s="20">
        <v>6812.5</v>
      </c>
      <c r="I34" s="20">
        <v>1021.875</v>
      </c>
      <c r="J34" s="18" t="s">
        <v>210</v>
      </c>
      <c r="K34" s="18" t="s">
        <v>211</v>
      </c>
      <c r="L34" s="18" t="s">
        <v>212</v>
      </c>
      <c r="M34" s="18" t="s">
        <v>168</v>
      </c>
      <c r="N34" s="18"/>
    </row>
    <row r="35" spans="2:14">
      <c r="B35" s="18" t="s">
        <v>218</v>
      </c>
      <c r="C35" s="18">
        <v>-30</v>
      </c>
      <c r="D35" s="19">
        <v>43175</v>
      </c>
      <c r="E35" s="19">
        <v>43238</v>
      </c>
      <c r="F35" s="19">
        <v>43238</v>
      </c>
      <c r="G35" s="19">
        <v>43238</v>
      </c>
      <c r="H35" s="27">
        <v>16.545000000000002</v>
      </c>
      <c r="I35" s="20">
        <v>1240.875</v>
      </c>
      <c r="J35" s="18" t="s">
        <v>184</v>
      </c>
      <c r="K35" s="18" t="s">
        <v>171</v>
      </c>
      <c r="L35" s="18" t="s">
        <v>217</v>
      </c>
      <c r="M35" s="18" t="s">
        <v>168</v>
      </c>
      <c r="N35" s="18"/>
    </row>
    <row r="36" spans="2:14">
      <c r="B36" s="18" t="s">
        <v>219</v>
      </c>
      <c r="C36" s="18">
        <v>-37</v>
      </c>
      <c r="D36" s="19">
        <v>43185</v>
      </c>
      <c r="E36" s="19">
        <v>43271</v>
      </c>
      <c r="F36" s="19">
        <v>43271</v>
      </c>
      <c r="G36" s="19">
        <v>43271</v>
      </c>
      <c r="H36" s="18">
        <v>6818.76</v>
      </c>
      <c r="I36" s="18">
        <v>3153.6765</v>
      </c>
      <c r="J36" s="18" t="s">
        <v>222</v>
      </c>
      <c r="K36" s="18" t="s">
        <v>220</v>
      </c>
      <c r="L36" s="18" t="s">
        <v>221</v>
      </c>
      <c r="M36" s="18" t="s">
        <v>168</v>
      </c>
      <c r="N36" s="18"/>
    </row>
    <row r="37" spans="2:14" ht="13.5">
      <c r="B37" s="18" t="s">
        <v>223</v>
      </c>
      <c r="C37" s="32">
        <v>-30</v>
      </c>
      <c r="D37" s="31">
        <v>43166</v>
      </c>
      <c r="E37" s="19">
        <v>43217</v>
      </c>
      <c r="F37" s="19">
        <v>43217.625</v>
      </c>
      <c r="G37" s="19">
        <v>43217</v>
      </c>
      <c r="H37" s="30">
        <v>16.535</v>
      </c>
      <c r="I37" s="18">
        <v>-744.07499999999993</v>
      </c>
      <c r="J37" t="s">
        <v>233</v>
      </c>
      <c r="K37" s="18" t="s">
        <v>171</v>
      </c>
      <c r="L37" s="18" t="s">
        <v>228</v>
      </c>
      <c r="M37" s="18" t="s">
        <v>168</v>
      </c>
      <c r="N37" s="18"/>
    </row>
    <row r="38" spans="2:14" ht="13.5">
      <c r="B38" s="18" t="s">
        <v>224</v>
      </c>
      <c r="C38" s="32">
        <v>0</v>
      </c>
      <c r="D38" s="31">
        <v>43187</v>
      </c>
      <c r="E38" s="19">
        <v>43279</v>
      </c>
      <c r="F38" s="19">
        <v>43279.625</v>
      </c>
      <c r="G38" s="19">
        <v>43279</v>
      </c>
      <c r="H38" s="30">
        <v>1366.7</v>
      </c>
      <c r="I38" s="18">
        <v>-1298.365</v>
      </c>
      <c r="J38" t="s">
        <v>234</v>
      </c>
      <c r="K38" s="18" t="s">
        <v>185</v>
      </c>
      <c r="L38" s="18" t="s">
        <v>229</v>
      </c>
      <c r="M38" s="18" t="s">
        <v>168</v>
      </c>
      <c r="N38" s="18"/>
    </row>
    <row r="39" spans="2:14" ht="13.5">
      <c r="B39" s="18" t="s">
        <v>225</v>
      </c>
      <c r="C39" s="32">
        <v>-30</v>
      </c>
      <c r="D39" s="31">
        <v>43187</v>
      </c>
      <c r="E39" s="19">
        <v>43238</v>
      </c>
      <c r="F39" s="19">
        <v>43238.625</v>
      </c>
      <c r="G39" s="19">
        <v>43238</v>
      </c>
      <c r="H39" s="30">
        <v>16.59</v>
      </c>
      <c r="I39" s="20">
        <v>-1244.25</v>
      </c>
      <c r="J39" t="s">
        <v>235</v>
      </c>
      <c r="K39" s="18" t="s">
        <v>211</v>
      </c>
      <c r="L39" s="18" t="s">
        <v>230</v>
      </c>
      <c r="M39" s="18" t="s">
        <v>168</v>
      </c>
      <c r="N39" s="18"/>
    </row>
    <row r="40" spans="2:14" ht="13.5">
      <c r="B40" s="18" t="s">
        <v>226</v>
      </c>
      <c r="C40" s="32">
        <v>-24</v>
      </c>
      <c r="D40" s="31">
        <v>43187</v>
      </c>
      <c r="E40" s="19">
        <v>43209</v>
      </c>
      <c r="F40" s="19">
        <v>43209.625</v>
      </c>
      <c r="G40" s="19">
        <v>43209</v>
      </c>
      <c r="H40" s="30">
        <v>2051</v>
      </c>
      <c r="I40" s="20">
        <v>-615.30000000000007</v>
      </c>
      <c r="J40" t="s">
        <v>235</v>
      </c>
      <c r="K40" s="18" t="s">
        <v>171</v>
      </c>
      <c r="L40" s="18" t="s">
        <v>231</v>
      </c>
      <c r="M40" s="18" t="s">
        <v>168</v>
      </c>
      <c r="N40" s="18"/>
    </row>
    <row r="41" spans="2:14" ht="13.5">
      <c r="B41" s="18" t="s">
        <v>227</v>
      </c>
      <c r="C41" s="32">
        <v>-52</v>
      </c>
      <c r="D41" s="31">
        <v>43186</v>
      </c>
      <c r="E41" s="19">
        <v>43273</v>
      </c>
      <c r="F41" s="19">
        <v>43273.625</v>
      </c>
      <c r="G41" s="19">
        <v>43273</v>
      </c>
      <c r="H41" s="30">
        <v>6631.92</v>
      </c>
      <c r="I41" s="20">
        <v>-4310.7479999999996</v>
      </c>
      <c r="J41" t="s">
        <v>235</v>
      </c>
      <c r="K41" s="18" t="s">
        <v>220</v>
      </c>
      <c r="L41" s="18" t="s">
        <v>232</v>
      </c>
      <c r="M41" s="18" t="s">
        <v>168</v>
      </c>
      <c r="N41" s="18"/>
    </row>
    <row r="42" spans="2:14">
      <c r="B42" s="18" t="s">
        <v>239</v>
      </c>
      <c r="C42" s="18">
        <v>-37</v>
      </c>
      <c r="D42" s="19">
        <v>43188.625</v>
      </c>
      <c r="E42" s="19">
        <v>43313.625</v>
      </c>
      <c r="F42" s="19">
        <v>43313.625</v>
      </c>
      <c r="G42" s="19">
        <v>43313.625</v>
      </c>
      <c r="H42" s="20">
        <v>6662.89</v>
      </c>
      <c r="I42" s="20">
        <v>-3081.5866249999999</v>
      </c>
      <c r="J42" s="18" t="s">
        <v>244</v>
      </c>
      <c r="K42" s="18" t="s">
        <v>241</v>
      </c>
      <c r="L42" s="18" t="s">
        <v>245</v>
      </c>
      <c r="M42" s="18" t="s">
        <v>168</v>
      </c>
      <c r="N42" s="18"/>
    </row>
    <row r="43" spans="2:14" ht="12">
      <c r="B43" s="18" t="s">
        <v>246</v>
      </c>
      <c r="C43" s="33">
        <v>-300</v>
      </c>
      <c r="D43" s="34">
        <v>43187</v>
      </c>
      <c r="E43" s="34">
        <v>43217.625</v>
      </c>
      <c r="F43" s="34">
        <v>43217</v>
      </c>
      <c r="G43" s="34">
        <v>43187</v>
      </c>
      <c r="H43" s="33">
        <v>3119.52</v>
      </c>
      <c r="I43" s="20">
        <v>0</v>
      </c>
      <c r="J43" s="18" t="s">
        <v>248</v>
      </c>
      <c r="K43" s="18" t="s">
        <v>250</v>
      </c>
      <c r="L43" s="18" t="s">
        <v>251</v>
      </c>
      <c r="M43" s="33" t="s">
        <v>252</v>
      </c>
      <c r="N43" s="18"/>
    </row>
    <row r="44" spans="2:14" ht="12">
      <c r="B44" s="18" t="s">
        <v>247</v>
      </c>
      <c r="C44" s="33">
        <v>360</v>
      </c>
      <c r="D44" s="34">
        <v>43187</v>
      </c>
      <c r="E44" s="34">
        <v>43217.625</v>
      </c>
      <c r="F44" s="34">
        <v>43217</v>
      </c>
      <c r="G44" s="34">
        <v>43187</v>
      </c>
      <c r="H44" s="33">
        <v>3312.48</v>
      </c>
      <c r="I44" s="18">
        <v>0</v>
      </c>
      <c r="J44" s="18" t="s">
        <v>249</v>
      </c>
      <c r="K44" s="18" t="s">
        <v>92</v>
      </c>
      <c r="L44" s="18" t="s">
        <v>251</v>
      </c>
      <c r="M44" s="33" t="s">
        <v>252</v>
      </c>
      <c r="N44" s="18"/>
    </row>
    <row r="45" spans="2:14" ht="12">
      <c r="B45" s="18" t="s">
        <v>326</v>
      </c>
      <c r="C45" s="18">
        <v>-58</v>
      </c>
      <c r="D45" s="34">
        <v>43200.625</v>
      </c>
      <c r="E45" s="34">
        <v>43286.625</v>
      </c>
      <c r="F45" s="34">
        <v>43286</v>
      </c>
      <c r="G45" s="34">
        <v>43286</v>
      </c>
      <c r="H45" s="18">
        <v>2117.38</v>
      </c>
      <c r="I45" s="35">
        <v>1535.1005</v>
      </c>
      <c r="J45" s="18" t="s">
        <v>327</v>
      </c>
      <c r="K45" s="18" t="s">
        <v>241</v>
      </c>
      <c r="L45" s="18" t="s">
        <v>328</v>
      </c>
      <c r="M45" s="18" t="s">
        <v>168</v>
      </c>
      <c r="N45" s="18"/>
    </row>
    <row r="46" spans="2:14">
      <c r="B46" s="18" t="s">
        <v>330</v>
      </c>
      <c r="C46" s="18">
        <v>-8</v>
      </c>
      <c r="D46" s="19">
        <v>43201.625</v>
      </c>
      <c r="E46" s="19">
        <v>43286.625</v>
      </c>
      <c r="F46" s="19">
        <v>43286</v>
      </c>
      <c r="G46" s="19">
        <v>43286</v>
      </c>
      <c r="H46" s="18">
        <v>2185.5</v>
      </c>
      <c r="I46" s="35">
        <v>218.55</v>
      </c>
      <c r="J46" s="18" t="s">
        <v>331</v>
      </c>
      <c r="K46" s="18" t="s">
        <v>241</v>
      </c>
      <c r="L46" s="18" t="s">
        <v>174</v>
      </c>
      <c r="M46" s="18" t="s">
        <v>168</v>
      </c>
      <c r="N46" s="18"/>
    </row>
    <row r="47" spans="2:14">
      <c r="B47" s="18" t="s">
        <v>330</v>
      </c>
      <c r="C47" s="18">
        <v>-5</v>
      </c>
      <c r="D47" s="19">
        <v>43202.625</v>
      </c>
      <c r="E47" s="19">
        <v>43286.625</v>
      </c>
      <c r="F47" s="19">
        <v>43286</v>
      </c>
      <c r="G47" s="19">
        <v>43286</v>
      </c>
      <c r="H47" s="18">
        <v>2266.5</v>
      </c>
      <c r="I47" s="35">
        <v>141.65625</v>
      </c>
      <c r="J47" s="18" t="s">
        <v>331</v>
      </c>
      <c r="K47" s="18" t="s">
        <v>171</v>
      </c>
      <c r="L47" s="18" t="s">
        <v>174</v>
      </c>
      <c r="M47" s="18" t="s">
        <v>168</v>
      </c>
      <c r="N47" s="18"/>
    </row>
    <row r="48" spans="2:14">
      <c r="B48" s="18" t="s">
        <v>332</v>
      </c>
      <c r="C48" s="18">
        <v>400</v>
      </c>
      <c r="D48" s="19">
        <v>43207</v>
      </c>
      <c r="E48" s="19">
        <v>43259.625</v>
      </c>
      <c r="F48" s="19">
        <v>43259</v>
      </c>
      <c r="G48" s="19">
        <v>43259</v>
      </c>
      <c r="H48" s="18">
        <v>15500</v>
      </c>
      <c r="I48" s="35">
        <v>-271680</v>
      </c>
      <c r="J48" s="18" t="s">
        <v>333</v>
      </c>
      <c r="K48" s="18" t="s">
        <v>334</v>
      </c>
      <c r="L48" s="18" t="s">
        <v>336</v>
      </c>
      <c r="M48" s="18" t="s">
        <v>113</v>
      </c>
      <c r="N48" s="18">
        <v>0.16</v>
      </c>
    </row>
    <row r="49" spans="2:14" ht="13.5">
      <c r="B49" s="18" t="s">
        <v>337</v>
      </c>
      <c r="C49" s="18">
        <v>80</v>
      </c>
      <c r="D49" s="19">
        <v>43203</v>
      </c>
      <c r="E49" s="19">
        <v>43285.625</v>
      </c>
      <c r="F49" s="19">
        <v>43285</v>
      </c>
      <c r="G49" s="19">
        <v>43285</v>
      </c>
      <c r="H49" s="18">
        <v>2600.0000006499999</v>
      </c>
      <c r="I49" s="35">
        <v>-52000.001000000004</v>
      </c>
      <c r="J49" s="18" t="s">
        <v>43</v>
      </c>
      <c r="K49" s="18" t="s">
        <v>92</v>
      </c>
      <c r="L49" s="18" t="s">
        <v>339</v>
      </c>
      <c r="M49" s="38" t="s">
        <v>168</v>
      </c>
      <c r="N49" s="18">
        <v>0.25</v>
      </c>
    </row>
    <row r="50" spans="2:14" ht="13.5">
      <c r="B50" s="18" t="s">
        <v>338</v>
      </c>
      <c r="C50" s="18">
        <v>-80</v>
      </c>
      <c r="D50" s="19">
        <v>43203</v>
      </c>
      <c r="E50" s="19">
        <v>43285.625</v>
      </c>
      <c r="F50" s="19">
        <v>43285</v>
      </c>
      <c r="G50" s="19">
        <v>43285</v>
      </c>
      <c r="H50" s="18">
        <v>2099.9999993500001</v>
      </c>
      <c r="I50" s="18">
        <v>50000.000599999999</v>
      </c>
      <c r="J50" s="18" t="s">
        <v>6</v>
      </c>
      <c r="K50" s="18" t="s">
        <v>92</v>
      </c>
      <c r="L50" s="18" t="s">
        <v>339</v>
      </c>
      <c r="M50" s="38" t="s">
        <v>168</v>
      </c>
      <c r="N50" s="18">
        <v>0.25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2"/>
  <sheetViews>
    <sheetView workbookViewId="0">
      <selection activeCell="J32" sqref="J32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6" t="s">
        <v>17</v>
      </c>
      <c r="C5" s="36"/>
      <c r="D5" s="36"/>
      <c r="E5" s="36"/>
      <c r="F5" s="36"/>
      <c r="G5" s="36"/>
      <c r="H5" s="36"/>
      <c r="I5" s="12"/>
    </row>
    <row r="6" spans="2:10">
      <c r="B6" s="1" t="s">
        <v>16</v>
      </c>
      <c r="C6" s="1" t="s">
        <v>82</v>
      </c>
      <c r="D6" s="1" t="s">
        <v>38</v>
      </c>
      <c r="E6" s="1" t="s">
        <v>84</v>
      </c>
      <c r="F6" s="1" t="s">
        <v>69</v>
      </c>
      <c r="G6" s="1" t="s">
        <v>0</v>
      </c>
      <c r="H6" s="1" t="s">
        <v>15</v>
      </c>
      <c r="I6" s="1" t="s">
        <v>177</v>
      </c>
      <c r="J6" s="1" t="s">
        <v>83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43207</v>
      </c>
      <c r="J7" s="14">
        <f ca="1">[1]!s_dq_close(E7,I7,1)</f>
        <v>50660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0.18</v>
      </c>
      <c r="H8" s="1">
        <v>0</v>
      </c>
      <c r="I8" s="13">
        <f t="shared" ref="I8:I22" ca="1" si="0">TODAY()</f>
        <v>43207</v>
      </c>
      <c r="J8" s="14">
        <f ca="1">[1]!s_dq_close(E8,I8,1)</f>
        <v>14845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43207</v>
      </c>
      <c r="J9" s="14">
        <f ca="1">[1]!s_dq_close(E9,I9,1)</f>
        <v>3666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43207</v>
      </c>
      <c r="J10" s="14">
        <f ca="1">[1]!s_dq_close(E10,I10,1)</f>
        <v>9240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43207</v>
      </c>
      <c r="J11" s="14">
        <f ca="1">[1]!s_dq_close(E11,I11,1)</f>
        <v>3384</v>
      </c>
    </row>
    <row r="12" spans="2:10">
      <c r="B12" s="1" t="s">
        <v>126</v>
      </c>
      <c r="C12" s="1" t="s">
        <v>127</v>
      </c>
      <c r="D12" s="1" t="s">
        <v>124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43207</v>
      </c>
      <c r="J12" s="14">
        <f ca="1">[1]!s_dq_close(E12,I12,1)</f>
        <v>3687</v>
      </c>
    </row>
    <row r="13" spans="2:10">
      <c r="B13" s="1" t="s">
        <v>123</v>
      </c>
      <c r="C13" s="1" t="s">
        <v>85</v>
      </c>
      <c r="D13" s="1" t="s">
        <v>86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43207</v>
      </c>
      <c r="J13" s="14">
        <f ca="1">[1]!s_dq_close(E13,I13,1)</f>
        <v>426</v>
      </c>
    </row>
    <row r="14" spans="2:10">
      <c r="B14" s="1" t="s">
        <v>116</v>
      </c>
      <c r="C14" s="1" t="s">
        <v>119</v>
      </c>
      <c r="D14" s="1" t="s">
        <v>124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43207</v>
      </c>
      <c r="J14" s="14">
        <f ca="1">[1]!s_dq_close(E14,I14,1)</f>
        <v>10690</v>
      </c>
    </row>
    <row r="15" spans="2:10">
      <c r="B15" s="1" t="s">
        <v>117</v>
      </c>
      <c r="C15" s="1" t="s">
        <v>121</v>
      </c>
      <c r="D15" s="1" t="s">
        <v>122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43207</v>
      </c>
      <c r="J15" s="14">
        <f ca="1">[1]!s_dq_close(E15,I15,1)</f>
        <v>1275</v>
      </c>
    </row>
    <row r="16" spans="2:10">
      <c r="B16" s="1" t="s">
        <v>166</v>
      </c>
      <c r="C16" s="1" t="s">
        <v>193</v>
      </c>
      <c r="D16" s="1" t="s">
        <v>165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43207</v>
      </c>
      <c r="J16" s="14">
        <f ca="1">[1]!s_dq_close(E16,I16,1)</f>
        <v>0</v>
      </c>
    </row>
    <row r="17" spans="2:10">
      <c r="B17" s="1" t="s">
        <v>167</v>
      </c>
      <c r="C17" s="1" t="s">
        <v>193</v>
      </c>
      <c r="D17" s="1" t="s">
        <v>165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43207</v>
      </c>
      <c r="J17" s="14">
        <f ca="1">[1]!s_dq_close(E17,I17,1)</f>
        <v>16.664999999999999</v>
      </c>
    </row>
    <row r="18" spans="2:10">
      <c r="B18" s="1" t="s">
        <v>175</v>
      </c>
      <c r="C18" s="1" t="s">
        <v>192</v>
      </c>
      <c r="D18" s="1" t="s">
        <v>176</v>
      </c>
      <c r="E18" s="2" t="str">
        <f>tbl_ticker[[#This Row],[ticker]]&amp;"."&amp;tbl_ticker[[#This Row],[exchange]]</f>
        <v>ah.lme</v>
      </c>
      <c r="F18" s="1">
        <v>25</v>
      </c>
      <c r="G18" s="1">
        <v>0.25</v>
      </c>
      <c r="H18" s="1">
        <v>0</v>
      </c>
      <c r="I18" s="13">
        <f t="shared" ca="1" si="0"/>
        <v>43207</v>
      </c>
      <c r="J18" s="14">
        <f ca="1">[1]!s_dq_close(E18,I18,1)</f>
        <v>2382</v>
      </c>
    </row>
    <row r="19" spans="2:10">
      <c r="B19" s="1" t="s">
        <v>213</v>
      </c>
      <c r="C19" s="1" t="s">
        <v>214</v>
      </c>
      <c r="D19" s="1" t="s">
        <v>215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43207</v>
      </c>
      <c r="J19" s="14">
        <f ca="1">[1]!s_dq_close(E19,I19,1)</f>
        <v>6883.5</v>
      </c>
    </row>
    <row r="20" spans="2:10">
      <c r="B20" s="1" t="s">
        <v>217</v>
      </c>
      <c r="C20" s="1" t="s">
        <v>191</v>
      </c>
      <c r="D20" s="1" t="s">
        <v>165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43207</v>
      </c>
      <c r="J20" s="28">
        <f ca="1">[1]!s_dq_close(E20,I20,1)</f>
        <v>16.725000000000001</v>
      </c>
    </row>
    <row r="21" spans="2:10">
      <c r="B21" s="1" t="s">
        <v>329</v>
      </c>
      <c r="C21" s="1" t="s">
        <v>236</v>
      </c>
      <c r="D21" s="1" t="s">
        <v>237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43207</v>
      </c>
      <c r="J21" s="14">
        <f ca="1">[1]!s_dq_close(E21,I21,1)</f>
        <v>1367.9</v>
      </c>
    </row>
    <row r="22" spans="2:10">
      <c r="B22" s="1" t="s">
        <v>340</v>
      </c>
      <c r="C22" s="1" t="s">
        <v>11</v>
      </c>
      <c r="D22" s="1" t="s">
        <v>39</v>
      </c>
      <c r="E22" s="2" t="str">
        <f>tbl_ticker[[#This Row],[ticker]]&amp;"."&amp;tbl_ticker[[#This Row],[exchange]]</f>
        <v>al1807.shf</v>
      </c>
      <c r="F22" s="1">
        <v>5</v>
      </c>
      <c r="G22" s="1">
        <v>0.18</v>
      </c>
      <c r="H22" s="1">
        <v>0</v>
      </c>
      <c r="I22" s="13">
        <f t="shared" ca="1" si="0"/>
        <v>43207</v>
      </c>
      <c r="J22" s="39">
        <f ca="1">[1]!s_dq_close(E22,I22,1)</f>
        <v>15010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6"/>
  <sheetViews>
    <sheetView workbookViewId="0">
      <selection activeCell="B25" sqref="B25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7" t="s">
        <v>12</v>
      </c>
      <c r="C5" s="37"/>
      <c r="D5" s="37"/>
      <c r="E5" s="37"/>
      <c r="F5" s="37"/>
    </row>
    <row r="6" spans="2:42">
      <c r="B6" s="9" t="s">
        <v>169</v>
      </c>
      <c r="C6" s="9" t="s">
        <v>14</v>
      </c>
      <c r="D6" s="9" t="s">
        <v>13</v>
      </c>
      <c r="E6" s="9" t="s">
        <v>128</v>
      </c>
      <c r="F6" s="9" t="s">
        <v>10</v>
      </c>
      <c r="G6" s="9" t="s">
        <v>129</v>
      </c>
      <c r="H6" s="9" t="s">
        <v>130</v>
      </c>
      <c r="I6" s="9" t="s">
        <v>1</v>
      </c>
      <c r="J6" s="9" t="s">
        <v>120</v>
      </c>
      <c r="K6" s="9" t="s">
        <v>131</v>
      </c>
      <c r="L6" s="9" t="s">
        <v>132</v>
      </c>
      <c r="M6" s="9" t="s">
        <v>133</v>
      </c>
      <c r="N6" s="9" t="s">
        <v>62</v>
      </c>
      <c r="O6" s="9" t="s">
        <v>134</v>
      </c>
      <c r="P6" s="9" t="s">
        <v>135</v>
      </c>
      <c r="Q6" s="9" t="s">
        <v>136</v>
      </c>
      <c r="R6" s="9" t="s">
        <v>137</v>
      </c>
      <c r="S6" s="9" t="s">
        <v>6</v>
      </c>
      <c r="T6" s="9" t="s">
        <v>138</v>
      </c>
      <c r="U6" s="9" t="s">
        <v>139</v>
      </c>
      <c r="V6" s="9" t="s">
        <v>140</v>
      </c>
      <c r="W6" s="9" t="s">
        <v>141</v>
      </c>
      <c r="X6" s="9" t="s">
        <v>142</v>
      </c>
      <c r="Y6" s="9" t="s">
        <v>143</v>
      </c>
      <c r="Z6" s="9" t="s">
        <v>43</v>
      </c>
      <c r="AA6" s="9" t="s">
        <v>144</v>
      </c>
      <c r="AB6" s="9" t="s">
        <v>145</v>
      </c>
      <c r="AC6" s="9" t="s">
        <v>146</v>
      </c>
      <c r="AD6" s="9" t="s">
        <v>147</v>
      </c>
      <c r="AE6" s="9" t="s">
        <v>148</v>
      </c>
      <c r="AF6" s="9" t="s">
        <v>45</v>
      </c>
      <c r="AG6" s="9" t="s">
        <v>149</v>
      </c>
      <c r="AH6" s="9" t="s">
        <v>118</v>
      </c>
      <c r="AI6" s="9" t="s">
        <v>150</v>
      </c>
      <c r="AJ6" s="9" t="s">
        <v>186</v>
      </c>
      <c r="AK6" s="9" t="s">
        <v>187</v>
      </c>
      <c r="AL6" s="9" t="s">
        <v>188</v>
      </c>
      <c r="AM6" s="9" t="s">
        <v>189</v>
      </c>
      <c r="AN6" s="9" t="s">
        <v>190</v>
      </c>
      <c r="AO6" s="9" t="s">
        <v>191</v>
      </c>
      <c r="AP6" s="9" t="s">
        <v>208</v>
      </c>
    </row>
    <row r="7" spans="2:42">
      <c r="B7" s="9" t="s">
        <v>113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112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111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110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109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114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125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201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168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253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6" spans="5:7">
      <c r="E26" s="22"/>
    </row>
    <row r="27" spans="5:7">
      <c r="G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88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151</v>
      </c>
      <c r="D8">
        <v>1</v>
      </c>
      <c r="E8">
        <v>1</v>
      </c>
    </row>
    <row r="9" spans="2:5">
      <c r="B9" t="s">
        <v>21</v>
      </c>
      <c r="C9" t="s">
        <v>152</v>
      </c>
      <c r="D9">
        <v>1</v>
      </c>
      <c r="E9">
        <v>1</v>
      </c>
    </row>
    <row r="10" spans="2:5">
      <c r="B10" t="s">
        <v>22</v>
      </c>
      <c r="C10" t="s">
        <v>153</v>
      </c>
      <c r="D10">
        <v>1</v>
      </c>
      <c r="E10">
        <v>1</v>
      </c>
    </row>
    <row r="11" spans="2:5">
      <c r="B11" t="s">
        <v>23</v>
      </c>
      <c r="C11" t="s">
        <v>154</v>
      </c>
      <c r="D11">
        <v>1</v>
      </c>
      <c r="E11">
        <v>1</v>
      </c>
    </row>
    <row r="12" spans="2:5">
      <c r="B12" t="s">
        <v>24</v>
      </c>
      <c r="C12" t="s">
        <v>155</v>
      </c>
      <c r="D12">
        <v>1</v>
      </c>
      <c r="E12">
        <v>1</v>
      </c>
    </row>
    <row r="13" spans="2:5">
      <c r="B13" t="s">
        <v>25</v>
      </c>
      <c r="C13" t="s">
        <v>159</v>
      </c>
      <c r="D13">
        <v>1</v>
      </c>
      <c r="E13">
        <v>1</v>
      </c>
    </row>
    <row r="14" spans="2:5">
      <c r="B14" t="s">
        <v>26</v>
      </c>
      <c r="C14" t="s">
        <v>153</v>
      </c>
      <c r="D14" s="11" t="s">
        <v>157</v>
      </c>
      <c r="E14" s="5">
        <v>1</v>
      </c>
    </row>
    <row r="15" spans="2:5">
      <c r="B15" t="s">
        <v>27</v>
      </c>
      <c r="C15" t="s">
        <v>153</v>
      </c>
      <c r="D15" t="s">
        <v>158</v>
      </c>
      <c r="E15">
        <v>1</v>
      </c>
    </row>
    <row r="16" spans="2:5">
      <c r="B16" t="s">
        <v>28</v>
      </c>
      <c r="C16" t="s">
        <v>156</v>
      </c>
      <c r="D16" s="11" t="s">
        <v>157</v>
      </c>
      <c r="E16" s="5">
        <v>1</v>
      </c>
    </row>
    <row r="17" spans="2:5">
      <c r="B17" t="s">
        <v>29</v>
      </c>
      <c r="C17" s="23" t="s">
        <v>204</v>
      </c>
      <c r="D17" s="23" t="s">
        <v>205</v>
      </c>
      <c r="E17" s="24">
        <v>1</v>
      </c>
    </row>
    <row r="18" spans="2:5">
      <c r="B18" t="s">
        <v>30</v>
      </c>
      <c r="C18" s="25" t="s">
        <v>206</v>
      </c>
      <c r="D18" s="25">
        <v>1</v>
      </c>
      <c r="E18" s="26">
        <v>0.35</v>
      </c>
    </row>
    <row r="19" spans="2:5">
      <c r="B19" t="s">
        <v>31</v>
      </c>
      <c r="C19" s="23" t="s">
        <v>207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2018-04-17T09:17:19Z</dcterms:modified>
</cp:coreProperties>
</file>