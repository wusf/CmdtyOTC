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AE15" i="5" l="1"/>
  <c r="AE16" i="5"/>
  <c r="AE19" i="5"/>
  <c r="AE20" i="5"/>
  <c r="AE27" i="5"/>
  <c r="AE28" i="5"/>
  <c r="AE29" i="5"/>
  <c r="AE30" i="5"/>
  <c r="AE31" i="5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AE10" i="5" l="1"/>
  <c r="AE18" i="5"/>
  <c r="AE26" i="5"/>
  <c r="AE12" i="5"/>
  <c r="AE14" i="5"/>
  <c r="AE11" i="5"/>
  <c r="AE22" i="5"/>
  <c r="AE13" i="5"/>
  <c r="AE21" i="5"/>
  <c r="AE8" i="5"/>
  <c r="AE25" i="5"/>
  <c r="AE17" i="5"/>
  <c r="AE23" i="5"/>
  <c r="AE7" i="5"/>
  <c r="AE24" i="5"/>
  <c r="AE9" i="5"/>
  <c r="E18" i="6"/>
  <c r="AR7" i="5"/>
  <c r="AP21" i="5"/>
  <c r="AM10" i="5"/>
  <c r="AK24" i="5"/>
  <c r="AH13" i="5"/>
  <c r="AF27" i="5"/>
  <c r="AP31" i="5"/>
  <c r="AJ9" i="5"/>
  <c r="AO25" i="5"/>
  <c r="AQ15" i="5"/>
  <c r="AO29" i="5"/>
  <c r="AL18" i="5"/>
  <c r="AI7" i="5"/>
  <c r="AG21" i="5"/>
  <c r="AQ16" i="5"/>
  <c r="AL19" i="5"/>
  <c r="AG22" i="5"/>
  <c r="AP18" i="5"/>
  <c r="AQ9" i="5"/>
  <c r="AO23" i="5"/>
  <c r="AL12" i="5"/>
  <c r="AJ26" i="5"/>
  <c r="AG15" i="5"/>
  <c r="AR11" i="5"/>
  <c r="AP25" i="5"/>
  <c r="AM14" i="5"/>
  <c r="AK28" i="5"/>
  <c r="AH17" i="5"/>
  <c r="AN24" i="5"/>
  <c r="AK15" i="5"/>
  <c r="AN17" i="5"/>
  <c r="AL8" i="5"/>
  <c r="AP20" i="5"/>
  <c r="AM17" i="5"/>
  <c r="AF24" i="5"/>
  <c r="AI27" i="5"/>
  <c r="AQ29" i="5"/>
  <c r="AH12" i="5"/>
  <c r="AL7" i="5"/>
  <c r="AH20" i="5"/>
  <c r="AL16" i="5"/>
  <c r="AR29" i="5"/>
  <c r="AF10" i="5"/>
  <c r="AQ22" i="5"/>
  <c r="AI14" i="5"/>
  <c r="AQ8" i="5"/>
  <c r="AG14" i="5"/>
  <c r="AR16" i="5"/>
  <c r="AM19" i="5"/>
  <c r="AH22" i="5"/>
  <c r="AN21" i="5"/>
  <c r="AI24" i="5"/>
  <c r="AF31" i="5"/>
  <c r="AR10" i="5"/>
  <c r="AP24" i="5"/>
  <c r="AK27" i="5"/>
  <c r="AH16" i="5"/>
  <c r="AQ26" i="5"/>
  <c r="AL29" i="5"/>
  <c r="AF23" i="5"/>
  <c r="AG25" i="5"/>
  <c r="AL15" i="5"/>
  <c r="AH10" i="5"/>
  <c r="AM8" i="5"/>
  <c r="AK23" i="5"/>
  <c r="AH18" i="5"/>
  <c r="AQ30" i="5"/>
  <c r="AK8" i="5"/>
  <c r="AI22" i="5"/>
  <c r="AF11" i="5"/>
  <c r="AL27" i="5"/>
  <c r="AG30" i="5"/>
  <c r="AR24" i="5"/>
  <c r="AM27" i="5"/>
  <c r="AR9" i="5"/>
  <c r="AH15" i="5"/>
  <c r="AR18" i="5"/>
  <c r="AO7" i="5"/>
  <c r="AJ10" i="5"/>
  <c r="AN23" i="5"/>
  <c r="AI26" i="5"/>
  <c r="AM16" i="5"/>
  <c r="AR30" i="5"/>
  <c r="AP28" i="5"/>
  <c r="AH11" i="5"/>
  <c r="AG19" i="5"/>
  <c r="AO18" i="5"/>
  <c r="AO26" i="5"/>
  <c r="AN27" i="5"/>
  <c r="AP17" i="5"/>
  <c r="AL22" i="5"/>
  <c r="AG26" i="5"/>
  <c r="AJ29" i="5"/>
  <c r="AI19" i="5"/>
  <c r="AF9" i="5"/>
  <c r="AR15" i="5"/>
  <c r="AP29" i="5"/>
  <c r="AM18" i="5"/>
  <c r="AJ7" i="5"/>
  <c r="AH21" i="5"/>
  <c r="AO22" i="5"/>
  <c r="AJ25" i="5"/>
  <c r="AN16" i="5"/>
  <c r="AQ23" i="5"/>
  <c r="AN12" i="5"/>
  <c r="AL26" i="5"/>
  <c r="AI15" i="5"/>
  <c r="AG29" i="5"/>
  <c r="AP7" i="5"/>
  <c r="AK10" i="5"/>
  <c r="AF13" i="5"/>
  <c r="AO9" i="5"/>
  <c r="AQ17" i="5"/>
  <c r="AO31" i="5"/>
  <c r="AL20" i="5"/>
  <c r="AI9" i="5"/>
  <c r="AG23" i="5"/>
  <c r="AR19" i="5"/>
  <c r="AO8" i="5"/>
  <c r="AM22" i="5"/>
  <c r="AJ11" i="5"/>
  <c r="AH25" i="5"/>
  <c r="AM23" i="5"/>
  <c r="AJ13" i="5"/>
  <c r="AL24" i="5"/>
  <c r="AK30" i="5"/>
  <c r="AK14" i="5"/>
  <c r="AL23" i="5"/>
  <c r="AN26" i="5"/>
  <c r="AF16" i="5"/>
  <c r="AO11" i="5"/>
  <c r="AG10" i="5"/>
  <c r="AL31" i="5"/>
  <c r="AP12" i="5"/>
  <c r="AR23" i="5"/>
  <c r="AO12" i="5"/>
  <c r="AM26" i="5"/>
  <c r="AJ15" i="5"/>
  <c r="AH29" i="5"/>
  <c r="AN13" i="5"/>
  <c r="AI16" i="5"/>
  <c r="AR12" i="5"/>
  <c r="AM15" i="5"/>
  <c r="AQ31" i="5"/>
  <c r="AN20" i="5"/>
  <c r="AK9" i="5"/>
  <c r="AI23" i="5"/>
  <c r="AF12" i="5"/>
  <c r="AP23" i="5"/>
  <c r="AK26" i="5"/>
  <c r="AF29" i="5"/>
  <c r="AN8" i="5"/>
  <c r="AQ25" i="5"/>
  <c r="AN14" i="5"/>
  <c r="AL28" i="5"/>
  <c r="AI17" i="5"/>
  <c r="AG31" i="5"/>
  <c r="AR27" i="5"/>
  <c r="AO16" i="5"/>
  <c r="AM30" i="5"/>
  <c r="AJ19" i="5"/>
  <c r="AG8" i="5"/>
  <c r="AR13" i="5"/>
  <c r="AI11" i="5"/>
  <c r="AK22" i="5"/>
  <c r="AJ28" i="5"/>
  <c r="AI28" i="5"/>
  <c r="AK21" i="5"/>
  <c r="AR21" i="5"/>
  <c r="AH19" i="5"/>
  <c r="AQ13" i="5"/>
  <c r="AN18" i="5"/>
  <c r="AF8" i="5"/>
  <c r="AK29" i="5"/>
  <c r="AK7" i="5"/>
  <c r="AO27" i="5"/>
  <c r="AF15" i="5"/>
  <c r="AM31" i="5"/>
  <c r="AP16" i="5"/>
  <c r="AN30" i="5"/>
  <c r="AH8" i="5"/>
  <c r="AF22" i="5"/>
  <c r="AQ18" i="5"/>
  <c r="AN7" i="5"/>
  <c r="AL21" i="5"/>
  <c r="AI10" i="5"/>
  <c r="AF7" i="5"/>
  <c r="AP27" i="5"/>
  <c r="AH27" i="5"/>
  <c r="AG9" i="5"/>
  <c r="AR14" i="5"/>
  <c r="AI12" i="5"/>
  <c r="AM24" i="5"/>
  <c r="AP19" i="5"/>
  <c r="AL30" i="5"/>
  <c r="AI20" i="5"/>
  <c r="AH26" i="5"/>
  <c r="AN11" i="5"/>
  <c r="AL25" i="5"/>
  <c r="AG28" i="5"/>
  <c r="AL11" i="5"/>
  <c r="AQ27" i="5"/>
  <c r="AP30" i="5"/>
  <c r="AJ8" i="5"/>
  <c r="AR31" i="5"/>
  <c r="AO20" i="5"/>
  <c r="AL9" i="5"/>
  <c r="AJ23" i="5"/>
  <c r="AG12" i="5"/>
  <c r="AN29" i="5"/>
  <c r="AH7" i="5"/>
  <c r="AQ11" i="5"/>
  <c r="AL14" i="5"/>
  <c r="AP14" i="5"/>
  <c r="AN28" i="5"/>
  <c r="AK17" i="5"/>
  <c r="AI31" i="5"/>
  <c r="AF20" i="5"/>
  <c r="AO14" i="5"/>
  <c r="AJ17" i="5"/>
  <c r="AG24" i="5"/>
  <c r="AM7" i="5"/>
  <c r="AP8" i="5"/>
  <c r="AN22" i="5"/>
  <c r="AK11" i="5"/>
  <c r="AI25" i="5"/>
  <c r="AF14" i="5"/>
  <c r="AQ10" i="5"/>
  <c r="AO24" i="5"/>
  <c r="AL13" i="5"/>
  <c r="AJ27" i="5"/>
  <c r="AG16" i="5"/>
  <c r="AQ20" i="5"/>
  <c r="AI29" i="5"/>
  <c r="AI13" i="5"/>
  <c r="AG17" i="5"/>
  <c r="AF17" i="5"/>
  <c r="AJ14" i="5"/>
  <c r="AO10" i="5"/>
  <c r="AQ12" i="5"/>
  <c r="AM9" i="5"/>
  <c r="AM25" i="5"/>
  <c r="AF26" i="5"/>
  <c r="AJ22" i="5"/>
  <c r="AI21" i="5"/>
  <c r="AJ12" i="5"/>
  <c r="AQ14" i="5"/>
  <c r="AO28" i="5"/>
  <c r="AL17" i="5"/>
  <c r="AJ31" i="5"/>
  <c r="AG20" i="5"/>
  <c r="AR17" i="5"/>
  <c r="AM20" i="5"/>
  <c r="AH23" i="5"/>
  <c r="AQ19" i="5"/>
  <c r="AR8" i="5"/>
  <c r="AP22" i="5"/>
  <c r="AM11" i="5"/>
  <c r="AK25" i="5"/>
  <c r="AH14" i="5"/>
  <c r="AF28" i="5"/>
  <c r="AO30" i="5"/>
  <c r="AI8" i="5"/>
  <c r="AK19" i="5"/>
  <c r="AM13" i="5"/>
  <c r="AF30" i="5"/>
  <c r="AN15" i="5"/>
  <c r="AI18" i="5"/>
  <c r="AN9" i="5"/>
  <c r="AF25" i="5"/>
  <c r="AQ21" i="5"/>
  <c r="AJ20" i="5"/>
  <c r="AJ30" i="5"/>
  <c r="AP11" i="5"/>
  <c r="AN19" i="5"/>
  <c r="AQ24" i="5"/>
  <c r="AP10" i="5"/>
  <c r="AO13" i="5"/>
  <c r="AJ16" i="5"/>
  <c r="AH30" i="5"/>
  <c r="AM12" i="5"/>
  <c r="AM21" i="5"/>
  <c r="AH24" i="5"/>
  <c r="AP9" i="5"/>
  <c r="AK12" i="5"/>
  <c r="AR28" i="5"/>
  <c r="AF18" i="5"/>
  <c r="AG18" i="5"/>
  <c r="AH28" i="5"/>
  <c r="AK13" i="5"/>
  <c r="AJ21" i="5"/>
  <c r="AG11" i="5"/>
  <c r="AP13" i="5"/>
  <c r="AK16" i="5"/>
  <c r="AI30" i="5"/>
  <c r="AF19" i="5"/>
  <c r="AP15" i="5"/>
  <c r="AK18" i="5"/>
  <c r="AF21" i="5"/>
  <c r="AP26" i="5"/>
  <c r="AQ7" i="5"/>
  <c r="AO21" i="5"/>
  <c r="AL10" i="5"/>
  <c r="AJ24" i="5"/>
  <c r="AG13" i="5"/>
  <c r="AR25" i="5"/>
  <c r="AM28" i="5"/>
  <c r="AH31" i="5"/>
  <c r="AR20" i="5"/>
  <c r="AR26" i="5"/>
  <c r="AO15" i="5"/>
  <c r="AM29" i="5"/>
  <c r="AJ18" i="5"/>
  <c r="AG7" i="5"/>
  <c r="AN31" i="5"/>
  <c r="AK20" i="5"/>
  <c r="AH9" i="5"/>
  <c r="AO17" i="5"/>
  <c r="AQ28" i="5"/>
  <c r="AO19" i="5"/>
  <c r="AN10" i="5"/>
  <c r="AG27" i="5"/>
  <c r="AR22" i="5"/>
  <c r="AN25" i="5"/>
  <c r="AK31" i="5"/>
  <c r="E17" i="6" l="1"/>
  <c r="E16" i="6"/>
  <c r="E12" i="6" l="1"/>
  <c r="J18" i="6"/>
  <c r="J16" i="6"/>
  <c r="J17" i="6"/>
  <c r="J12" i="6"/>
  <c r="E15" i="6" l="1"/>
  <c r="E14" i="6"/>
  <c r="J15" i="6"/>
  <c r="J14" i="6"/>
  <c r="E13" i="6" l="1"/>
  <c r="J13" i="6"/>
  <c r="E11" i="6" l="1"/>
  <c r="J11" i="6"/>
  <c r="E10" i="6" l="1"/>
  <c r="J10" i="6"/>
  <c r="E7" i="6" l="1"/>
  <c r="E8" i="6"/>
  <c r="E9" i="6"/>
  <c r="J7" i="6"/>
  <c r="J9" i="6"/>
  <c r="J8" i="6"/>
</calcChain>
</file>

<file path=xl/sharedStrings.xml><?xml version="1.0" encoding="utf-8"?>
<sst xmlns="http://schemas.openxmlformats.org/spreadsheetml/2006/main" count="809" uniqueCount="325">
  <si>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</si>
  <si>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</si>
  <si>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</si>
  <si>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</si>
  <si>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</si>
  <si>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20180123-CICC-HTMY-CU1805-VAN-P-60</t>
  </si>
  <si>
    <t>p</t>
  </si>
  <si>
    <t>cu1805</t>
  </si>
  <si>
    <t>20180118-CICC-ZTKJ-AL1805-VAN-P-82</t>
  </si>
  <si>
    <t>al1805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</si>
  <si>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</si>
  <si>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</si>
  <si>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</si>
  <si>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</si>
  <si>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</si>
  <si>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</si>
  <si>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</si>
  <si>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</si>
  <si>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</si>
  <si>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</si>
  <si>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</si>
  <si>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</si>
  <si>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</si>
  <si>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</si>
  <si>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</si>
  <si>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</si>
  <si>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</si>
  <si>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</si>
  <si>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</si>
  <si>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</si>
  <si>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</si>
  <si>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</si>
  <si>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</si>
  <si>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</si>
  <si>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</si>
  <si>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</si>
  <si>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</si>
  <si>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</si>
  <si>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</si>
  <si>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</si>
  <si>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</si>
  <si>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</si>
  <si>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</si>
  <si>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</si>
  <si>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</si>
  <si>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</si>
  <si>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</si>
  <si>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</si>
  <si>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</si>
  <si>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</si>
  <si>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</si>
  <si>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</si>
  <si>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</si>
  <si>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</si>
  <si>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</si>
  <si>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</si>
  <si>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</si>
  <si>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</si>
  <si>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</si>
  <si>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</si>
  <si>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</si>
  <si>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</si>
  <si>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</si>
  <si>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</si>
  <si>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</si>
  <si>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</si>
  <si>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</si>
  <si>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</si>
  <si>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</si>
  <si>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</si>
  <si>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</si>
  <si>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</si>
  <si>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</si>
  <si>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</si>
  <si>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</si>
  <si>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</si>
  <si>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</si>
  <si>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</si>
  <si>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</si>
  <si>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</si>
  <si>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</si>
  <si>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</si>
  <si>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</si>
  <si>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</si>
  <si>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</si>
  <si>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</si>
  <si>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</si>
  <si>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</si>
  <si>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</si>
  <si>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</si>
  <si>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</si>
  <si>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</si>
  <si>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</si>
  <si>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</si>
  <si>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</si>
  <si>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</si>
  <si>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</si>
  <si>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</si>
  <si>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</si>
  <si>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</si>
  <si>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</si>
  <si>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</si>
  <si>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</si>
  <si>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</si>
  <si>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</si>
  <si>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</si>
  <si>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</si>
  <si>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</si>
  <si>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</si>
  <si>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</si>
  <si>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</si>
  <si>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</si>
  <si>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</si>
  <si>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</si>
  <si>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</si>
  <si>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</si>
  <si>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</si>
  <si>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</si>
  <si>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</si>
  <si>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</si>
  <si>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</si>
  <si>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</si>
  <si>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</si>
  <si>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</si>
  <si>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</si>
  <si>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</si>
  <si>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</si>
  <si>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</si>
  <si>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</si>
  <si>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</si>
  <si>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</si>
  <si>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</si>
  <si>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</si>
  <si>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</si>
  <si>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</si>
  <si>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</si>
  <si>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</si>
  <si>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</si>
  <si>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</si>
  <si>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</si>
  <si>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</si>
  <si>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</si>
  <si>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</si>
  <si>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</si>
  <si>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</si>
  <si>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</si>
  <si>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</si>
  <si>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</si>
  <si>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</si>
  <si>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</si>
  <si>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</si>
  <si>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</si>
  <si>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</si>
  <si>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</si>
  <si>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</si>
  <si>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</si>
  <si>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</si>
  <si>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</si>
  <si>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</si>
  <si>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</si>
  <si>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</si>
  <si>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</si>
  <si>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</si>
  <si>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</si>
  <si>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</si>
  <si>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1.036|1|1</t>
  </si>
  <si>
    <t>.964|1|1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</si>
  <si>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</si>
  <si>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</si>
  <si>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</si>
  <si>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</si>
  <si>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</si>
  <si>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</si>
  <si>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</si>
  <si>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20180223-CICC-MRJH-SIK18-SWP-60</t>
    <phoneticPr fontId="1" type="noConversion"/>
  </si>
  <si>
    <t>swp</t>
  </si>
  <si>
    <t>swp</t>
    <phoneticPr fontId="1" type="noConversion"/>
  </si>
  <si>
    <t>sik18e</t>
  </si>
  <si>
    <t>sik18e</t>
    <phoneticPr fontId="1" type="noConversion"/>
  </si>
  <si>
    <t>20180122-CICC-MRJH-LMEAH-SWP-87</t>
  </si>
  <si>
    <t>ah</t>
  </si>
  <si>
    <t>ah</t>
    <phoneticPr fontId="1" type="noConversion"/>
  </si>
  <si>
    <t>20180223-CICC-MRJH-SIK18-SWP-60</t>
  </si>
  <si>
    <t>ah</t>
    <phoneticPr fontId="1" type="noConversion"/>
  </si>
  <si>
    <t>lme</t>
    <phoneticPr fontId="1" type="noConversion"/>
  </si>
  <si>
    <t>date</t>
    <phoneticPr fontId="1" type="noConversion"/>
  </si>
  <si>
    <t>1.019|1|1</t>
  </si>
  <si>
    <t>.981|1|1</t>
  </si>
  <si>
    <t>1.032|1|1</t>
  </si>
  <si>
    <t>1.064|1|1</t>
  </si>
  <si>
    <t>.968|1|1</t>
  </si>
  <si>
    <t>.936|1|1</t>
  </si>
  <si>
    <t>1.021|1|1</t>
  </si>
  <si>
    <t>1.042|1|1</t>
  </si>
  <si>
    <t>.979|1|1</t>
  </si>
  <si>
    <t>.958|1|1</t>
  </si>
  <si>
    <t>b</t>
  </si>
  <si>
    <t>b</t>
    <phoneticPr fontId="1" type="noConversion"/>
  </si>
  <si>
    <t>s</t>
  </si>
  <si>
    <t>s</t>
    <phoneticPr fontId="1" type="noConversion"/>
  </si>
  <si>
    <t>20180227-CICC-MRJH-SIK18-SWP-59</t>
    <phoneticPr fontId="1" type="noConversion"/>
  </si>
  <si>
    <t>ID</t>
    <phoneticPr fontId="1" type="noConversion"/>
  </si>
  <si>
    <t>20180227-CICC-MRJH-SIK18-SWP-59</t>
  </si>
  <si>
    <t>b</t>
    <phoneticPr fontId="1" type="noConversion"/>
  </si>
  <si>
    <t>swp</t>
    <phoneticPr fontId="1" type="noConversion"/>
  </si>
  <si>
    <t>lmca</t>
    <phoneticPr fontId="1" type="noConversion"/>
  </si>
  <si>
    <t>lmah</t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</si>
  <si>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</si>
  <si>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</si>
  <si>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</si>
  <si>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</si>
  <si>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</si>
  <si>
    <t>si</t>
    <phoneticPr fontId="1" type="noConversion"/>
  </si>
  <si>
    <t>lmah</t>
    <phoneticPr fontId="1" type="noConversion"/>
  </si>
  <si>
    <t>si</t>
    <phoneticPr fontId="1" type="noConversion"/>
  </si>
  <si>
    <t>1.071|1|1</t>
  </si>
  <si>
    <t>1.107|1|1</t>
  </si>
  <si>
    <t>.929|1|1</t>
  </si>
  <si>
    <t>.893|1|1</t>
  </si>
  <si>
    <t>1.107|1.1|1</t>
  </si>
  <si>
    <t>1.107|.9|1</t>
  </si>
  <si>
    <t>.893|1.1|1</t>
  </si>
  <si>
    <t>.893|.9|1</t>
  </si>
  <si>
    <t>1.083|1|1</t>
  </si>
  <si>
    <t>1.125|1|1</t>
  </si>
  <si>
    <t>.917|1|1</t>
  </si>
  <si>
    <t>.875|1|1</t>
  </si>
  <si>
    <t>1.125|1.1|1</t>
  </si>
  <si>
    <t>1.125|.9|1</t>
  </si>
  <si>
    <t>.875|1.1|1</t>
  </si>
  <si>
    <t>.875|.9|1</t>
  </si>
  <si>
    <t>1.038|1|1</t>
  </si>
  <si>
    <t>1.058|1|1</t>
  </si>
  <si>
    <t>.962|1|1</t>
  </si>
  <si>
    <t>.942|1|1</t>
  </si>
  <si>
    <t>1.058|1.1|1</t>
  </si>
  <si>
    <t>1.058|.9|1</t>
  </si>
  <si>
    <t>.942|1.1|1</t>
  </si>
  <si>
    <t>.942|.9|1</t>
  </si>
  <si>
    <t>1.073|1|1</t>
  </si>
  <si>
    <t>1.109|1|1</t>
  </si>
  <si>
    <t>.927|1|1</t>
  </si>
  <si>
    <t>.891|1|1</t>
  </si>
  <si>
    <t>1.109|1.1|1</t>
  </si>
  <si>
    <t>1.109|.9|1</t>
  </si>
  <si>
    <t>.891|1.1|1</t>
  </si>
  <si>
    <t>.891|.9|1</t>
  </si>
  <si>
    <t>1.033|1|1</t>
  </si>
  <si>
    <t>1.066|1|1</t>
  </si>
  <si>
    <t>1.099|1|1</t>
  </si>
  <si>
    <t>.967|1|1</t>
  </si>
  <si>
    <t>.934|1|1</t>
  </si>
  <si>
    <t>.901|1|1</t>
  </si>
  <si>
    <t>1.099|1.1|1</t>
  </si>
  <si>
    <t>1.099|.9|1</t>
  </si>
  <si>
    <t>.901|1.1|1</t>
  </si>
  <si>
    <t>.901|.9|1</t>
  </si>
  <si>
    <t>1.043|1|1</t>
  </si>
  <si>
    <t>.957|1|1</t>
  </si>
  <si>
    <t>1.064|1.1|1</t>
  </si>
  <si>
    <t>1.064|.9|1</t>
  </si>
  <si>
    <t>.936|1.1|1</t>
  </si>
  <si>
    <t>.936|.9|1</t>
  </si>
  <si>
    <t>1.025|1|1</t>
  </si>
  <si>
    <t>1.051|1|1</t>
  </si>
  <si>
    <t>1.076|1|1</t>
  </si>
  <si>
    <t>.975|1|1</t>
  </si>
  <si>
    <t>.949|1|1</t>
  </si>
  <si>
    <t>.924|1|1</t>
  </si>
  <si>
    <t>1.076|1.1|1</t>
  </si>
  <si>
    <t>1.076|.9|1</t>
  </si>
  <si>
    <t>.924|1.1|1</t>
  </si>
  <si>
    <t>.924|.9|1</t>
  </si>
  <si>
    <t>1.016|1|1</t>
  </si>
  <si>
    <t>1.048|1|1</t>
  </si>
  <si>
    <t>.984|1|1</t>
  </si>
  <si>
    <t>.952|1|1</t>
  </si>
  <si>
    <t>1.048|1.1|1</t>
  </si>
  <si>
    <t>1.048|.9|1</t>
  </si>
  <si>
    <t>.952|1.1|1</t>
  </si>
  <si>
    <t>.952|.9|1</t>
  </si>
  <si>
    <t>ID</t>
    <phoneticPr fontId="1" type="noConversion"/>
  </si>
  <si>
    <t>江铜国际贸易有限公司</t>
    <phoneticPr fontId="9" type="noConversion"/>
  </si>
  <si>
    <t>20180307-CICC-JTGJ-AL1805-VAN-C-30</t>
  </si>
  <si>
    <t>江铜国际贸易有限公司</t>
  </si>
  <si>
    <t>1-(VR+X)</t>
  </si>
  <si>
    <t>(1-k)</t>
  </si>
  <si>
    <t>1+(2*VR+X)</t>
    <phoneticPr fontId="1" type="noConversion"/>
  </si>
  <si>
    <t>1-(2*VR+X)</t>
    <phoneticPr fontId="1" type="noConversion"/>
  </si>
  <si>
    <t>ca</t>
  </si>
  <si>
    <t>ca</t>
    <phoneticPr fontId="1" type="noConversion"/>
  </si>
  <si>
    <t>20180309-CICC-MRJH-LMECA-SWP-89</t>
  </si>
  <si>
    <t>20180309-CICC-MRJH-LMECA-SWP-89</t>
    <phoneticPr fontId="1" type="noConversion"/>
  </si>
  <si>
    <t>b</t>
    <phoneticPr fontId="1" type="noConversion"/>
  </si>
  <si>
    <t>swp</t>
    <phoneticPr fontId="1" type="noConversion"/>
  </si>
  <si>
    <t>ca</t>
    <phoneticPr fontId="1" type="noConversion"/>
  </si>
  <si>
    <t>lmca</t>
  </si>
  <si>
    <t>ca</t>
    <phoneticPr fontId="1" type="noConversion"/>
  </si>
  <si>
    <t>lmca</t>
    <phoneticPr fontId="1" type="noConversion"/>
  </si>
  <si>
    <t>lme</t>
    <phoneticPr fontId="1" type="noConversion"/>
  </si>
  <si>
    <t>1.115|1|.35</t>
  </si>
  <si>
    <t>.885|1|.35</t>
  </si>
  <si>
    <t>1.213|1|.35</t>
  </si>
  <si>
    <t>.787|1|.35</t>
  </si>
  <si>
    <t>1.25|1|.35</t>
  </si>
  <si>
    <t>.75|1|.35</t>
  </si>
  <si>
    <t>1.218|1|.35</t>
  </si>
  <si>
    <t>.782|1|.35</t>
  </si>
  <si>
    <t>1.197|1|.35</t>
  </si>
  <si>
    <t>.803|1|.35</t>
  </si>
  <si>
    <t>1.128|1|.35</t>
  </si>
  <si>
    <t>.872|1|.35</t>
  </si>
  <si>
    <t>1.152|1|.35</t>
  </si>
  <si>
    <t>.848|1|.35</t>
  </si>
  <si>
    <t>1.097|1|.35</t>
  </si>
  <si>
    <t>.903|1|.35</t>
  </si>
  <si>
    <t>1.039|1|1</t>
  </si>
  <si>
    <t>.961|1|1</t>
  </si>
  <si>
    <t>1.117|1|.35</t>
  </si>
  <si>
    <t>.883|1|.35</t>
  </si>
  <si>
    <t>#</t>
    <phoneticPr fontId="1" type="noConversion"/>
  </si>
  <si>
    <t>20180316-CICC-MRJH-SIN18-SWP-C-63</t>
  </si>
  <si>
    <t>sin18e</t>
  </si>
  <si>
    <t>sin18e</t>
    <phoneticPr fontId="1" type="noConversion"/>
  </si>
  <si>
    <t>20180316-CICC-MRJH-SIN18-SWP-C-63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</si>
</sst>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[$-409]d\-mmm\-yy;@"/>
    <numFmt numFmtId="177" formatCode="0.000"/>
    <numFmt numFmtId="178" formatCode="###,###,##0.000000"/>
    <numFmt numFmtId="179" formatCode="###,###,##0.0000"/>
  </numFmts>
  <fonts count="1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/>
  </cellStyleXfs>
  <cellXfs count="32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7" fontId="8" fillId="0" borderId="0" xfId="0" applyNumberFormat="1" applyFont="1" applyFill="1"/>
    <xf numFmtId="179" fontId="3" fillId="0" borderId="0" xfId="0" applyNumberFormat="1" applyFont="1"/>
    <xf numFmtId="1" fontId="7" fillId="0" borderId="0" xfId="0" applyNumberFormat="1" applyFont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常规" xfId="0" builtinId="0"/>
    <cellStyle name="常规 25" xfId="1"/>
  </cellStyles>
  <dxfs count="127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0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31" totalsRowShown="0" headerRowDxfId="126" dataDxfId="125">
  <autoFilter ref="B6:AR31"/>
  <tableColumns count="43">
    <tableColumn id="1" name="ID" dataDxfId="124"/>
    <tableColumn id="2" name="cpty" dataDxfId="123"/>
    <tableColumn id="43" name="prd_type" dataDxfId="122"/>
    <tableColumn id="3" name="volume" dataDxfId="121"/>
    <tableColumn id="4" name="k" dataDxfId="120"/>
    <tableColumn id="41" name="trade_date" dataDxfId="119"/>
    <tableColumn id="5" name="exp_date" dataDxfId="118"/>
    <tableColumn id="42" name="prem_date" dataDxfId="117"/>
    <tableColumn id="6" name="prem" dataDxfId="116"/>
    <tableColumn id="7" name="type" dataDxfId="115"/>
    <tableColumn id="8" name="underlying" dataDxfId="114"/>
    <tableColumn id="9" name="prod" dataDxfId="113"/>
    <tableColumn id="38" name="qty" dataDxfId="112"/>
    <tableColumn id="10" name="price_st" dataDxfId="111"/>
    <tableColumn id="11" name="vol" dataDxfId="110"/>
    <tableColumn id="12" name="param_senario1" dataDxfId="109"/>
    <tableColumn id="13" name="param_senario2" dataDxfId="108"/>
    <tableColumn id="14" name="param_senario3" dataDxfId="107"/>
    <tableColumn id="15" name="param_senario4" dataDxfId="106"/>
    <tableColumn id="16" name="param_senario5" dataDxfId="105"/>
    <tableColumn id="17" name="param_senario6" dataDxfId="104"/>
    <tableColumn id="18" name="param_senario7" dataDxfId="103"/>
    <tableColumn id="19" name="param_senario8" dataDxfId="102"/>
    <tableColumn id="20" name="param_senario9" dataDxfId="101"/>
    <tableColumn id="21" name="param_senario10" dataDxfId="100"/>
    <tableColumn id="22" name="param_senario11" dataDxfId="99"/>
    <tableColumn id="23" name="param_senario12" dataDxfId="98"/>
    <tableColumn id="24" name="param_senario13" dataDxfId="97"/>
    <tableColumn id="39" name="vol_ref" dataDxfId="96"/>
    <tableColumn id="40" name="vol_adj" dataDxfId="95">
      <calculatedColumnFormula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0" totalsRowDxfId="69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36" totalsRowShown="0" headerRowDxfId="68" dataDxfId="67">
  <autoFilter ref="B8:N36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prd_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0" totalsRowShown="0" headerRowDxfId="53" dataDxfId="52">
  <autoFilter ref="B6:J20"/>
  <tableColumns count="9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8" name="date" dataDxfId="44">
      <calculatedColumnFormula>TODAY()</calculatedColumnFormula>
    </tableColumn>
    <tableColumn id="5" name="price_st" dataDxfId="43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5" totalsRowShown="0" headerRowDxfId="42" dataDxfId="41">
  <autoFilter ref="B6:AP15"/>
  <tableColumns count="41">
    <tableColumn id="1" name="client" dataDxfId="40"/>
    <tableColumn id="7" name="x" dataDxfId="39"/>
    <tableColumn id="6" name="k" dataDxfId="38"/>
    <tableColumn id="2" name="zn" dataDxfId="37"/>
    <tableColumn id="3" name="al" dataDxfId="36"/>
    <tableColumn id="4" name="sn" dataDxfId="35"/>
    <tableColumn id="8" name="ni" dataDxfId="34"/>
    <tableColumn id="5" name="cu" dataDxfId="33"/>
    <tableColumn id="9" name="jm" dataDxfId="32"/>
    <tableColumn id="10" name="j" dataDxfId="31"/>
    <tableColumn id="11" name="hc" dataDxfId="30"/>
    <tableColumn id="12" name="i" dataDxfId="29"/>
    <tableColumn id="13" name="rb" dataDxfId="28"/>
    <tableColumn id="14" name="au" dataDxfId="27"/>
    <tableColumn id="15" name="ag" dataDxfId="26"/>
    <tableColumn id="16" name="cs" dataDxfId="25"/>
    <tableColumn id="17" name="jd" dataDxfId="24"/>
    <tableColumn id="18" name="p" dataDxfId="23"/>
    <tableColumn id="19" name="oi" dataDxfId="22"/>
    <tableColumn id="20" name="rm" dataDxfId="21"/>
    <tableColumn id="21" name="cf" dataDxfId="20"/>
    <tableColumn id="22" name="a" dataDxfId="19"/>
    <tableColumn id="23" name="y" dataDxfId="18"/>
    <tableColumn id="24" name="m" dataDxfId="17"/>
    <tableColumn id="25" name="c" dataDxfId="16"/>
    <tableColumn id="26" name="sr" dataDxfId="15"/>
    <tableColumn id="27" name="zc" dataDxfId="14"/>
    <tableColumn id="28" name="bu" dataDxfId="13"/>
    <tableColumn id="29" name="ma" dataDxfId="12"/>
    <tableColumn id="30" name="pp" dataDxfId="11"/>
    <tableColumn id="31" name="l" dataDxfId="10"/>
    <tableColumn id="32" name="fg" dataDxfId="9"/>
    <tableColumn id="33" name="ru" dataDxfId="8"/>
    <tableColumn id="34" name="ta" dataDxfId="7"/>
    <tableColumn id="35" name="lmca" dataDxfId="6"/>
    <tableColumn id="36" name="lmah" dataDxfId="5"/>
    <tableColumn id="37" name="lmpb" dataDxfId="4"/>
    <tableColumn id="38" name="lmni" dataDxfId="3"/>
    <tableColumn id="39" name="gc" dataDxfId="2"/>
    <tableColumn id="40" name="si" dataDxfId="1"/>
    <tableColumn id="41" name="c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D27" sqref="D27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T35"/>
  <sheetViews>
    <sheetView tabSelected="1" topLeftCell="I1" zoomScaleNormal="100" workbookViewId="0">
      <selection activeCell="AH21" sqref="AH21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16384" width="9" style="6"/>
  </cols>
  <sheetData>
    <row r="3" spans="1:44">
      <c r="B3" s="6" t="s">
        <v>36</v>
      </c>
    </row>
    <row r="4" spans="1:44">
      <c r="B4" s="7">
        <f ca="1">TODAY()</f>
        <v>43178</v>
      </c>
      <c r="AE4" s="8"/>
    </row>
    <row r="6" spans="1:44">
      <c r="A6" s="6" t="s">
        <v>320</v>
      </c>
      <c r="B6" s="6" t="s">
        <v>281</v>
      </c>
      <c r="C6" s="6" t="s">
        <v>81</v>
      </c>
      <c r="D6" s="6" t="s">
        <v>167</v>
      </c>
      <c r="E6" s="6" t="s">
        <v>73</v>
      </c>
      <c r="F6" s="6" t="s">
        <v>13</v>
      </c>
      <c r="G6" s="6" t="s">
        <v>93</v>
      </c>
      <c r="H6" s="6" t="s">
        <v>75</v>
      </c>
      <c r="I6" s="6" t="s">
        <v>89</v>
      </c>
      <c r="J6" s="6" t="s">
        <v>79</v>
      </c>
      <c r="K6" s="6" t="s">
        <v>80</v>
      </c>
      <c r="L6" s="6" t="s">
        <v>4</v>
      </c>
      <c r="M6" s="6" t="s">
        <v>82</v>
      </c>
      <c r="N6" s="6" t="s">
        <v>72</v>
      </c>
      <c r="O6" s="6" t="s">
        <v>83</v>
      </c>
      <c r="P6" s="6" t="s">
        <v>0</v>
      </c>
      <c r="Q6" s="6" t="s">
        <v>49</v>
      </c>
      <c r="R6" s="6" t="s">
        <v>50</v>
      </c>
      <c r="S6" s="6" t="s">
        <v>51</v>
      </c>
      <c r="T6" s="6" t="s">
        <v>52</v>
      </c>
      <c r="U6" s="6" t="s">
        <v>53</v>
      </c>
      <c r="V6" s="6" t="s">
        <v>54</v>
      </c>
      <c r="W6" s="6" t="s">
        <v>55</v>
      </c>
      <c r="X6" s="6" t="s">
        <v>56</v>
      </c>
      <c r="Y6" s="6" t="s">
        <v>57</v>
      </c>
      <c r="Z6" s="6" t="s">
        <v>58</v>
      </c>
      <c r="AA6" s="6" t="s">
        <v>59</v>
      </c>
      <c r="AB6" s="6" t="s">
        <v>60</v>
      </c>
      <c r="AC6" s="6" t="s">
        <v>61</v>
      </c>
      <c r="AD6" s="6" t="s">
        <v>91</v>
      </c>
      <c r="AE6" s="6" t="s">
        <v>92</v>
      </c>
      <c r="AF6" s="6" t="s">
        <v>37</v>
      </c>
      <c r="AG6" s="6" t="s">
        <v>19</v>
      </c>
      <c r="AH6" s="6" t="s">
        <v>21</v>
      </c>
      <c r="AI6" s="6" t="s">
        <v>22</v>
      </c>
      <c r="AJ6" s="6" t="s">
        <v>23</v>
      </c>
      <c r="AK6" s="6" t="s">
        <v>24</v>
      </c>
      <c r="AL6" s="6" t="s">
        <v>25</v>
      </c>
      <c r="AM6" s="6" t="s">
        <v>26</v>
      </c>
      <c r="AN6" s="6" t="s">
        <v>27</v>
      </c>
      <c r="AO6" s="6" t="s">
        <v>28</v>
      </c>
      <c r="AP6" s="6" t="s">
        <v>29</v>
      </c>
      <c r="AQ6" s="6" t="s">
        <v>30</v>
      </c>
      <c r="AR6" s="6" t="s">
        <v>31</v>
      </c>
    </row>
    <row r="7" spans="1:44" ht="15" customHeight="1">
      <c r="B7" s="9" t="s">
        <v>283</v>
      </c>
      <c r="C7" s="9" t="s">
        <v>284</v>
      </c>
      <c r="D7" s="9" t="s">
        <v>168</v>
      </c>
      <c r="E7" s="9">
        <v>1000</v>
      </c>
      <c r="F7" s="9">
        <v>13749.99999912</v>
      </c>
      <c r="G7" s="7">
        <v>43166</v>
      </c>
      <c r="H7" s="7">
        <v>43196.625</v>
      </c>
      <c r="I7" s="7">
        <v>43196</v>
      </c>
      <c r="J7" s="9">
        <v>-209999.9664</v>
      </c>
      <c r="K7" s="9" t="s">
        <v>6</v>
      </c>
      <c r="L7" s="9" t="s">
        <v>9</v>
      </c>
      <c r="M7" s="9" t="s">
        <v>10</v>
      </c>
      <c r="N7" s="9">
        <v>5000</v>
      </c>
      <c r="O7" s="9">
        <v>13960</v>
      </c>
      <c r="P7" s="9">
        <v>0.14000000000000001</v>
      </c>
      <c r="Q7" s="9" t="s">
        <v>164</v>
      </c>
      <c r="R7" s="9" t="s">
        <v>186</v>
      </c>
      <c r="S7" s="9" t="s">
        <v>231</v>
      </c>
      <c r="T7" s="9" t="s">
        <v>232</v>
      </c>
      <c r="U7" s="9" t="s">
        <v>187</v>
      </c>
      <c r="V7" s="9" t="s">
        <v>233</v>
      </c>
      <c r="W7" s="9" t="s">
        <v>234</v>
      </c>
      <c r="X7" s="9" t="s">
        <v>235</v>
      </c>
      <c r="Y7" s="9" t="s">
        <v>236</v>
      </c>
      <c r="Z7" s="9" t="s">
        <v>237</v>
      </c>
      <c r="AA7" s="9" t="s">
        <v>238</v>
      </c>
      <c r="AB7" s="9" t="s">
        <v>300</v>
      </c>
      <c r="AC7" s="9" t="s">
        <v>301</v>
      </c>
      <c r="AD7" s="9">
        <v>0.12</v>
      </c>
      <c r="AE7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0.13216326530612246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193739.65164291582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-77367.764937391185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-176539.83683735522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-204152.6785428563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751692.42120671656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1638681.2205862987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2844957.5344891925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-197854.33920560667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-207708.99122744522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2874016.0055743512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2821731.8796939496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-209997.23777799588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2229487.5219713748</v>
      </c>
    </row>
    <row r="8" spans="1:44">
      <c r="B8" s="9" t="s">
        <v>66</v>
      </c>
      <c r="C8" s="9" t="s">
        <v>111</v>
      </c>
      <c r="D8" s="9" t="s">
        <v>168</v>
      </c>
      <c r="E8" s="9">
        <v>500</v>
      </c>
      <c r="F8" s="9">
        <v>3699.9999992799999</v>
      </c>
      <c r="G8" s="7">
        <v>43140</v>
      </c>
      <c r="H8" s="7">
        <v>43219.625</v>
      </c>
      <c r="I8" s="7">
        <v>43219.625</v>
      </c>
      <c r="J8" s="9">
        <v>-275000.00800000003</v>
      </c>
      <c r="K8" s="9" t="s">
        <v>6</v>
      </c>
      <c r="L8" s="9" t="s">
        <v>64</v>
      </c>
      <c r="M8" s="9" t="s">
        <v>62</v>
      </c>
      <c r="N8" s="9">
        <v>5000</v>
      </c>
      <c r="O8" s="9">
        <v>3491</v>
      </c>
      <c r="P8" s="9">
        <v>0.18</v>
      </c>
      <c r="Q8" s="9" t="s">
        <v>164</v>
      </c>
      <c r="R8" s="9" t="s">
        <v>165</v>
      </c>
      <c r="S8" s="9" t="s">
        <v>215</v>
      </c>
      <c r="T8" s="9" t="s">
        <v>216</v>
      </c>
      <c r="U8" s="9" t="s">
        <v>166</v>
      </c>
      <c r="V8" s="9" t="s">
        <v>217</v>
      </c>
      <c r="W8" s="9" t="s">
        <v>218</v>
      </c>
      <c r="X8" s="9" t="s">
        <v>219</v>
      </c>
      <c r="Y8" s="9" t="s">
        <v>220</v>
      </c>
      <c r="Z8" s="9" t="s">
        <v>221</v>
      </c>
      <c r="AA8" s="9" t="s">
        <v>222</v>
      </c>
      <c r="AB8" s="9" t="s">
        <v>302</v>
      </c>
      <c r="AC8" s="9" t="s">
        <v>303</v>
      </c>
      <c r="AD8" s="9">
        <v>0.125</v>
      </c>
      <c r="AE8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0.15375196232339089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829017.39304108487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346610.21714302304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20119.921706717752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-164962.06236930011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1406783.1057703565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2005696.617616002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2631161.4079726939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-136571.22211022468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-191414.08328015814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2631419.5800056905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2631072.8604325601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-274473.39694657072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1388222.3974034265</v>
      </c>
    </row>
    <row r="9" spans="1:44">
      <c r="B9" s="9" t="s">
        <v>67</v>
      </c>
      <c r="C9" s="9" t="s">
        <v>111</v>
      </c>
      <c r="D9" s="9" t="s">
        <v>168</v>
      </c>
      <c r="E9" s="9">
        <v>1000</v>
      </c>
      <c r="F9" s="9">
        <v>3720.0000015999999</v>
      </c>
      <c r="G9" s="7">
        <v>43140</v>
      </c>
      <c r="H9" s="7">
        <v>43205.625</v>
      </c>
      <c r="I9" s="7">
        <v>43205.625</v>
      </c>
      <c r="J9" s="9">
        <v>-499999.99575</v>
      </c>
      <c r="K9" s="9" t="s">
        <v>6</v>
      </c>
      <c r="L9" s="9" t="s">
        <v>64</v>
      </c>
      <c r="M9" s="9" t="s">
        <v>62</v>
      </c>
      <c r="N9" s="9">
        <v>10000</v>
      </c>
      <c r="O9" s="9">
        <v>3491</v>
      </c>
      <c r="P9" s="9">
        <v>0.18</v>
      </c>
      <c r="Q9" s="9" t="s">
        <v>164</v>
      </c>
      <c r="R9" s="9" t="s">
        <v>165</v>
      </c>
      <c r="S9" s="9" t="s">
        <v>215</v>
      </c>
      <c r="T9" s="9" t="s">
        <v>216</v>
      </c>
      <c r="U9" s="9" t="s">
        <v>166</v>
      </c>
      <c r="V9" s="9" t="s">
        <v>217</v>
      </c>
      <c r="W9" s="9" t="s">
        <v>218</v>
      </c>
      <c r="X9" s="9" t="s">
        <v>219</v>
      </c>
      <c r="Y9" s="9" t="s">
        <v>220</v>
      </c>
      <c r="Z9" s="9" t="s">
        <v>221</v>
      </c>
      <c r="AA9" s="9" t="s">
        <v>222</v>
      </c>
      <c r="AB9" s="9" t="s">
        <v>302</v>
      </c>
      <c r="AC9" s="9" t="s">
        <v>303</v>
      </c>
      <c r="AD9" s="9">
        <v>0.125</v>
      </c>
      <c r="AE9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0.14815238095238095</v>
      </c>
      <c r="AF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1824064.8984345889</v>
      </c>
      <c r="AG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748162.0669459682</v>
      </c>
      <c r="AH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15942.180026862712</v>
      </c>
      <c r="AI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-354803.88768664951</v>
      </c>
      <c r="AJ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3044675.2212470537</v>
      </c>
      <c r="AK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4261537.0805927264</v>
      </c>
      <c r="AL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5516258.4508191515</v>
      </c>
      <c r="AM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-313439.43832517072</v>
      </c>
      <c r="AN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-392679.65032831056</v>
      </c>
      <c r="AO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5516270.4289772073</v>
      </c>
      <c r="AP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5516256.5002878541</v>
      </c>
      <c r="AQ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-499886.740942323</v>
      </c>
      <c r="AR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2898891.7162437718</v>
      </c>
    </row>
    <row r="10" spans="1:44">
      <c r="B10" s="9" t="s">
        <v>95</v>
      </c>
      <c r="C10" s="9" t="s">
        <v>112</v>
      </c>
      <c r="D10" s="9" t="s">
        <v>168</v>
      </c>
      <c r="E10" s="9">
        <v>100</v>
      </c>
      <c r="F10" s="9">
        <v>524</v>
      </c>
      <c r="G10" s="7">
        <v>43139</v>
      </c>
      <c r="H10" s="7">
        <v>43201.625</v>
      </c>
      <c r="I10" s="7">
        <v>43201.625</v>
      </c>
      <c r="J10" s="9">
        <v>-235800</v>
      </c>
      <c r="K10" s="9" t="s">
        <v>6</v>
      </c>
      <c r="L10" s="9" t="s">
        <v>106</v>
      </c>
      <c r="M10" s="9" t="s">
        <v>135</v>
      </c>
      <c r="N10" s="9">
        <v>10000</v>
      </c>
      <c r="O10" s="9">
        <v>462.5</v>
      </c>
      <c r="P10" s="9">
        <v>0.36</v>
      </c>
      <c r="Q10" s="9" t="s">
        <v>164</v>
      </c>
      <c r="R10" s="9" t="s">
        <v>193</v>
      </c>
      <c r="S10" s="9" t="s">
        <v>223</v>
      </c>
      <c r="T10" s="9" t="s">
        <v>224</v>
      </c>
      <c r="U10" s="9" t="s">
        <v>195</v>
      </c>
      <c r="V10" s="9" t="s">
        <v>225</v>
      </c>
      <c r="W10" s="9" t="s">
        <v>226</v>
      </c>
      <c r="X10" s="9" t="s">
        <v>227</v>
      </c>
      <c r="Y10" s="9" t="s">
        <v>228</v>
      </c>
      <c r="Z10" s="9" t="s">
        <v>229</v>
      </c>
      <c r="AA10" s="9" t="s">
        <v>230</v>
      </c>
      <c r="AB10" s="9" t="s">
        <v>304</v>
      </c>
      <c r="AC10" s="9" t="s">
        <v>305</v>
      </c>
      <c r="AD10" s="9">
        <v>0.125</v>
      </c>
      <c r="AE10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0.21365269461077843</v>
      </c>
      <c r="AF1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379391.82359389041</v>
      </c>
      <c r="AG1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191698.85078357154</v>
      </c>
      <c r="AH1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26724.153580620012</v>
      </c>
      <c r="AI1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-103364.8478220588</v>
      </c>
      <c r="AJ1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572476.5482081204</v>
      </c>
      <c r="AK1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761785.72120481986</v>
      </c>
      <c r="AL1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955781.52316047321</v>
      </c>
      <c r="AM1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-92147.650988970796</v>
      </c>
      <c r="AN1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-114563.76309968806</v>
      </c>
      <c r="AO1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955781.92532522837</v>
      </c>
      <c r="AP1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955781.47700935951</v>
      </c>
      <c r="AQ1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-234338.87259343651</v>
      </c>
      <c r="AR1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383335.4973842398</v>
      </c>
    </row>
    <row r="11" spans="1:44">
      <c r="B11" s="9" t="s">
        <v>96</v>
      </c>
      <c r="C11" s="9" t="s">
        <v>112</v>
      </c>
      <c r="D11" s="9" t="s">
        <v>168</v>
      </c>
      <c r="E11" s="9">
        <v>100</v>
      </c>
      <c r="F11" s="9">
        <v>524</v>
      </c>
      <c r="G11" s="7">
        <v>43139</v>
      </c>
      <c r="H11" s="7">
        <v>43201.625</v>
      </c>
      <c r="I11" s="7">
        <v>43201.625</v>
      </c>
      <c r="J11" s="9">
        <v>-235800</v>
      </c>
      <c r="K11" s="9" t="s">
        <v>43</v>
      </c>
      <c r="L11" s="9" t="s">
        <v>106</v>
      </c>
      <c r="M11" s="9" t="s">
        <v>135</v>
      </c>
      <c r="N11" s="9">
        <v>10000</v>
      </c>
      <c r="O11" s="9">
        <v>462.5</v>
      </c>
      <c r="P11" s="9">
        <v>0.36</v>
      </c>
      <c r="Q11" s="9" t="s">
        <v>164</v>
      </c>
      <c r="R11" s="9" t="s">
        <v>193</v>
      </c>
      <c r="S11" s="9" t="s">
        <v>223</v>
      </c>
      <c r="T11" s="9" t="s">
        <v>224</v>
      </c>
      <c r="U11" s="9" t="s">
        <v>195</v>
      </c>
      <c r="V11" s="9" t="s">
        <v>225</v>
      </c>
      <c r="W11" s="9" t="s">
        <v>226</v>
      </c>
      <c r="X11" s="9" t="s">
        <v>227</v>
      </c>
      <c r="Y11" s="9" t="s">
        <v>228</v>
      </c>
      <c r="Z11" s="9" t="s">
        <v>229</v>
      </c>
      <c r="AA11" s="9" t="s">
        <v>230</v>
      </c>
      <c r="AB11" s="9" t="s">
        <v>304</v>
      </c>
      <c r="AC11" s="9" t="s">
        <v>305</v>
      </c>
      <c r="AD11" s="9">
        <v>0.125</v>
      </c>
      <c r="AE11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0.21365269461077843</v>
      </c>
      <c r="AF1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-234812.56135024916</v>
      </c>
      <c r="AG1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-228506.83208674812</v>
      </c>
      <c r="AH1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-204101.84393192368</v>
      </c>
      <c r="AI1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-140192.14326078288</v>
      </c>
      <c r="AJ1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-235726.53880983836</v>
      </c>
      <c r="AK1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-235797.05117091534</v>
      </c>
      <c r="AL1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-235799.95128908195</v>
      </c>
      <c r="AM1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-128974.94642769457</v>
      </c>
      <c r="AN1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-151391.05853841215</v>
      </c>
      <c r="AO1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-235799.54912432632</v>
      </c>
      <c r="AP1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-235799.99744019503</v>
      </c>
      <c r="AQ1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-45146.444670094381</v>
      </c>
      <c r="AR1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-235799.99999999983</v>
      </c>
    </row>
    <row r="12" spans="1:44">
      <c r="B12" s="9" t="s">
        <v>68</v>
      </c>
      <c r="C12" s="9" t="s">
        <v>111</v>
      </c>
      <c r="D12" s="9" t="s">
        <v>168</v>
      </c>
      <c r="E12" s="9">
        <v>1000</v>
      </c>
      <c r="F12" s="9">
        <v>3650.00000142</v>
      </c>
      <c r="G12" s="7">
        <v>43132</v>
      </c>
      <c r="H12" s="7">
        <v>43205.625</v>
      </c>
      <c r="I12" s="7">
        <v>43205.625</v>
      </c>
      <c r="J12" s="9">
        <v>-429999.99489999999</v>
      </c>
      <c r="K12" s="9" t="s">
        <v>6</v>
      </c>
      <c r="L12" s="9" t="s">
        <v>64</v>
      </c>
      <c r="M12" s="9" t="s">
        <v>62</v>
      </c>
      <c r="N12" s="9">
        <v>10000</v>
      </c>
      <c r="O12" s="9">
        <v>3491</v>
      </c>
      <c r="P12" s="9">
        <v>0.18</v>
      </c>
      <c r="Q12" s="9" t="s">
        <v>164</v>
      </c>
      <c r="R12" s="9" t="s">
        <v>165</v>
      </c>
      <c r="S12" s="9" t="s">
        <v>215</v>
      </c>
      <c r="T12" s="9" t="s">
        <v>216</v>
      </c>
      <c r="U12" s="9" t="s">
        <v>166</v>
      </c>
      <c r="V12" s="9" t="s">
        <v>217</v>
      </c>
      <c r="W12" s="9" t="s">
        <v>218</v>
      </c>
      <c r="X12" s="9" t="s">
        <v>219</v>
      </c>
      <c r="Y12" s="9" t="s">
        <v>220</v>
      </c>
      <c r="Z12" s="9" t="s">
        <v>221</v>
      </c>
      <c r="AA12" s="9" t="s">
        <v>222</v>
      </c>
      <c r="AB12" s="9" t="s">
        <v>302</v>
      </c>
      <c r="AC12" s="9" t="s">
        <v>303</v>
      </c>
      <c r="AD12" s="9">
        <v>0.125</v>
      </c>
      <c r="AE12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0.14563667232597621</v>
      </c>
      <c r="AF1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1253339.3979069742</v>
      </c>
      <c r="AG1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331328.07194419432</v>
      </c>
      <c r="AH1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-180896.17300812056</v>
      </c>
      <c r="AI1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-377937.53389323363</v>
      </c>
      <c r="AJ1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2423531.0658774893</v>
      </c>
      <c r="AK1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3633083.3359023877</v>
      </c>
      <c r="AL1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4887327.8794358401</v>
      </c>
      <c r="AM1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-354112.29418314842</v>
      </c>
      <c r="AN1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-397363.01888734882</v>
      </c>
      <c r="AO1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4887378.4835974872</v>
      </c>
      <c r="AP1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4887316.6656159712</v>
      </c>
      <c r="AQ1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-429986.18585547747</v>
      </c>
      <c r="AR1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2724262.2920884816</v>
      </c>
    </row>
    <row r="13" spans="1:44">
      <c r="B13" s="9" t="s">
        <v>69</v>
      </c>
      <c r="C13" s="9" t="s">
        <v>111</v>
      </c>
      <c r="D13" s="9" t="s">
        <v>168</v>
      </c>
      <c r="E13" s="9">
        <v>1000</v>
      </c>
      <c r="F13" s="9">
        <v>3650.0000014560001</v>
      </c>
      <c r="G13" s="7">
        <v>43129</v>
      </c>
      <c r="H13" s="7">
        <v>43189.625</v>
      </c>
      <c r="I13" s="7">
        <v>43189.625</v>
      </c>
      <c r="J13" s="9">
        <v>-470000.00880000001</v>
      </c>
      <c r="K13" s="9" t="s">
        <v>6</v>
      </c>
      <c r="L13" s="9" t="s">
        <v>64</v>
      </c>
      <c r="M13" s="9" t="s">
        <v>62</v>
      </c>
      <c r="N13" s="9">
        <v>10000</v>
      </c>
      <c r="O13" s="9">
        <v>3491</v>
      </c>
      <c r="P13" s="9">
        <v>0.18</v>
      </c>
      <c r="Q13" s="9" t="s">
        <v>164</v>
      </c>
      <c r="R13" s="9" t="s">
        <v>165</v>
      </c>
      <c r="S13" s="9" t="s">
        <v>215</v>
      </c>
      <c r="T13" s="9" t="s">
        <v>216</v>
      </c>
      <c r="U13" s="9" t="s">
        <v>166</v>
      </c>
      <c r="V13" s="9" t="s">
        <v>217</v>
      </c>
      <c r="W13" s="9" t="s">
        <v>218</v>
      </c>
      <c r="X13" s="9" t="s">
        <v>219</v>
      </c>
      <c r="Y13" s="9" t="s">
        <v>220</v>
      </c>
      <c r="Z13" s="9" t="s">
        <v>221</v>
      </c>
      <c r="AA13" s="9" t="s">
        <v>222</v>
      </c>
      <c r="AB13" s="9" t="s">
        <v>302</v>
      </c>
      <c r="AC13" s="9" t="s">
        <v>303</v>
      </c>
      <c r="AD13" s="9">
        <v>0.125</v>
      </c>
      <c r="AE13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0.13554639175257732</v>
      </c>
      <c r="AF1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1130084.7913764906</v>
      </c>
      <c r="AG1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71803.667232509877</v>
      </c>
      <c r="AH1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-394796.73475165467</v>
      </c>
      <c r="AI1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-467224.58238972374</v>
      </c>
      <c r="AJ1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2375033.989138349</v>
      </c>
      <c r="AK1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3596019.2637295593</v>
      </c>
      <c r="AL1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4851978.8981744256</v>
      </c>
      <c r="AM1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-464322.89750332834</v>
      </c>
      <c r="AN1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-468890.07521500863</v>
      </c>
      <c r="AO1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4851978.8983921716</v>
      </c>
      <c r="AP1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4851978.8981702235</v>
      </c>
      <c r="AQ1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-470000.00877887278</v>
      </c>
      <c r="AR1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2687028.8715255111</v>
      </c>
    </row>
    <row r="14" spans="1:44">
      <c r="B14" s="9" t="s">
        <v>8</v>
      </c>
      <c r="C14" s="9" t="s">
        <v>113</v>
      </c>
      <c r="D14" s="9" t="s">
        <v>168</v>
      </c>
      <c r="E14" s="9">
        <v>400</v>
      </c>
      <c r="F14" s="9">
        <v>14500.000004</v>
      </c>
      <c r="G14" s="7">
        <v>43118</v>
      </c>
      <c r="H14" s="7">
        <v>43200.625</v>
      </c>
      <c r="I14" s="7">
        <v>43200.625</v>
      </c>
      <c r="J14" s="9">
        <v>-400000</v>
      </c>
      <c r="K14" s="9" t="s">
        <v>6</v>
      </c>
      <c r="L14" s="9" t="s">
        <v>9</v>
      </c>
      <c r="M14" s="9" t="s">
        <v>10</v>
      </c>
      <c r="N14" s="9">
        <v>2000</v>
      </c>
      <c r="O14" s="9">
        <v>13960</v>
      </c>
      <c r="P14" s="9">
        <v>0.14000000000000001</v>
      </c>
      <c r="Q14" s="9" t="s">
        <v>164</v>
      </c>
      <c r="R14" s="9" t="s">
        <v>186</v>
      </c>
      <c r="S14" s="9" t="s">
        <v>231</v>
      </c>
      <c r="T14" s="9" t="s">
        <v>232</v>
      </c>
      <c r="U14" s="9" t="s">
        <v>187</v>
      </c>
      <c r="V14" s="9" t="s">
        <v>233</v>
      </c>
      <c r="W14" s="9" t="s">
        <v>234</v>
      </c>
      <c r="X14" s="9" t="s">
        <v>235</v>
      </c>
      <c r="Y14" s="9" t="s">
        <v>236</v>
      </c>
      <c r="Z14" s="9" t="s">
        <v>237</v>
      </c>
      <c r="AA14" s="9" t="s">
        <v>238</v>
      </c>
      <c r="AB14" s="9" t="s">
        <v>300</v>
      </c>
      <c r="AC14" s="9" t="s">
        <v>301</v>
      </c>
      <c r="AD14" s="9">
        <v>0.12</v>
      </c>
      <c r="AE14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0.1254765506807867</v>
      </c>
      <c r="AF1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726966.85132424883</v>
      </c>
      <c r="AG1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296977.03433542466</v>
      </c>
      <c r="AH1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-29567.76583472552</v>
      </c>
      <c r="AI1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-243425.73934865635</v>
      </c>
      <c r="AJ1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1220151.6804010563</v>
      </c>
      <c r="AK1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1740311.9590105354</v>
      </c>
      <c r="AL1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2296223.9957467937</v>
      </c>
      <c r="AM1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-212326.43606892944</v>
      </c>
      <c r="AN1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-273452.64807122824</v>
      </c>
      <c r="AO1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2296639.1066850848</v>
      </c>
      <c r="AP1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2296065.6946699186</v>
      </c>
      <c r="AQ1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-398687.27536179987</v>
      </c>
      <c r="AR1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1099919.368539107</v>
      </c>
    </row>
    <row r="15" spans="1:44">
      <c r="B15" s="9" t="s">
        <v>97</v>
      </c>
      <c r="C15" s="9" t="s">
        <v>115</v>
      </c>
      <c r="D15" s="9" t="s">
        <v>168</v>
      </c>
      <c r="E15" s="9">
        <v>-50</v>
      </c>
      <c r="F15" s="9">
        <v>1258</v>
      </c>
      <c r="G15" s="7">
        <v>43077</v>
      </c>
      <c r="H15" s="7">
        <v>43189.625</v>
      </c>
      <c r="I15" s="7">
        <v>43076</v>
      </c>
      <c r="J15" s="9">
        <v>297000</v>
      </c>
      <c r="K15" s="9" t="s">
        <v>6</v>
      </c>
      <c r="L15" s="9" t="s">
        <v>107</v>
      </c>
      <c r="M15" s="9" t="s">
        <v>122</v>
      </c>
      <c r="N15" s="9">
        <v>-3000</v>
      </c>
      <c r="O15" s="9">
        <v>1286</v>
      </c>
      <c r="P15" s="9">
        <v>0.36</v>
      </c>
      <c r="Q15" s="9" t="s">
        <v>164</v>
      </c>
      <c r="R15" s="9" t="s">
        <v>165</v>
      </c>
      <c r="S15" s="9" t="s">
        <v>239</v>
      </c>
      <c r="T15" s="9" t="s">
        <v>240</v>
      </c>
      <c r="U15" s="9" t="s">
        <v>166</v>
      </c>
      <c r="V15" s="9" t="s">
        <v>241</v>
      </c>
      <c r="W15" s="9" t="s">
        <v>242</v>
      </c>
      <c r="X15" s="9" t="s">
        <v>243</v>
      </c>
      <c r="Y15" s="9" t="s">
        <v>244</v>
      </c>
      <c r="Z15" s="9" t="s">
        <v>245</v>
      </c>
      <c r="AA15" s="9" t="s">
        <v>246</v>
      </c>
      <c r="AB15" s="9" t="s">
        <v>306</v>
      </c>
      <c r="AC15" s="9" t="s">
        <v>307</v>
      </c>
      <c r="AD15" s="9"/>
      <c r="AE15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-61433.868180377234</v>
      </c>
      <c r="AG1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-25353.231435468035</v>
      </c>
      <c r="AH1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-8525.5051312526284</v>
      </c>
      <c r="AI1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-2481.5850554706608</v>
      </c>
      <c r="AJ1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-125859.21387690576</v>
      </c>
      <c r="AK1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-224042.16496787054</v>
      </c>
      <c r="AL1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-343830.11842912994</v>
      </c>
      <c r="AM1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-4306.8697764419267</v>
      </c>
      <c r="AN1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-1235.128955131011</v>
      </c>
      <c r="AO1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-347363.43476203282</v>
      </c>
      <c r="AP1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-340972.40172352095</v>
      </c>
      <c r="AQ1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-7.8168959153698587</v>
      </c>
      <c r="AR1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-264801.38285450952</v>
      </c>
    </row>
    <row r="16" spans="1:44">
      <c r="B16" s="9" t="s">
        <v>98</v>
      </c>
      <c r="C16" s="9" t="s">
        <v>115</v>
      </c>
      <c r="D16" s="9" t="s">
        <v>168</v>
      </c>
      <c r="E16" s="9">
        <v>-50</v>
      </c>
      <c r="F16" s="9">
        <v>1258</v>
      </c>
      <c r="G16" s="7">
        <v>43077</v>
      </c>
      <c r="H16" s="7">
        <v>43189.625</v>
      </c>
      <c r="I16" s="7">
        <v>43076</v>
      </c>
      <c r="J16" s="9">
        <v>297000</v>
      </c>
      <c r="K16" s="9" t="s">
        <v>43</v>
      </c>
      <c r="L16" s="9" t="s">
        <v>107</v>
      </c>
      <c r="M16" s="9" t="s">
        <v>122</v>
      </c>
      <c r="N16" s="9">
        <v>-3000</v>
      </c>
      <c r="O16" s="9">
        <v>1286</v>
      </c>
      <c r="P16" s="9">
        <v>0.36</v>
      </c>
      <c r="Q16" s="9" t="s">
        <v>164</v>
      </c>
      <c r="R16" s="9" t="s">
        <v>165</v>
      </c>
      <c r="S16" s="9" t="s">
        <v>239</v>
      </c>
      <c r="T16" s="9" t="s">
        <v>240</v>
      </c>
      <c r="U16" s="9" t="s">
        <v>166</v>
      </c>
      <c r="V16" s="9" t="s">
        <v>241</v>
      </c>
      <c r="W16" s="9" t="s">
        <v>242</v>
      </c>
      <c r="X16" s="9" t="s">
        <v>243</v>
      </c>
      <c r="Y16" s="9" t="s">
        <v>244</v>
      </c>
      <c r="Z16" s="9" t="s">
        <v>245</v>
      </c>
      <c r="AA16" s="9" t="s">
        <v>246</v>
      </c>
      <c r="AB16" s="9" t="s">
        <v>306</v>
      </c>
      <c r="AC16" s="9" t="s">
        <v>307</v>
      </c>
      <c r="AD16" s="9"/>
      <c r="AE16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1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-145380.37836900895</v>
      </c>
      <c r="AG1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-248099.30004170423</v>
      </c>
      <c r="AH1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-373926.67544447031</v>
      </c>
      <c r="AI1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-506682.31378629291</v>
      </c>
      <c r="AJ1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-71006.165647933914</v>
      </c>
      <c r="AK1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-26534.015031916828</v>
      </c>
      <c r="AL1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-7522.4100755722238</v>
      </c>
      <c r="AM1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-508507.59850726393</v>
      </c>
      <c r="AN1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-505435.85768595303</v>
      </c>
      <c r="AO1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-11055.726408475259</v>
      </c>
      <c r="AP1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-4664.6933699630708</v>
      </c>
      <c r="AQ1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-323567.04844146944</v>
      </c>
      <c r="AR1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-4.7084409977781068</v>
      </c>
    </row>
    <row r="17" spans="2:44">
      <c r="B17" s="9" t="s">
        <v>99</v>
      </c>
      <c r="C17" s="9" t="s">
        <v>116</v>
      </c>
      <c r="D17" s="9" t="s">
        <v>168</v>
      </c>
      <c r="E17" s="9">
        <v>2000</v>
      </c>
      <c r="F17" s="9">
        <v>1199.9999998999999</v>
      </c>
      <c r="G17" s="7">
        <v>43067</v>
      </c>
      <c r="H17" s="7">
        <v>43189.625</v>
      </c>
      <c r="I17" s="7">
        <v>43189.625</v>
      </c>
      <c r="J17" s="9">
        <v>-5999999.9280000003</v>
      </c>
      <c r="K17" s="9" t="s">
        <v>6</v>
      </c>
      <c r="L17" s="9" t="s">
        <v>107</v>
      </c>
      <c r="M17" s="9" t="s">
        <v>122</v>
      </c>
      <c r="N17" s="9">
        <v>120000</v>
      </c>
      <c r="O17" s="9">
        <v>1286</v>
      </c>
      <c r="P17" s="9">
        <v>0.36</v>
      </c>
      <c r="Q17" s="9" t="s">
        <v>164</v>
      </c>
      <c r="R17" s="9" t="s">
        <v>165</v>
      </c>
      <c r="S17" s="9" t="s">
        <v>239</v>
      </c>
      <c r="T17" s="9" t="s">
        <v>240</v>
      </c>
      <c r="U17" s="9" t="s">
        <v>166</v>
      </c>
      <c r="V17" s="9" t="s">
        <v>241</v>
      </c>
      <c r="W17" s="9" t="s">
        <v>242</v>
      </c>
      <c r="X17" s="9" t="s">
        <v>243</v>
      </c>
      <c r="Y17" s="9" t="s">
        <v>244</v>
      </c>
      <c r="Z17" s="9" t="s">
        <v>245</v>
      </c>
      <c r="AA17" s="9" t="s">
        <v>246</v>
      </c>
      <c r="AB17" s="9" t="s">
        <v>306</v>
      </c>
      <c r="AC17" s="9" t="s">
        <v>307</v>
      </c>
      <c r="AD17" s="9">
        <v>0.32</v>
      </c>
      <c r="AE17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0.32379204892966362</v>
      </c>
      <c r="AF1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-5514990.3403083198</v>
      </c>
      <c r="AG1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-5878020.1598178726</v>
      </c>
      <c r="AH1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-5976971.4074540511</v>
      </c>
      <c r="AI1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-5996389.5731009636</v>
      </c>
      <c r="AJ1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-4487722.4555123672</v>
      </c>
      <c r="AK1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-2200012.8538411576</v>
      </c>
      <c r="AL1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1474253.863326475</v>
      </c>
      <c r="AM1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-5989990.7640066687</v>
      </c>
      <c r="AN1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-5999038.7825313061</v>
      </c>
      <c r="AO1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1716620.3989825575</v>
      </c>
      <c r="AP1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1246996.3062308207</v>
      </c>
      <c r="AQ1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-5999998.5927894991</v>
      </c>
      <c r="AR1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2158247.4194501955</v>
      </c>
    </row>
    <row r="18" spans="2:44">
      <c r="B18" s="9" t="s">
        <v>100</v>
      </c>
      <c r="C18" s="9" t="s">
        <v>116</v>
      </c>
      <c r="D18" s="9" t="s">
        <v>168</v>
      </c>
      <c r="E18" s="9">
        <v>300</v>
      </c>
      <c r="F18" s="9">
        <v>13000.000006799999</v>
      </c>
      <c r="G18" s="7">
        <v>43054</v>
      </c>
      <c r="H18" s="7">
        <v>43189.625</v>
      </c>
      <c r="I18" s="7">
        <v>43189.625</v>
      </c>
      <c r="J18" s="9">
        <v>-1791000.0179999999</v>
      </c>
      <c r="K18" s="9" t="s">
        <v>6</v>
      </c>
      <c r="L18" s="9" t="s">
        <v>108</v>
      </c>
      <c r="M18" s="9" t="s">
        <v>120</v>
      </c>
      <c r="N18" s="9">
        <v>3000</v>
      </c>
      <c r="O18" s="9">
        <v>12510</v>
      </c>
      <c r="P18" s="9">
        <v>0.36</v>
      </c>
      <c r="Q18" s="9" t="s">
        <v>164</v>
      </c>
      <c r="R18" s="9" t="s">
        <v>247</v>
      </c>
      <c r="S18" s="9" t="s">
        <v>248</v>
      </c>
      <c r="T18" s="9" t="s">
        <v>249</v>
      </c>
      <c r="U18" s="9" t="s">
        <v>250</v>
      </c>
      <c r="V18" s="9" t="s">
        <v>251</v>
      </c>
      <c r="W18" s="9" t="s">
        <v>252</v>
      </c>
      <c r="X18" s="9" t="s">
        <v>253</v>
      </c>
      <c r="Y18" s="9" t="s">
        <v>254</v>
      </c>
      <c r="Z18" s="9" t="s">
        <v>255</v>
      </c>
      <c r="AA18" s="9" t="s">
        <v>256</v>
      </c>
      <c r="AB18" s="9" t="s">
        <v>308</v>
      </c>
      <c r="AC18" s="9" t="s">
        <v>309</v>
      </c>
      <c r="AD18" s="9">
        <v>0.26</v>
      </c>
      <c r="AE18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0.26857142857142857</v>
      </c>
      <c r="AF1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-102309.61290182639</v>
      </c>
      <c r="AG1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-926617.97966027621</v>
      </c>
      <c r="AH1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-1435075.2403510122</v>
      </c>
      <c r="AI1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-1675961.1389098354</v>
      </c>
      <c r="AJ1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968360.14493242442</v>
      </c>
      <c r="AK1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2161497.0623835605</v>
      </c>
      <c r="AL1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3391889.5583567452</v>
      </c>
      <c r="AM1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-1634722.9363269231</v>
      </c>
      <c r="AN1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-1711910.6696208287</v>
      </c>
      <c r="AO1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3393156.1502872268</v>
      </c>
      <c r="AP1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3391361.6750475708</v>
      </c>
      <c r="AQ1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-1790680.5486077778</v>
      </c>
      <c r="AR1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1309218.067358427</v>
      </c>
    </row>
    <row r="19" spans="2:44">
      <c r="B19" s="9" t="s">
        <v>101</v>
      </c>
      <c r="C19" s="9" t="s">
        <v>115</v>
      </c>
      <c r="D19" s="9" t="s">
        <v>168</v>
      </c>
      <c r="E19" s="9">
        <v>-500</v>
      </c>
      <c r="F19" s="9">
        <v>3599.9999997999998</v>
      </c>
      <c r="G19" s="7">
        <v>43048</v>
      </c>
      <c r="H19" s="7">
        <v>43203.625</v>
      </c>
      <c r="I19" s="7">
        <v>43048</v>
      </c>
      <c r="J19" s="9">
        <v>931199.99399999995</v>
      </c>
      <c r="K19" s="9" t="s">
        <v>6</v>
      </c>
      <c r="L19" s="9" t="s">
        <v>109</v>
      </c>
      <c r="M19" s="9" t="s">
        <v>62</v>
      </c>
      <c r="N19" s="9">
        <v>-5000</v>
      </c>
      <c r="O19" s="9">
        <v>3651</v>
      </c>
      <c r="P19" s="9">
        <v>0.18</v>
      </c>
      <c r="Q19" s="9" t="s">
        <v>164</v>
      </c>
      <c r="R19" s="9" t="s">
        <v>165</v>
      </c>
      <c r="S19" s="9" t="s">
        <v>215</v>
      </c>
      <c r="T19" s="9" t="s">
        <v>216</v>
      </c>
      <c r="U19" s="9" t="s">
        <v>166</v>
      </c>
      <c r="V19" s="9" t="s">
        <v>217</v>
      </c>
      <c r="W19" s="9" t="s">
        <v>218</v>
      </c>
      <c r="X19" s="9" t="s">
        <v>219</v>
      </c>
      <c r="Y19" s="9" t="s">
        <v>220</v>
      </c>
      <c r="Z19" s="9" t="s">
        <v>221</v>
      </c>
      <c r="AA19" s="9" t="s">
        <v>222</v>
      </c>
      <c r="AB19" s="9" t="s">
        <v>302</v>
      </c>
      <c r="AC19" s="9" t="s">
        <v>303</v>
      </c>
      <c r="AD19" s="9"/>
      <c r="AE19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1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-231942.22801542949</v>
      </c>
      <c r="AG1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-68249.952484746624</v>
      </c>
      <c r="AH1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-15061.143160815134</v>
      </c>
      <c r="AI1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-2281.2501890187127</v>
      </c>
      <c r="AJ1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-576209.15622456814</v>
      </c>
      <c r="AK1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-1081799.1389030376</v>
      </c>
      <c r="AL1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-1701509.0796574051</v>
      </c>
      <c r="AM1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-4802.0135504159707</v>
      </c>
      <c r="AN1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-878.03098012520968</v>
      </c>
      <c r="AO1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-1706107.1012906476</v>
      </c>
      <c r="AP1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-1698521.9060262123</v>
      </c>
      <c r="AQ1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-0.49082858139711827</v>
      </c>
      <c r="AR1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-1269876.0119801485</v>
      </c>
    </row>
    <row r="20" spans="2:44">
      <c r="B20" s="9" t="s">
        <v>102</v>
      </c>
      <c r="C20" s="9" t="s">
        <v>115</v>
      </c>
      <c r="D20" s="9" t="s">
        <v>168</v>
      </c>
      <c r="E20" s="9">
        <v>-500</v>
      </c>
      <c r="F20" s="9">
        <v>4000.0000002000002</v>
      </c>
      <c r="G20" s="7">
        <v>43048</v>
      </c>
      <c r="H20" s="7">
        <v>43203.625</v>
      </c>
      <c r="I20" s="7">
        <v>43048</v>
      </c>
      <c r="J20" s="9">
        <v>1122200.0019999999</v>
      </c>
      <c r="K20" s="9" t="s">
        <v>43</v>
      </c>
      <c r="L20" s="9" t="s">
        <v>109</v>
      </c>
      <c r="M20" s="9" t="s">
        <v>62</v>
      </c>
      <c r="N20" s="9">
        <v>-5000</v>
      </c>
      <c r="O20" s="9">
        <v>3651</v>
      </c>
      <c r="P20" s="9">
        <v>0.18</v>
      </c>
      <c r="Q20" s="9" t="s">
        <v>164</v>
      </c>
      <c r="R20" s="9" t="s">
        <v>165</v>
      </c>
      <c r="S20" s="9" t="s">
        <v>215</v>
      </c>
      <c r="T20" s="9" t="s">
        <v>216</v>
      </c>
      <c r="U20" s="9" t="s">
        <v>166</v>
      </c>
      <c r="V20" s="9" t="s">
        <v>217</v>
      </c>
      <c r="W20" s="9" t="s">
        <v>218</v>
      </c>
      <c r="X20" s="9" t="s">
        <v>219</v>
      </c>
      <c r="Y20" s="9" t="s">
        <v>220</v>
      </c>
      <c r="Z20" s="9" t="s">
        <v>221</v>
      </c>
      <c r="AA20" s="9" t="s">
        <v>222</v>
      </c>
      <c r="AB20" s="9" t="s">
        <v>302</v>
      </c>
      <c r="AC20" s="9" t="s">
        <v>303</v>
      </c>
      <c r="AD20" s="9"/>
      <c r="AE20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2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-9693.2306485951522</v>
      </c>
      <c r="AG2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-54941.787414794104</v>
      </c>
      <c r="AH2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-193332.4645574548</v>
      </c>
      <c r="AI2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-494917.67684108071</v>
      </c>
      <c r="AJ2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-1001.2651197525327</v>
      </c>
      <c r="AK2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-60.47844592189</v>
      </c>
      <c r="AL2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-1.6574457206234463</v>
      </c>
      <c r="AM2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-532293.15223998146</v>
      </c>
      <c r="AN2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-457717.79188537743</v>
      </c>
      <c r="AO2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-10.602032641993798</v>
      </c>
      <c r="AP2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-0.14332951875696559</v>
      </c>
      <c r="AQ2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-751168.79538837331</v>
      </c>
      <c r="AR2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-7.8804392078316721E-8</v>
      </c>
    </row>
    <row r="21" spans="2:44">
      <c r="B21" s="9" t="s">
        <v>103</v>
      </c>
      <c r="C21" s="9" t="s">
        <v>116</v>
      </c>
      <c r="D21" s="9" t="s">
        <v>168</v>
      </c>
      <c r="E21" s="9">
        <v>500</v>
      </c>
      <c r="F21" s="9">
        <v>450</v>
      </c>
      <c r="G21" s="7">
        <v>43048</v>
      </c>
      <c r="H21" s="7">
        <v>43203.625</v>
      </c>
      <c r="I21" s="7">
        <v>43203.625</v>
      </c>
      <c r="J21" s="9">
        <v>-760500</v>
      </c>
      <c r="K21" s="9" t="s">
        <v>6</v>
      </c>
      <c r="L21" s="9" t="s">
        <v>106</v>
      </c>
      <c r="M21" s="9" t="s">
        <v>135</v>
      </c>
      <c r="N21" s="9">
        <v>50000</v>
      </c>
      <c r="O21" s="9">
        <v>462.5</v>
      </c>
      <c r="P21" s="9">
        <v>0.36</v>
      </c>
      <c r="Q21" s="9" t="s">
        <v>164</v>
      </c>
      <c r="R21" s="9" t="s">
        <v>193</v>
      </c>
      <c r="S21" s="9" t="s">
        <v>223</v>
      </c>
      <c r="T21" s="9" t="s">
        <v>224</v>
      </c>
      <c r="U21" s="9" t="s">
        <v>195</v>
      </c>
      <c r="V21" s="9" t="s">
        <v>225</v>
      </c>
      <c r="W21" s="9" t="s">
        <v>226</v>
      </c>
      <c r="X21" s="9" t="s">
        <v>227</v>
      </c>
      <c r="Y21" s="9" t="s">
        <v>228</v>
      </c>
      <c r="Z21" s="9" t="s">
        <v>229</v>
      </c>
      <c r="AA21" s="9" t="s">
        <v>230</v>
      </c>
      <c r="AB21" s="9" t="s">
        <v>304</v>
      </c>
      <c r="AC21" s="9" t="s">
        <v>305</v>
      </c>
      <c r="AD21" s="9">
        <v>0.27</v>
      </c>
      <c r="AE21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0.28481927710843374</v>
      </c>
      <c r="AF2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-342199.42803609074</v>
      </c>
      <c r="AG2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-586987.91365595395</v>
      </c>
      <c r="AH2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-697718.73406064813</v>
      </c>
      <c r="AI2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-741567.61780821951</v>
      </c>
      <c r="AJ2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97584.631939427345</v>
      </c>
      <c r="AK2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735099.17667302</v>
      </c>
      <c r="AL2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1560058.7979938188</v>
      </c>
      <c r="AM2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-727994.5088939924</v>
      </c>
      <c r="AN2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-750941.30360785092</v>
      </c>
      <c r="AO2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1586177.1500681904</v>
      </c>
      <c r="AP2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1538645.5968745188</v>
      </c>
      <c r="AQ2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-760420.69027067441</v>
      </c>
      <c r="AR2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1041692.5590011056</v>
      </c>
    </row>
    <row r="22" spans="2:44">
      <c r="B22" s="9" t="s">
        <v>104</v>
      </c>
      <c r="C22" s="9" t="s">
        <v>116</v>
      </c>
      <c r="D22" s="9" t="s">
        <v>168</v>
      </c>
      <c r="E22" s="9">
        <v>1500</v>
      </c>
      <c r="F22" s="9">
        <v>4000</v>
      </c>
      <c r="G22" s="7">
        <v>43048</v>
      </c>
      <c r="H22" s="7">
        <v>43203.625</v>
      </c>
      <c r="I22" s="7">
        <v>43203.625</v>
      </c>
      <c r="J22" s="9">
        <v>-2317950</v>
      </c>
      <c r="K22" s="9" t="s">
        <v>43</v>
      </c>
      <c r="L22" s="9" t="s">
        <v>109</v>
      </c>
      <c r="M22" s="9" t="s">
        <v>62</v>
      </c>
      <c r="N22" s="9">
        <v>15000</v>
      </c>
      <c r="O22" s="9">
        <v>3651</v>
      </c>
      <c r="P22" s="9">
        <v>0.18</v>
      </c>
      <c r="Q22" s="9" t="s">
        <v>164</v>
      </c>
      <c r="R22" s="9" t="s">
        <v>165</v>
      </c>
      <c r="S22" s="9" t="s">
        <v>215</v>
      </c>
      <c r="T22" s="9" t="s">
        <v>216</v>
      </c>
      <c r="U22" s="9" t="s">
        <v>166</v>
      </c>
      <c r="V22" s="9" t="s">
        <v>217</v>
      </c>
      <c r="W22" s="9" t="s">
        <v>218</v>
      </c>
      <c r="X22" s="9" t="s">
        <v>219</v>
      </c>
      <c r="Y22" s="9" t="s">
        <v>220</v>
      </c>
      <c r="Z22" s="9" t="s">
        <v>221</v>
      </c>
      <c r="AA22" s="9" t="s">
        <v>222</v>
      </c>
      <c r="AB22" s="9" t="s">
        <v>302</v>
      </c>
      <c r="AC22" s="9" t="s">
        <v>303</v>
      </c>
      <c r="AD22" s="9">
        <v>0.255</v>
      </c>
      <c r="AE22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0.24265060240963857</v>
      </c>
      <c r="AF2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-2188866.8815797418</v>
      </c>
      <c r="AG2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-1920622.4688437609</v>
      </c>
      <c r="AH2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-1377361.6686032801</v>
      </c>
      <c r="AI2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-441417.86835269723</v>
      </c>
      <c r="AJ2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-2286467.4320226405</v>
      </c>
      <c r="AK2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-2312158.3157652295</v>
      </c>
      <c r="AL2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-2317256.9120806749</v>
      </c>
      <c r="AM2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-288838.92659225385</v>
      </c>
      <c r="AN2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-593612.88641962805</v>
      </c>
      <c r="AO2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-2315813.9713658737</v>
      </c>
      <c r="AP2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-2317789.9191501173</v>
      </c>
      <c r="AQ2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-36356.156117388979</v>
      </c>
      <c r="AR2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-2317949.9722859832</v>
      </c>
    </row>
    <row r="23" spans="2:44">
      <c r="B23" s="9" t="s">
        <v>105</v>
      </c>
      <c r="C23" s="9" t="s">
        <v>116</v>
      </c>
      <c r="D23" s="9" t="s">
        <v>168</v>
      </c>
      <c r="E23" s="9">
        <v>1500</v>
      </c>
      <c r="F23" s="9">
        <v>3600</v>
      </c>
      <c r="G23" s="7">
        <v>43048</v>
      </c>
      <c r="H23" s="7">
        <v>43203.625</v>
      </c>
      <c r="I23" s="7">
        <v>43203.625</v>
      </c>
      <c r="J23" s="9">
        <v>-2277450</v>
      </c>
      <c r="K23" s="9" t="s">
        <v>6</v>
      </c>
      <c r="L23" s="9" t="s">
        <v>109</v>
      </c>
      <c r="M23" s="9" t="s">
        <v>62</v>
      </c>
      <c r="N23" s="9">
        <v>15000</v>
      </c>
      <c r="O23" s="9">
        <v>3651</v>
      </c>
      <c r="P23" s="9">
        <v>0.18</v>
      </c>
      <c r="Q23" s="9" t="s">
        <v>164</v>
      </c>
      <c r="R23" s="9" t="s">
        <v>165</v>
      </c>
      <c r="S23" s="9" t="s">
        <v>215</v>
      </c>
      <c r="T23" s="9" t="s">
        <v>216</v>
      </c>
      <c r="U23" s="9" t="s">
        <v>166</v>
      </c>
      <c r="V23" s="9" t="s">
        <v>217</v>
      </c>
      <c r="W23" s="9" t="s">
        <v>218</v>
      </c>
      <c r="X23" s="9" t="s">
        <v>219</v>
      </c>
      <c r="Y23" s="9" t="s">
        <v>220</v>
      </c>
      <c r="Z23" s="9" t="s">
        <v>221</v>
      </c>
      <c r="AA23" s="9" t="s">
        <v>222</v>
      </c>
      <c r="AB23" s="9" t="s">
        <v>302</v>
      </c>
      <c r="AC23" s="9" t="s">
        <v>303</v>
      </c>
      <c r="AD23" s="9">
        <v>0.255</v>
      </c>
      <c r="AE23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0.24265060240963857</v>
      </c>
      <c r="AF2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-1233541.7234292058</v>
      </c>
      <c r="AG2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-1826473.8649145709</v>
      </c>
      <c r="AH2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-2107928.6998064043</v>
      </c>
      <c r="AI2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-2225014.3520288682</v>
      </c>
      <c r="AJ2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-224025.69573528529</v>
      </c>
      <c r="AK2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1163144.745486801</v>
      </c>
      <c r="AL2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2898152.0342025198</v>
      </c>
      <c r="AM2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-2191313.0578477755</v>
      </c>
      <c r="AN2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-2249378.2092942921</v>
      </c>
      <c r="AO2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2942907.1219110321</v>
      </c>
      <c r="AP2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2862891.2613036381</v>
      </c>
      <c r="AQ2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-2277220.5100232037</v>
      </c>
      <c r="AR2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1532239.5516807665</v>
      </c>
    </row>
    <row r="24" spans="2:44">
      <c r="B24" s="9" t="s">
        <v>5</v>
      </c>
      <c r="C24" s="9" t="s">
        <v>127</v>
      </c>
      <c r="D24" s="9" t="s">
        <v>168</v>
      </c>
      <c r="E24" s="9">
        <v>100</v>
      </c>
      <c r="F24" s="9">
        <v>50000.000004000001</v>
      </c>
      <c r="G24" s="7">
        <v>43123</v>
      </c>
      <c r="H24" s="7">
        <v>43183.625</v>
      </c>
      <c r="I24" s="7">
        <v>43183.625</v>
      </c>
      <c r="J24" s="9">
        <v>-50000.004000000001</v>
      </c>
      <c r="K24" s="9" t="s">
        <v>6</v>
      </c>
      <c r="L24" s="9" t="s">
        <v>7</v>
      </c>
      <c r="M24" s="9" t="s">
        <v>1</v>
      </c>
      <c r="N24" s="9">
        <v>500</v>
      </c>
      <c r="O24" s="9">
        <v>51420</v>
      </c>
      <c r="P24" s="9">
        <v>0.14000000000000001</v>
      </c>
      <c r="Q24" s="9" t="s">
        <v>164</v>
      </c>
      <c r="R24" s="9" t="s">
        <v>192</v>
      </c>
      <c r="S24" s="9" t="s">
        <v>257</v>
      </c>
      <c r="T24" s="9" t="s">
        <v>189</v>
      </c>
      <c r="U24" s="9" t="s">
        <v>194</v>
      </c>
      <c r="V24" s="9" t="s">
        <v>258</v>
      </c>
      <c r="W24" s="9" t="s">
        <v>191</v>
      </c>
      <c r="X24" s="9" t="s">
        <v>259</v>
      </c>
      <c r="Y24" s="9" t="s">
        <v>260</v>
      </c>
      <c r="Z24" s="9" t="s">
        <v>261</v>
      </c>
      <c r="AA24" s="9" t="s">
        <v>262</v>
      </c>
      <c r="AB24" s="9" t="s">
        <v>310</v>
      </c>
      <c r="AC24" s="9" t="s">
        <v>311</v>
      </c>
      <c r="AD24" s="9">
        <v>0.12</v>
      </c>
      <c r="AE24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0.12185567010309278</v>
      </c>
      <c r="AF2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-45194.220818943664</v>
      </c>
      <c r="AG2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-49934.635519601143</v>
      </c>
      <c r="AH2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-49999.864360254098</v>
      </c>
      <c r="AI2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-50000.003916457157</v>
      </c>
      <c r="AJ2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31272.107244048835</v>
      </c>
      <c r="AK2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373559.89881780097</v>
      </c>
      <c r="AL2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885848.16309972375</v>
      </c>
      <c r="AM2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-50000.001629555307</v>
      </c>
      <c r="AN2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-50000.003999031564</v>
      </c>
      <c r="AO2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886681.92297244957</v>
      </c>
      <c r="AP2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885404.86111771106</v>
      </c>
      <c r="AQ2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-50000.004000000001</v>
      </c>
      <c r="AR2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853029.62275277253</v>
      </c>
    </row>
    <row r="25" spans="2:44">
      <c r="B25" s="9" t="s">
        <v>162</v>
      </c>
      <c r="C25" s="9" t="s">
        <v>116</v>
      </c>
      <c r="D25" s="9" t="s">
        <v>168</v>
      </c>
      <c r="E25" s="9">
        <v>1000</v>
      </c>
      <c r="F25" s="9">
        <v>3929.9999985759996</v>
      </c>
      <c r="G25" s="7">
        <v>43154</v>
      </c>
      <c r="H25" s="7">
        <v>43182.625</v>
      </c>
      <c r="I25" s="7">
        <v>43154</v>
      </c>
      <c r="J25" s="9">
        <v>-271800</v>
      </c>
      <c r="K25" s="9" t="s">
        <v>43</v>
      </c>
      <c r="L25" s="9" t="s">
        <v>109</v>
      </c>
      <c r="M25" s="9" t="s">
        <v>62</v>
      </c>
      <c r="N25" s="9">
        <v>10000</v>
      </c>
      <c r="O25" s="9">
        <v>3651</v>
      </c>
      <c r="P25" s="9">
        <v>0.18</v>
      </c>
      <c r="Q25" s="9" t="s">
        <v>164</v>
      </c>
      <c r="R25" s="9" t="s">
        <v>165</v>
      </c>
      <c r="S25" s="9" t="s">
        <v>215</v>
      </c>
      <c r="T25" s="9" t="s">
        <v>216</v>
      </c>
      <c r="U25" s="9" t="s">
        <v>166</v>
      </c>
      <c r="V25" s="9" t="s">
        <v>217</v>
      </c>
      <c r="W25" s="9" t="s">
        <v>218</v>
      </c>
      <c r="X25" s="9" t="s">
        <v>219</v>
      </c>
      <c r="Y25" s="9" t="s">
        <v>220</v>
      </c>
      <c r="Z25" s="9" t="s">
        <v>221</v>
      </c>
      <c r="AA25" s="9" t="s">
        <v>222</v>
      </c>
      <c r="AB25" s="9" t="s">
        <v>302</v>
      </c>
      <c r="AC25" s="9" t="s">
        <v>303</v>
      </c>
      <c r="AD25" s="9">
        <v>0.13500000000000001</v>
      </c>
      <c r="AE25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0.1422707423580786</v>
      </c>
      <c r="AF2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0.25931291191838163</v>
      </c>
      <c r="AG2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1732.0502826123914</v>
      </c>
      <c r="AH2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163845.59498032168</v>
      </c>
      <c r="AI2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1126624.6281060046</v>
      </c>
      <c r="AJ2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2.3610136235592313E-7</v>
      </c>
      <c r="AK2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1.1465534613279979E-15</v>
      </c>
      <c r="AL2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4.6839309165995811E-27</v>
      </c>
      <c r="AM2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1132977.393537865</v>
      </c>
      <c r="AN2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1121949.7852207089</v>
      </c>
      <c r="AO2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8.3292102630576316E-22</v>
      </c>
      <c r="AP2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4.0240722476904761E-34</v>
      </c>
      <c r="AQ2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1744878.2537737894</v>
      </c>
      <c r="AR2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1.8059926488202685E-81</v>
      </c>
    </row>
    <row r="26" spans="2:44">
      <c r="B26" s="9" t="s">
        <v>163</v>
      </c>
      <c r="C26" s="9" t="s">
        <v>116</v>
      </c>
      <c r="D26" s="9" t="s">
        <v>168</v>
      </c>
      <c r="E26" s="9">
        <v>1000</v>
      </c>
      <c r="F26" s="9">
        <v>3799.999998368</v>
      </c>
      <c r="G26" s="7">
        <v>43154</v>
      </c>
      <c r="H26" s="7">
        <v>43182.625</v>
      </c>
      <c r="I26" s="7">
        <v>43154</v>
      </c>
      <c r="J26" s="9">
        <v>-388800</v>
      </c>
      <c r="K26" s="9" t="s">
        <v>6</v>
      </c>
      <c r="L26" s="9" t="s">
        <v>109</v>
      </c>
      <c r="M26" s="9" t="s">
        <v>62</v>
      </c>
      <c r="N26" s="9">
        <v>10000</v>
      </c>
      <c r="O26" s="9">
        <v>3651</v>
      </c>
      <c r="P26" s="9">
        <v>0.18</v>
      </c>
      <c r="Q26" s="9" t="s">
        <v>164</v>
      </c>
      <c r="R26" s="9" t="s">
        <v>165</v>
      </c>
      <c r="S26" s="9" t="s">
        <v>215</v>
      </c>
      <c r="T26" s="9" t="s">
        <v>216</v>
      </c>
      <c r="U26" s="9" t="s">
        <v>166</v>
      </c>
      <c r="V26" s="9" t="s">
        <v>217</v>
      </c>
      <c r="W26" s="9" t="s">
        <v>218</v>
      </c>
      <c r="X26" s="9" t="s">
        <v>219</v>
      </c>
      <c r="Y26" s="9" t="s">
        <v>220</v>
      </c>
      <c r="Z26" s="9" t="s">
        <v>221</v>
      </c>
      <c r="AA26" s="9" t="s">
        <v>222</v>
      </c>
      <c r="AB26" s="9" t="s">
        <v>302</v>
      </c>
      <c r="AC26" s="9" t="s">
        <v>303</v>
      </c>
      <c r="AD26" s="9">
        <v>0.13500000000000001</v>
      </c>
      <c r="AE26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0.1422707423580786</v>
      </c>
      <c r="AF2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1490826.2630099179</v>
      </c>
      <c r="AG2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340017.95885258104</v>
      </c>
      <c r="AH2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9139.6147534556185</v>
      </c>
      <c r="AI2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8.6359589103335477</v>
      </c>
      <c r="AJ2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2803649.4757549837</v>
      </c>
      <c r="AK2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4081175.5820899238</v>
      </c>
      <c r="AL2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5395202.5330601986</v>
      </c>
      <c r="AM2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40.397073846047199</v>
      </c>
      <c r="AN2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1.1382603273837479</v>
      </c>
      <c r="AO2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5395202.5330601986</v>
      </c>
      <c r="AP2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5395202.5330601986</v>
      </c>
      <c r="AQ2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1.3914982070688044E-17</v>
      </c>
      <c r="AR2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3242498.6610432635</v>
      </c>
    </row>
    <row r="27" spans="2:44">
      <c r="B27" s="9" t="s">
        <v>182</v>
      </c>
      <c r="C27" s="9" t="s">
        <v>172</v>
      </c>
      <c r="D27" s="9" t="s">
        <v>175</v>
      </c>
      <c r="E27" s="9">
        <v>-64</v>
      </c>
      <c r="F27" s="9">
        <v>16.545999999999999</v>
      </c>
      <c r="G27" s="7">
        <v>43157</v>
      </c>
      <c r="H27" s="7">
        <v>43217</v>
      </c>
      <c r="I27" s="7">
        <v>43217</v>
      </c>
      <c r="J27" s="9">
        <v>751.95</v>
      </c>
      <c r="K27" s="9" t="s">
        <v>196</v>
      </c>
      <c r="L27" s="9" t="s">
        <v>177</v>
      </c>
      <c r="M27" s="9" t="s">
        <v>211</v>
      </c>
      <c r="N27" s="9">
        <v>-320000</v>
      </c>
      <c r="O27" s="9">
        <v>16.34</v>
      </c>
      <c r="P27" s="9">
        <v>0.12</v>
      </c>
      <c r="Q27" s="9" t="s">
        <v>164</v>
      </c>
      <c r="R27" s="9" t="s">
        <v>263</v>
      </c>
      <c r="S27" s="9" t="s">
        <v>264</v>
      </c>
      <c r="T27" s="9" t="s">
        <v>265</v>
      </c>
      <c r="U27" s="9" t="s">
        <v>266</v>
      </c>
      <c r="V27" s="9" t="s">
        <v>267</v>
      </c>
      <c r="W27" s="9" t="s">
        <v>268</v>
      </c>
      <c r="X27" s="9" t="s">
        <v>269</v>
      </c>
      <c r="Y27" s="9" t="s">
        <v>270</v>
      </c>
      <c r="Z27" s="9" t="s">
        <v>271</v>
      </c>
      <c r="AA27" s="9" t="s">
        <v>272</v>
      </c>
      <c r="AB27" s="9" t="s">
        <v>312</v>
      </c>
      <c r="AC27" s="9" t="s">
        <v>313</v>
      </c>
      <c r="AD27" s="9"/>
      <c r="AE27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66671.949999999837</v>
      </c>
      <c r="AG2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-64048.050000000185</v>
      </c>
      <c r="AH2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-199996.85000000006</v>
      </c>
      <c r="AI2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-330716.85000000009</v>
      </c>
      <c r="AJ2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197391.9499999999</v>
      </c>
      <c r="AK2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333340.75000000035</v>
      </c>
      <c r="AL2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464060.74999999983</v>
      </c>
      <c r="AM2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-330716.85000000009</v>
      </c>
      <c r="AN2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-330716.85000000009</v>
      </c>
      <c r="AO2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464060.74999999983</v>
      </c>
      <c r="AP2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464060.74999999983</v>
      </c>
      <c r="AQ2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-254348.21</v>
      </c>
      <c r="AR2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301996.10999999993</v>
      </c>
    </row>
    <row r="28" spans="2:44">
      <c r="B28" s="9" t="s">
        <v>179</v>
      </c>
      <c r="C28" s="9" t="s">
        <v>172</v>
      </c>
      <c r="D28" s="9" t="s">
        <v>175</v>
      </c>
      <c r="E28" s="9">
        <v>-24</v>
      </c>
      <c r="F28" s="9">
        <v>2236</v>
      </c>
      <c r="G28" s="7">
        <v>43122</v>
      </c>
      <c r="H28" s="7">
        <v>43209</v>
      </c>
      <c r="I28" s="7">
        <v>43209</v>
      </c>
      <c r="J28" s="9">
        <v>402.48</v>
      </c>
      <c r="K28" s="9" t="s">
        <v>198</v>
      </c>
      <c r="L28" s="9" t="s">
        <v>180</v>
      </c>
      <c r="M28" s="9" t="s">
        <v>206</v>
      </c>
      <c r="N28" s="9">
        <v>-600</v>
      </c>
      <c r="O28" s="9">
        <v>2083</v>
      </c>
      <c r="P28" s="9">
        <v>0.12</v>
      </c>
      <c r="Q28" s="9" t="s">
        <v>164</v>
      </c>
      <c r="R28" s="9" t="s">
        <v>273</v>
      </c>
      <c r="S28" s="9" t="s">
        <v>188</v>
      </c>
      <c r="T28" s="9" t="s">
        <v>274</v>
      </c>
      <c r="U28" s="9" t="s">
        <v>275</v>
      </c>
      <c r="V28" s="9" t="s">
        <v>190</v>
      </c>
      <c r="W28" s="9" t="s">
        <v>276</v>
      </c>
      <c r="X28" s="9" t="s">
        <v>277</v>
      </c>
      <c r="Y28" s="9" t="s">
        <v>278</v>
      </c>
      <c r="Z28" s="9" t="s">
        <v>279</v>
      </c>
      <c r="AA28" s="9" t="s">
        <v>280</v>
      </c>
      <c r="AB28" s="9" t="s">
        <v>314</v>
      </c>
      <c r="AC28" s="9" t="s">
        <v>315</v>
      </c>
      <c r="AD28" s="9"/>
      <c r="AE28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-91397.52</v>
      </c>
      <c r="AG2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-71400.720000000016</v>
      </c>
      <c r="AH2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-51403.920000000027</v>
      </c>
      <c r="AI2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-31407.120000000046</v>
      </c>
      <c r="AJ2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-111394.31999999999</v>
      </c>
      <c r="AK2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-131391.11999999997</v>
      </c>
      <c r="AL2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-151387.92000000007</v>
      </c>
      <c r="AM2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-31407.120000000046</v>
      </c>
      <c r="AN2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-31407.120000000046</v>
      </c>
      <c r="AO2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-151387.92000000007</v>
      </c>
      <c r="AP2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-151387.92000000007</v>
      </c>
      <c r="AQ2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10703.189999999984</v>
      </c>
      <c r="AR2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-74158.229999999981</v>
      </c>
    </row>
    <row r="29" spans="2:44">
      <c r="B29" s="9" t="s">
        <v>202</v>
      </c>
      <c r="C29" s="9" t="s">
        <v>172</v>
      </c>
      <c r="D29" s="9" t="s">
        <v>175</v>
      </c>
      <c r="E29" s="9">
        <v>-30</v>
      </c>
      <c r="F29" s="9">
        <v>16.71</v>
      </c>
      <c r="G29" s="7">
        <v>43158</v>
      </c>
      <c r="H29" s="7">
        <v>43217</v>
      </c>
      <c r="I29" s="7">
        <v>43217</v>
      </c>
      <c r="J29" s="9">
        <v>751.95</v>
      </c>
      <c r="K29" s="9" t="s">
        <v>196</v>
      </c>
      <c r="L29" s="9" t="s">
        <v>177</v>
      </c>
      <c r="M29" s="9" t="s">
        <v>211</v>
      </c>
      <c r="N29" s="9">
        <v>-150000</v>
      </c>
      <c r="O29" s="9">
        <v>16.34</v>
      </c>
      <c r="P29" s="9">
        <v>0.12</v>
      </c>
      <c r="Q29" s="9" t="s">
        <v>164</v>
      </c>
      <c r="R29" s="9" t="s">
        <v>263</v>
      </c>
      <c r="S29" s="9" t="s">
        <v>264</v>
      </c>
      <c r="T29" s="9" t="s">
        <v>265</v>
      </c>
      <c r="U29" s="9" t="s">
        <v>266</v>
      </c>
      <c r="V29" s="9" t="s">
        <v>267</v>
      </c>
      <c r="W29" s="9" t="s">
        <v>268</v>
      </c>
      <c r="X29" s="9" t="s">
        <v>269</v>
      </c>
      <c r="Y29" s="9" t="s">
        <v>270</v>
      </c>
      <c r="Z29" s="9" t="s">
        <v>271</v>
      </c>
      <c r="AA29" s="9" t="s">
        <v>272</v>
      </c>
      <c r="AB29" s="9" t="s">
        <v>312</v>
      </c>
      <c r="AC29" s="9" t="s">
        <v>313</v>
      </c>
      <c r="AD29" s="9"/>
      <c r="AE29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56251.95000000015</v>
      </c>
      <c r="AG2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-5023.0499999998638</v>
      </c>
      <c r="AH2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-68749.049999999814</v>
      </c>
      <c r="AI2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-130024.04999999983</v>
      </c>
      <c r="AJ2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117526.95000000016</v>
      </c>
      <c r="AK2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181252.95000000039</v>
      </c>
      <c r="AL2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242527.95000000013</v>
      </c>
      <c r="AM2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-130024.04999999983</v>
      </c>
      <c r="AN2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-130024.04999999983</v>
      </c>
      <c r="AO2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242527.95000000013</v>
      </c>
      <c r="AP2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242527.95000000013</v>
      </c>
      <c r="AQ2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-110216.24999999994</v>
      </c>
      <c r="AR2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150570.15000000005</v>
      </c>
    </row>
    <row r="30" spans="2:44">
      <c r="B30" s="9" t="s">
        <v>291</v>
      </c>
      <c r="C30" s="9" t="s">
        <v>172</v>
      </c>
      <c r="D30" s="9" t="s">
        <v>175</v>
      </c>
      <c r="E30" s="9">
        <v>-12</v>
      </c>
      <c r="F30" s="9">
        <v>6812.5</v>
      </c>
      <c r="G30" s="7">
        <v>43168.625</v>
      </c>
      <c r="H30" s="7">
        <v>43257.625</v>
      </c>
      <c r="I30" s="7">
        <v>43257</v>
      </c>
      <c r="J30" s="9">
        <v>1021.875</v>
      </c>
      <c r="K30" s="9" t="s">
        <v>196</v>
      </c>
      <c r="L30" s="9" t="s">
        <v>289</v>
      </c>
      <c r="M30" s="9" t="s">
        <v>296</v>
      </c>
      <c r="N30" s="9">
        <v>-300</v>
      </c>
      <c r="O30" s="9">
        <v>6889.5</v>
      </c>
      <c r="P30" s="9">
        <v>0.12</v>
      </c>
      <c r="Q30" s="9" t="s">
        <v>164</v>
      </c>
      <c r="R30" s="9" t="s">
        <v>186</v>
      </c>
      <c r="S30" s="9" t="s">
        <v>316</v>
      </c>
      <c r="T30" s="9" t="s">
        <v>232</v>
      </c>
      <c r="U30" s="9" t="s">
        <v>187</v>
      </c>
      <c r="V30" s="9" t="s">
        <v>317</v>
      </c>
      <c r="W30" s="9" t="s">
        <v>234</v>
      </c>
      <c r="X30" s="9" t="s">
        <v>235</v>
      </c>
      <c r="Y30" s="9" t="s">
        <v>236</v>
      </c>
      <c r="Z30" s="9" t="s">
        <v>237</v>
      </c>
      <c r="AA30" s="9" t="s">
        <v>238</v>
      </c>
      <c r="AB30" s="9" t="s">
        <v>318</v>
      </c>
      <c r="AC30" s="9" t="s">
        <v>319</v>
      </c>
      <c r="AD30" s="9"/>
      <c r="AE30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3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-22078.125</v>
      </c>
      <c r="AG3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-61348.274999999921</v>
      </c>
      <c r="AH3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-102685.27499999991</v>
      </c>
      <c r="AI3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-141955.4250000001</v>
      </c>
      <c r="AJ3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17192.024999999921</v>
      </c>
      <c r="AK3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58529.025000000183</v>
      </c>
      <c r="AL3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97799.175000000105</v>
      </c>
      <c r="AM3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-141955.4250000001</v>
      </c>
      <c r="AN3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-141955.4250000001</v>
      </c>
      <c r="AO3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97799.175000000105</v>
      </c>
      <c r="AP3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97799.175000000105</v>
      </c>
      <c r="AQ3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-91700.632499999992</v>
      </c>
      <c r="AR3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77574.382499999992</v>
      </c>
    </row>
    <row r="31" spans="2:44">
      <c r="B31" s="9" t="s">
        <v>321</v>
      </c>
      <c r="C31" s="9" t="s">
        <v>172</v>
      </c>
      <c r="D31" s="9" t="s">
        <v>175</v>
      </c>
      <c r="E31" s="9">
        <v>-30</v>
      </c>
      <c r="F31" s="9">
        <v>16.545000000000002</v>
      </c>
      <c r="G31" s="7">
        <v>43175</v>
      </c>
      <c r="H31" s="7">
        <v>43238</v>
      </c>
      <c r="I31" s="7">
        <v>43238</v>
      </c>
      <c r="J31" s="9">
        <v>1240.875</v>
      </c>
      <c r="K31" s="9" t="s">
        <v>196</v>
      </c>
      <c r="L31" s="9" t="s">
        <v>322</v>
      </c>
      <c r="M31" s="9" t="s">
        <v>211</v>
      </c>
      <c r="N31" s="9">
        <v>-150000</v>
      </c>
      <c r="O31" s="9">
        <v>16.425000000000001</v>
      </c>
      <c r="P31" s="9">
        <v>0.12</v>
      </c>
      <c r="Q31" s="9" t="s">
        <v>164</v>
      </c>
      <c r="R31" s="9" t="s">
        <v>263</v>
      </c>
      <c r="S31" s="9" t="s">
        <v>264</v>
      </c>
      <c r="T31" s="9" t="s">
        <v>265</v>
      </c>
      <c r="U31" s="9" t="s">
        <v>266</v>
      </c>
      <c r="V31" s="9" t="s">
        <v>267</v>
      </c>
      <c r="W31" s="9" t="s">
        <v>268</v>
      </c>
      <c r="X31" s="9" t="s">
        <v>269</v>
      </c>
      <c r="Y31" s="9" t="s">
        <v>270</v>
      </c>
      <c r="Z31" s="9" t="s">
        <v>271</v>
      </c>
      <c r="AA31" s="9" t="s">
        <v>272</v>
      </c>
      <c r="AB31" s="9" t="s">
        <v>312</v>
      </c>
      <c r="AC31" s="9" t="s">
        <v>313</v>
      </c>
      <c r="AD31" s="9"/>
      <c r="AE31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3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19240.875000000149</v>
      </c>
      <c r="AG3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-42352.874999999789</v>
      </c>
      <c r="AH3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-106410.37499999945</v>
      </c>
      <c r="AI3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-168004.12499999991</v>
      </c>
      <c r="AJ3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80834.625000000087</v>
      </c>
      <c r="AK3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144892.12500000026</v>
      </c>
      <c r="AL3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206485.87499999994</v>
      </c>
      <c r="AM3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-168004.12499999991</v>
      </c>
      <c r="AN3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-168004.12499999991</v>
      </c>
      <c r="AO3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206485.87499999994</v>
      </c>
      <c r="AP3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206485.87499999994</v>
      </c>
      <c r="AQ3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-123530.62499999978</v>
      </c>
      <c r="AR3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138612.37500000009</v>
      </c>
    </row>
    <row r="35" spans="46:46">
      <c r="AT35" s="29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36"/>
  <sheetViews>
    <sheetView topLeftCell="A4" workbookViewId="0">
      <selection activeCell="C37" sqref="C37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201</v>
      </c>
      <c r="C8" s="16" t="s">
        <v>73</v>
      </c>
      <c r="D8" s="16" t="s">
        <v>74</v>
      </c>
      <c r="E8" s="17" t="s">
        <v>75</v>
      </c>
      <c r="F8" s="16" t="s">
        <v>76</v>
      </c>
      <c r="G8" s="16" t="s">
        <v>77</v>
      </c>
      <c r="H8" s="16" t="s">
        <v>78</v>
      </c>
      <c r="I8" s="16" t="s">
        <v>79</v>
      </c>
      <c r="J8" s="16" t="s">
        <v>80</v>
      </c>
      <c r="K8" s="16" t="s">
        <v>167</v>
      </c>
      <c r="L8" s="16" t="s">
        <v>4</v>
      </c>
      <c r="M8" s="16" t="s">
        <v>81</v>
      </c>
      <c r="N8" s="18" t="s">
        <v>91</v>
      </c>
    </row>
    <row r="9" spans="2:14">
      <c r="B9" s="18" t="s">
        <v>283</v>
      </c>
      <c r="C9" s="18">
        <v>1000</v>
      </c>
      <c r="D9" s="19">
        <v>43166</v>
      </c>
      <c r="E9" s="19">
        <v>43196.625</v>
      </c>
      <c r="F9" s="19">
        <v>43196</v>
      </c>
      <c r="G9" s="19">
        <v>43196</v>
      </c>
      <c r="H9" s="20">
        <v>13749.99999912</v>
      </c>
      <c r="I9" s="20">
        <v>-209999.9664</v>
      </c>
      <c r="J9" s="18" t="s">
        <v>6</v>
      </c>
      <c r="K9" s="18" t="s">
        <v>94</v>
      </c>
      <c r="L9" s="18" t="s">
        <v>9</v>
      </c>
      <c r="M9" s="18" t="s">
        <v>284</v>
      </c>
      <c r="N9" s="18">
        <v>0.12</v>
      </c>
    </row>
    <row r="10" spans="2:14">
      <c r="B10" s="18" t="s">
        <v>66</v>
      </c>
      <c r="C10" s="18">
        <v>500</v>
      </c>
      <c r="D10" s="19">
        <v>43140</v>
      </c>
      <c r="E10" s="19">
        <v>43219.625</v>
      </c>
      <c r="F10" s="19">
        <v>43219</v>
      </c>
      <c r="G10" s="19">
        <v>43219.625</v>
      </c>
      <c r="H10" s="20">
        <v>3699.9999992799999</v>
      </c>
      <c r="I10" s="20">
        <v>-275000.00800000003</v>
      </c>
      <c r="J10" s="18" t="s">
        <v>6</v>
      </c>
      <c r="K10" s="18" t="s">
        <v>94</v>
      </c>
      <c r="L10" s="18" t="s">
        <v>64</v>
      </c>
      <c r="M10" s="18" t="s">
        <v>110</v>
      </c>
      <c r="N10" s="18">
        <v>0.125</v>
      </c>
    </row>
    <row r="11" spans="2:14">
      <c r="B11" s="18" t="s">
        <v>67</v>
      </c>
      <c r="C11" s="18">
        <v>1000</v>
      </c>
      <c r="D11" s="19">
        <v>43140</v>
      </c>
      <c r="E11" s="19">
        <v>43205.625</v>
      </c>
      <c r="F11" s="19">
        <v>43205</v>
      </c>
      <c r="G11" s="19">
        <v>43205.625</v>
      </c>
      <c r="H11" s="20">
        <v>3720.0000015999999</v>
      </c>
      <c r="I11" s="20">
        <v>-499999.99575</v>
      </c>
      <c r="J11" s="18" t="s">
        <v>6</v>
      </c>
      <c r="K11" s="18" t="s">
        <v>94</v>
      </c>
      <c r="L11" s="18" t="s">
        <v>64</v>
      </c>
      <c r="M11" s="18" t="s">
        <v>111</v>
      </c>
      <c r="N11" s="18">
        <v>0.125</v>
      </c>
    </row>
    <row r="12" spans="2:14">
      <c r="B12" s="18" t="s">
        <v>95</v>
      </c>
      <c r="C12" s="18">
        <v>100</v>
      </c>
      <c r="D12" s="19">
        <v>43139</v>
      </c>
      <c r="E12" s="19">
        <v>43201.625</v>
      </c>
      <c r="F12" s="19">
        <v>43201</v>
      </c>
      <c r="G12" s="19">
        <v>43201.625</v>
      </c>
      <c r="H12" s="18">
        <v>524</v>
      </c>
      <c r="I12" s="18">
        <v>-235800</v>
      </c>
      <c r="J12" s="18" t="s">
        <v>6</v>
      </c>
      <c r="K12" s="18" t="s">
        <v>94</v>
      </c>
      <c r="L12" s="18" t="s">
        <v>106</v>
      </c>
      <c r="M12" s="18" t="s">
        <v>112</v>
      </c>
      <c r="N12" s="18">
        <v>0.125</v>
      </c>
    </row>
    <row r="13" spans="2:14">
      <c r="B13" s="18" t="s">
        <v>96</v>
      </c>
      <c r="C13" s="18">
        <v>100</v>
      </c>
      <c r="D13" s="19">
        <v>43139</v>
      </c>
      <c r="E13" s="19">
        <v>43201.625</v>
      </c>
      <c r="F13" s="19">
        <v>43201</v>
      </c>
      <c r="G13" s="19">
        <v>43201.625</v>
      </c>
      <c r="H13" s="18">
        <v>524</v>
      </c>
      <c r="I13" s="18">
        <v>-235800</v>
      </c>
      <c r="J13" s="18" t="s">
        <v>43</v>
      </c>
      <c r="K13" s="18" t="s">
        <v>94</v>
      </c>
      <c r="L13" s="18" t="s">
        <v>106</v>
      </c>
      <c r="M13" s="18" t="s">
        <v>112</v>
      </c>
      <c r="N13" s="18">
        <v>0.125</v>
      </c>
    </row>
    <row r="14" spans="2:14">
      <c r="B14" s="18" t="s">
        <v>68</v>
      </c>
      <c r="C14" s="18">
        <v>1000</v>
      </c>
      <c r="D14" s="19">
        <v>43132</v>
      </c>
      <c r="E14" s="19">
        <v>43205.625</v>
      </c>
      <c r="F14" s="19">
        <v>43205</v>
      </c>
      <c r="G14" s="19">
        <v>43205.625</v>
      </c>
      <c r="H14" s="18">
        <v>3650.00000142</v>
      </c>
      <c r="I14" s="18">
        <v>-429999.99489999999</v>
      </c>
      <c r="J14" s="18" t="s">
        <v>6</v>
      </c>
      <c r="K14" s="18" t="s">
        <v>94</v>
      </c>
      <c r="L14" s="18" t="s">
        <v>64</v>
      </c>
      <c r="M14" s="18" t="s">
        <v>111</v>
      </c>
      <c r="N14" s="18">
        <v>0.125</v>
      </c>
    </row>
    <row r="15" spans="2:14">
      <c r="B15" s="18" t="s">
        <v>69</v>
      </c>
      <c r="C15" s="18">
        <v>1000</v>
      </c>
      <c r="D15" s="19">
        <v>43129</v>
      </c>
      <c r="E15" s="19">
        <v>43189.625</v>
      </c>
      <c r="F15" s="19">
        <v>43189</v>
      </c>
      <c r="G15" s="19">
        <v>43189.625</v>
      </c>
      <c r="H15" s="18">
        <v>3650.0000014560001</v>
      </c>
      <c r="I15" s="18">
        <v>-470000.00880000001</v>
      </c>
      <c r="J15" s="18" t="s">
        <v>6</v>
      </c>
      <c r="K15" s="18" t="s">
        <v>94</v>
      </c>
      <c r="L15" s="18" t="s">
        <v>64</v>
      </c>
      <c r="M15" s="18" t="s">
        <v>111</v>
      </c>
      <c r="N15" s="18">
        <v>0.125</v>
      </c>
    </row>
    <row r="16" spans="2:14">
      <c r="B16" s="18" t="s">
        <v>8</v>
      </c>
      <c r="C16" s="18">
        <v>400</v>
      </c>
      <c r="D16" s="19">
        <v>43118</v>
      </c>
      <c r="E16" s="19">
        <v>43200.625</v>
      </c>
      <c r="F16" s="19">
        <v>43202</v>
      </c>
      <c r="G16" s="19">
        <v>43200.625</v>
      </c>
      <c r="H16" s="18">
        <v>14500.000004</v>
      </c>
      <c r="I16" s="18">
        <v>-400000</v>
      </c>
      <c r="J16" s="18" t="s">
        <v>6</v>
      </c>
      <c r="K16" s="18" t="s">
        <v>94</v>
      </c>
      <c r="L16" s="18" t="s">
        <v>9</v>
      </c>
      <c r="M16" s="18" t="s">
        <v>113</v>
      </c>
      <c r="N16" s="18">
        <v>0.12</v>
      </c>
    </row>
    <row r="17" spans="2:14">
      <c r="B17" s="18" t="s">
        <v>70</v>
      </c>
      <c r="C17" s="18">
        <v>500</v>
      </c>
      <c r="D17" s="19">
        <v>43104</v>
      </c>
      <c r="E17" s="19">
        <v>43167.625</v>
      </c>
      <c r="F17" s="19">
        <v>43167</v>
      </c>
      <c r="G17" s="19">
        <v>43167.625</v>
      </c>
      <c r="H17" s="18">
        <v>3550.00000086</v>
      </c>
      <c r="I17" s="18">
        <v>-315000.00594</v>
      </c>
      <c r="J17" s="18" t="s">
        <v>6</v>
      </c>
      <c r="K17" s="18" t="s">
        <v>94</v>
      </c>
      <c r="L17" s="18" t="s">
        <v>64</v>
      </c>
      <c r="M17" s="18" t="s">
        <v>111</v>
      </c>
      <c r="N17" s="18">
        <v>0.125</v>
      </c>
    </row>
    <row r="18" spans="2:14">
      <c r="B18" s="18" t="s">
        <v>41</v>
      </c>
      <c r="C18" s="18">
        <v>125</v>
      </c>
      <c r="D18" s="19">
        <v>43098</v>
      </c>
      <c r="E18" s="19">
        <v>43159.625</v>
      </c>
      <c r="F18" s="19">
        <v>43279</v>
      </c>
      <c r="G18" s="19">
        <v>43098</v>
      </c>
      <c r="H18" s="18">
        <v>10039.999997630001</v>
      </c>
      <c r="I18" s="18">
        <v>0</v>
      </c>
      <c r="J18" s="18" t="s">
        <v>43</v>
      </c>
      <c r="K18" s="18" t="s">
        <v>94</v>
      </c>
      <c r="L18" s="18" t="s">
        <v>44</v>
      </c>
      <c r="M18" s="18" t="s">
        <v>114</v>
      </c>
      <c r="N18" s="18"/>
    </row>
    <row r="19" spans="2:14">
      <c r="B19" s="18" t="s">
        <v>42</v>
      </c>
      <c r="C19" s="18">
        <v>-125</v>
      </c>
      <c r="D19" s="19">
        <v>43098</v>
      </c>
      <c r="E19" s="19">
        <v>43159.625</v>
      </c>
      <c r="F19" s="19">
        <v>43279</v>
      </c>
      <c r="G19" s="19">
        <v>43098</v>
      </c>
      <c r="H19" s="18">
        <v>9500.0000023699995</v>
      </c>
      <c r="I19" s="18">
        <v>9375</v>
      </c>
      <c r="J19" s="18" t="s">
        <v>6</v>
      </c>
      <c r="K19" s="18" t="s">
        <v>94</v>
      </c>
      <c r="L19" s="18" t="s">
        <v>44</v>
      </c>
      <c r="M19" s="18" t="s">
        <v>114</v>
      </c>
      <c r="N19" s="18"/>
    </row>
    <row r="20" spans="2:14">
      <c r="B20" s="18" t="s">
        <v>97</v>
      </c>
      <c r="C20" s="18">
        <v>-50</v>
      </c>
      <c r="D20" s="19">
        <v>43077</v>
      </c>
      <c r="E20" s="19">
        <v>43189.625</v>
      </c>
      <c r="F20" s="19">
        <v>43194</v>
      </c>
      <c r="G20" s="19">
        <v>43076</v>
      </c>
      <c r="H20" s="18">
        <v>1258</v>
      </c>
      <c r="I20" s="18">
        <v>297000</v>
      </c>
      <c r="J20" s="18" t="s">
        <v>6</v>
      </c>
      <c r="K20" s="18" t="s">
        <v>94</v>
      </c>
      <c r="L20" s="18" t="s">
        <v>107</v>
      </c>
      <c r="M20" s="18" t="s">
        <v>115</v>
      </c>
      <c r="N20" s="18"/>
    </row>
    <row r="21" spans="2:14">
      <c r="B21" s="18" t="s">
        <v>98</v>
      </c>
      <c r="C21" s="18">
        <v>-50</v>
      </c>
      <c r="D21" s="19">
        <v>43077</v>
      </c>
      <c r="E21" s="19">
        <v>43189.625</v>
      </c>
      <c r="F21" s="19">
        <v>43194</v>
      </c>
      <c r="G21" s="19">
        <v>43076</v>
      </c>
      <c r="H21" s="18">
        <v>1258</v>
      </c>
      <c r="I21" s="18">
        <v>297000</v>
      </c>
      <c r="J21" s="18" t="s">
        <v>43</v>
      </c>
      <c r="K21" s="18" t="s">
        <v>94</v>
      </c>
      <c r="L21" s="18" t="s">
        <v>107</v>
      </c>
      <c r="M21" s="18" t="s">
        <v>115</v>
      </c>
      <c r="N21" s="18"/>
    </row>
    <row r="22" spans="2:14">
      <c r="B22" s="18" t="s">
        <v>99</v>
      </c>
      <c r="C22" s="18">
        <v>2000</v>
      </c>
      <c r="D22" s="19">
        <v>43067</v>
      </c>
      <c r="E22" s="19">
        <v>43189.625</v>
      </c>
      <c r="F22" s="19">
        <v>43189</v>
      </c>
      <c r="G22" s="19">
        <v>43189.625</v>
      </c>
      <c r="H22" s="18">
        <v>1199.9999998999999</v>
      </c>
      <c r="I22" s="18">
        <v>-5999999.9280000003</v>
      </c>
      <c r="J22" s="18" t="s">
        <v>6</v>
      </c>
      <c r="K22" s="18" t="s">
        <v>94</v>
      </c>
      <c r="L22" s="18" t="s">
        <v>107</v>
      </c>
      <c r="M22" s="18" t="s">
        <v>116</v>
      </c>
      <c r="N22" s="18">
        <v>0.32</v>
      </c>
    </row>
    <row r="23" spans="2:14">
      <c r="B23" s="18" t="s">
        <v>100</v>
      </c>
      <c r="C23" s="18">
        <v>300</v>
      </c>
      <c r="D23" s="19">
        <v>43054</v>
      </c>
      <c r="E23" s="19">
        <v>43189.625</v>
      </c>
      <c r="F23" s="19">
        <v>43190</v>
      </c>
      <c r="G23" s="19">
        <v>43189.625</v>
      </c>
      <c r="H23" s="18">
        <v>13000.000006799999</v>
      </c>
      <c r="I23" s="18">
        <v>-1791000.0179999999</v>
      </c>
      <c r="J23" s="18" t="s">
        <v>6</v>
      </c>
      <c r="K23" s="18" t="s">
        <v>94</v>
      </c>
      <c r="L23" s="18" t="s">
        <v>108</v>
      </c>
      <c r="M23" s="18" t="s">
        <v>116</v>
      </c>
      <c r="N23" s="18">
        <v>0.26</v>
      </c>
    </row>
    <row r="24" spans="2:14">
      <c r="B24" s="18" t="s">
        <v>101</v>
      </c>
      <c r="C24" s="18">
        <v>-500</v>
      </c>
      <c r="D24" s="19">
        <v>43048</v>
      </c>
      <c r="E24" s="19">
        <v>43203.625</v>
      </c>
      <c r="F24" s="19">
        <v>43203</v>
      </c>
      <c r="G24" s="19">
        <v>43048</v>
      </c>
      <c r="H24" s="18">
        <v>3599.9999997999998</v>
      </c>
      <c r="I24" s="18">
        <v>931199.99399999995</v>
      </c>
      <c r="J24" s="18" t="s">
        <v>6</v>
      </c>
      <c r="K24" s="18" t="s">
        <v>94</v>
      </c>
      <c r="L24" s="18" t="s">
        <v>109</v>
      </c>
      <c r="M24" s="18" t="s">
        <v>115</v>
      </c>
      <c r="N24" s="18"/>
    </row>
    <row r="25" spans="2:14">
      <c r="B25" s="18" t="s">
        <v>102</v>
      </c>
      <c r="C25" s="18">
        <v>-500</v>
      </c>
      <c r="D25" s="19">
        <v>43048</v>
      </c>
      <c r="E25" s="19">
        <v>43203.625</v>
      </c>
      <c r="F25" s="19">
        <v>43203</v>
      </c>
      <c r="G25" s="19">
        <v>43048</v>
      </c>
      <c r="H25" s="18">
        <v>4000.0000002000002</v>
      </c>
      <c r="I25" s="18">
        <v>1122200.0019999999</v>
      </c>
      <c r="J25" s="18" t="s">
        <v>43</v>
      </c>
      <c r="K25" s="18" t="s">
        <v>94</v>
      </c>
      <c r="L25" s="18" t="s">
        <v>109</v>
      </c>
      <c r="M25" s="18" t="s">
        <v>115</v>
      </c>
      <c r="N25" s="18"/>
    </row>
    <row r="26" spans="2:14">
      <c r="B26" s="18" t="s">
        <v>103</v>
      </c>
      <c r="C26" s="18">
        <v>500</v>
      </c>
      <c r="D26" s="19">
        <v>43048</v>
      </c>
      <c r="E26" s="19">
        <v>43203.625</v>
      </c>
      <c r="F26" s="19">
        <v>43203</v>
      </c>
      <c r="G26" s="19">
        <v>43203.625</v>
      </c>
      <c r="H26" s="18">
        <v>450</v>
      </c>
      <c r="I26" s="18">
        <v>-760500</v>
      </c>
      <c r="J26" s="18" t="s">
        <v>6</v>
      </c>
      <c r="K26" s="18" t="s">
        <v>94</v>
      </c>
      <c r="L26" s="18" t="s">
        <v>106</v>
      </c>
      <c r="M26" s="18" t="s">
        <v>116</v>
      </c>
      <c r="N26" s="18">
        <v>0.27</v>
      </c>
    </row>
    <row r="27" spans="2:14">
      <c r="B27" s="18" t="s">
        <v>104</v>
      </c>
      <c r="C27" s="18">
        <v>1500</v>
      </c>
      <c r="D27" s="19">
        <v>43048</v>
      </c>
      <c r="E27" s="19">
        <v>43203.625</v>
      </c>
      <c r="F27" s="19">
        <v>43203</v>
      </c>
      <c r="G27" s="19">
        <v>43203.625</v>
      </c>
      <c r="H27" s="18">
        <v>4000</v>
      </c>
      <c r="I27" s="18">
        <v>-2317950</v>
      </c>
      <c r="J27" s="18" t="s">
        <v>43</v>
      </c>
      <c r="K27" s="18" t="s">
        <v>94</v>
      </c>
      <c r="L27" s="18" t="s">
        <v>109</v>
      </c>
      <c r="M27" s="18" t="s">
        <v>116</v>
      </c>
      <c r="N27" s="18">
        <v>0.255</v>
      </c>
    </row>
    <row r="28" spans="2:14">
      <c r="B28" s="18" t="s">
        <v>105</v>
      </c>
      <c r="C28" s="18">
        <v>1500</v>
      </c>
      <c r="D28" s="19">
        <v>43048</v>
      </c>
      <c r="E28" s="19">
        <v>43203.625</v>
      </c>
      <c r="F28" s="19">
        <v>43203</v>
      </c>
      <c r="G28" s="19">
        <v>43203.625</v>
      </c>
      <c r="H28" s="18">
        <v>3600</v>
      </c>
      <c r="I28" s="18">
        <v>-2277450</v>
      </c>
      <c r="J28" s="18" t="s">
        <v>6</v>
      </c>
      <c r="K28" s="18" t="s">
        <v>94</v>
      </c>
      <c r="L28" s="18" t="s">
        <v>109</v>
      </c>
      <c r="M28" s="18" t="s">
        <v>117</v>
      </c>
      <c r="N28" s="18">
        <v>0.255</v>
      </c>
    </row>
    <row r="29" spans="2:14">
      <c r="B29" s="18" t="s">
        <v>5</v>
      </c>
      <c r="C29" s="18">
        <v>100</v>
      </c>
      <c r="D29" s="19">
        <v>43123</v>
      </c>
      <c r="E29" s="19">
        <v>43183.625</v>
      </c>
      <c r="F29" s="19">
        <v>43183</v>
      </c>
      <c r="G29" s="19">
        <v>43183.625</v>
      </c>
      <c r="H29" s="18">
        <v>50000.000004000001</v>
      </c>
      <c r="I29" s="18">
        <v>-50000.004000000001</v>
      </c>
      <c r="J29" s="18" t="s">
        <v>6</v>
      </c>
      <c r="K29" s="18" t="s">
        <v>94</v>
      </c>
      <c r="L29" s="18" t="s">
        <v>7</v>
      </c>
      <c r="M29" s="18" t="s">
        <v>127</v>
      </c>
      <c r="N29" s="18">
        <v>0.12</v>
      </c>
    </row>
    <row r="30" spans="2:14">
      <c r="B30" s="18" t="s">
        <v>162</v>
      </c>
      <c r="C30" s="18">
        <v>1000</v>
      </c>
      <c r="D30" s="19">
        <v>43154</v>
      </c>
      <c r="E30" s="19">
        <v>43182.625</v>
      </c>
      <c r="F30" s="19">
        <v>43184</v>
      </c>
      <c r="G30" s="19">
        <v>43154</v>
      </c>
      <c r="H30" s="20">
        <v>3929.9999985759996</v>
      </c>
      <c r="I30" s="20">
        <v>-271800</v>
      </c>
      <c r="J30" s="18" t="s">
        <v>43</v>
      </c>
      <c r="K30" s="18" t="s">
        <v>94</v>
      </c>
      <c r="L30" s="18" t="s">
        <v>109</v>
      </c>
      <c r="M30" s="18" t="s">
        <v>116</v>
      </c>
      <c r="N30" s="18">
        <v>0.13500000000000001</v>
      </c>
    </row>
    <row r="31" spans="2:14">
      <c r="B31" s="18" t="s">
        <v>163</v>
      </c>
      <c r="C31" s="18">
        <v>1000</v>
      </c>
      <c r="D31" s="19">
        <v>43154</v>
      </c>
      <c r="E31" s="19">
        <v>43182.625</v>
      </c>
      <c r="F31" s="19">
        <v>43184</v>
      </c>
      <c r="G31" s="19">
        <v>43154</v>
      </c>
      <c r="H31" s="20">
        <v>3799.999998368</v>
      </c>
      <c r="I31" s="20">
        <v>-388800</v>
      </c>
      <c r="J31" s="18" t="s">
        <v>6</v>
      </c>
      <c r="K31" s="18" t="s">
        <v>94</v>
      </c>
      <c r="L31" s="18" t="s">
        <v>109</v>
      </c>
      <c r="M31" s="18" t="s">
        <v>116</v>
      </c>
      <c r="N31" s="18">
        <v>0.13500000000000001</v>
      </c>
    </row>
    <row r="32" spans="2:14">
      <c r="B32" s="18" t="s">
        <v>174</v>
      </c>
      <c r="C32" s="18">
        <v>-64</v>
      </c>
      <c r="D32" s="19">
        <v>43157</v>
      </c>
      <c r="E32" s="19">
        <v>43217</v>
      </c>
      <c r="F32" s="19">
        <v>43217</v>
      </c>
      <c r="G32" s="19">
        <v>43217</v>
      </c>
      <c r="H32" s="20">
        <v>16.545999999999999</v>
      </c>
      <c r="I32" s="20">
        <v>751.95</v>
      </c>
      <c r="J32" s="18" t="s">
        <v>197</v>
      </c>
      <c r="K32" s="18" t="s">
        <v>176</v>
      </c>
      <c r="L32" s="18" t="s">
        <v>178</v>
      </c>
      <c r="M32" s="18" t="s">
        <v>172</v>
      </c>
      <c r="N32" s="18"/>
    </row>
    <row r="33" spans="2:14">
      <c r="B33" s="18" t="s">
        <v>179</v>
      </c>
      <c r="C33" s="18">
        <v>-24</v>
      </c>
      <c r="D33" s="19">
        <v>43122</v>
      </c>
      <c r="E33" s="19">
        <v>43209</v>
      </c>
      <c r="F33" s="19">
        <v>43209</v>
      </c>
      <c r="G33" s="19">
        <v>43209</v>
      </c>
      <c r="H33" s="20">
        <v>2236</v>
      </c>
      <c r="I33" s="20">
        <v>402.48</v>
      </c>
      <c r="J33" s="18" t="s">
        <v>199</v>
      </c>
      <c r="K33" s="18" t="s">
        <v>176</v>
      </c>
      <c r="L33" s="18" t="s">
        <v>181</v>
      </c>
      <c r="M33" s="18" t="s">
        <v>172</v>
      </c>
      <c r="N33" s="18"/>
    </row>
    <row r="34" spans="2:14">
      <c r="B34" s="18" t="s">
        <v>200</v>
      </c>
      <c r="C34" s="18">
        <v>-30</v>
      </c>
      <c r="D34" s="19">
        <v>43158</v>
      </c>
      <c r="E34" s="19">
        <v>43217</v>
      </c>
      <c r="F34" s="19">
        <v>43217</v>
      </c>
      <c r="G34" s="19">
        <v>43217</v>
      </c>
      <c r="H34" s="20">
        <v>16.71</v>
      </c>
      <c r="I34" s="20">
        <v>751.95</v>
      </c>
      <c r="J34" s="18" t="s">
        <v>203</v>
      </c>
      <c r="K34" s="18" t="s">
        <v>204</v>
      </c>
      <c r="L34" s="18" t="s">
        <v>171</v>
      </c>
      <c r="M34" s="18" t="s">
        <v>172</v>
      </c>
      <c r="N34" s="18"/>
    </row>
    <row r="35" spans="2:14">
      <c r="B35" s="18" t="s">
        <v>292</v>
      </c>
      <c r="C35" s="18">
        <v>-12</v>
      </c>
      <c r="D35" s="19">
        <v>43168.625</v>
      </c>
      <c r="E35" s="19">
        <v>43257.625</v>
      </c>
      <c r="F35" s="19">
        <v>43259</v>
      </c>
      <c r="G35" s="19">
        <v>43257</v>
      </c>
      <c r="H35" s="20">
        <v>6812.5</v>
      </c>
      <c r="I35" s="20">
        <v>1021.875</v>
      </c>
      <c r="J35" s="18" t="s">
        <v>293</v>
      </c>
      <c r="K35" s="18" t="s">
        <v>294</v>
      </c>
      <c r="L35" s="18" t="s">
        <v>295</v>
      </c>
      <c r="M35" s="18" t="s">
        <v>172</v>
      </c>
      <c r="N35" s="18"/>
    </row>
    <row r="36" spans="2:14">
      <c r="B36" s="18" t="s">
        <v>324</v>
      </c>
      <c r="C36" s="18">
        <v>-30</v>
      </c>
      <c r="D36" s="19">
        <v>43175</v>
      </c>
      <c r="E36" s="19">
        <v>43238</v>
      </c>
      <c r="F36" s="19">
        <v>43238</v>
      </c>
      <c r="G36" s="19">
        <v>43238</v>
      </c>
      <c r="H36" s="27">
        <v>16.545000000000002</v>
      </c>
      <c r="I36" s="20">
        <v>1240.875</v>
      </c>
      <c r="J36" s="18" t="s">
        <v>203</v>
      </c>
      <c r="K36" s="18" t="s">
        <v>176</v>
      </c>
      <c r="L36" s="18" t="s">
        <v>323</v>
      </c>
      <c r="M36" s="18" t="s">
        <v>172</v>
      </c>
      <c r="N36" s="18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0"/>
  <sheetViews>
    <sheetView workbookViewId="0">
      <selection activeCell="B11" sqref="B11:J12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30" t="s">
        <v>17</v>
      </c>
      <c r="C5" s="30"/>
      <c r="D5" s="30"/>
      <c r="E5" s="30"/>
      <c r="F5" s="30"/>
      <c r="G5" s="30"/>
      <c r="H5" s="30"/>
      <c r="I5" s="12"/>
    </row>
    <row r="6" spans="2:10">
      <c r="B6" s="1" t="s">
        <v>16</v>
      </c>
      <c r="C6" s="1" t="s">
        <v>84</v>
      </c>
      <c r="D6" s="1" t="s">
        <v>38</v>
      </c>
      <c r="E6" s="1" t="s">
        <v>86</v>
      </c>
      <c r="F6" s="1" t="s">
        <v>71</v>
      </c>
      <c r="G6" s="1" t="s">
        <v>0</v>
      </c>
      <c r="H6" s="1" t="s">
        <v>15</v>
      </c>
      <c r="I6" s="1" t="s">
        <v>185</v>
      </c>
      <c r="J6" s="1" t="s">
        <v>85</v>
      </c>
    </row>
    <row r="7" spans="2:10">
      <c r="B7" s="1" t="s">
        <v>40</v>
      </c>
      <c r="C7" s="1" t="s">
        <v>2</v>
      </c>
      <c r="D7" s="1" t="s">
        <v>39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43178</v>
      </c>
      <c r="J7" s="14">
        <f ca="1">[1]!s_dq_close(E7,I7,1)</f>
        <v>51420</v>
      </c>
    </row>
    <row r="8" spans="2:10">
      <c r="B8" s="1" t="s">
        <v>32</v>
      </c>
      <c r="C8" s="1" t="s">
        <v>11</v>
      </c>
      <c r="D8" s="1" t="s">
        <v>39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20" ca="1" si="0">TODAY()</f>
        <v>43178</v>
      </c>
      <c r="J8" s="14">
        <f ca="1">[1]!s_dq_close(E8,I8,1)</f>
        <v>13960</v>
      </c>
    </row>
    <row r="9" spans="2:10">
      <c r="B9" s="1" t="s">
        <v>33</v>
      </c>
      <c r="C9" s="1" t="s">
        <v>3</v>
      </c>
      <c r="D9" s="1" t="s">
        <v>39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43178</v>
      </c>
      <c r="J9" s="14">
        <f ca="1">[1]!s_dq_close(E9,I9,1)</f>
        <v>3633</v>
      </c>
    </row>
    <row r="10" spans="2:10">
      <c r="B10" s="1" t="s">
        <v>48</v>
      </c>
      <c r="C10" s="1" t="s">
        <v>46</v>
      </c>
      <c r="D10" s="1" t="s">
        <v>47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43178</v>
      </c>
      <c r="J10" s="14">
        <f ca="1">[1]!s_dq_close(E10,I10,1)</f>
        <v>9345</v>
      </c>
    </row>
    <row r="11" spans="2:10">
      <c r="B11" s="1" t="s">
        <v>65</v>
      </c>
      <c r="C11" s="1" t="s">
        <v>63</v>
      </c>
      <c r="D11" s="1" t="s">
        <v>39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43178</v>
      </c>
      <c r="J11" s="14">
        <f ca="1">[1]!s_dq_close(E11,I11,1)</f>
        <v>3491</v>
      </c>
    </row>
    <row r="12" spans="2:10">
      <c r="B12" s="1" t="s">
        <v>128</v>
      </c>
      <c r="C12" s="1" t="s">
        <v>129</v>
      </c>
      <c r="D12" s="1" t="s">
        <v>126</v>
      </c>
      <c r="E12" s="2" t="str">
        <f>tbl_ticker[[#This Row],[ticker]]&amp;"."&amp;tbl_ticker[[#This Row],[exchange]]</f>
        <v>rb1805.shf</v>
      </c>
      <c r="F12" s="2">
        <v>10</v>
      </c>
      <c r="G12" s="1">
        <v>0.18</v>
      </c>
      <c r="H12" s="1">
        <v>0</v>
      </c>
      <c r="I12" s="13">
        <f t="shared" ca="1" si="0"/>
        <v>43178</v>
      </c>
      <c r="J12" s="14">
        <f ca="1">[1]!s_dq_close(E12,I12,1)</f>
        <v>3651</v>
      </c>
    </row>
    <row r="13" spans="2:10">
      <c r="B13" s="1" t="s">
        <v>125</v>
      </c>
      <c r="C13" s="1" t="s">
        <v>87</v>
      </c>
      <c r="D13" s="1" t="s">
        <v>88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43178</v>
      </c>
      <c r="J13" s="14">
        <f ca="1">[1]!s_dq_close(E13,I13,1)</f>
        <v>462.5</v>
      </c>
    </row>
    <row r="14" spans="2:10">
      <c r="B14" s="1" t="s">
        <v>118</v>
      </c>
      <c r="C14" s="1" t="s">
        <v>121</v>
      </c>
      <c r="D14" s="1" t="s">
        <v>126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43178</v>
      </c>
      <c r="J14" s="14">
        <f ca="1">[1]!s_dq_close(E14,I14,1)</f>
        <v>12510</v>
      </c>
    </row>
    <row r="15" spans="2:10">
      <c r="B15" s="1" t="s">
        <v>119</v>
      </c>
      <c r="C15" s="1" t="s">
        <v>123</v>
      </c>
      <c r="D15" s="1" t="s">
        <v>124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43178</v>
      </c>
      <c r="J15" s="14">
        <f ca="1">[1]!s_dq_close(E15,I15,1)</f>
        <v>1286</v>
      </c>
    </row>
    <row r="16" spans="2:10">
      <c r="B16" s="1" t="s">
        <v>170</v>
      </c>
      <c r="C16" s="1" t="s">
        <v>214</v>
      </c>
      <c r="D16" s="1" t="s">
        <v>169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43178</v>
      </c>
      <c r="J16" s="14">
        <f ca="1">[1]!s_dq_close(E16,I16,1)</f>
        <v>16.225000000000001</v>
      </c>
    </row>
    <row r="17" spans="2:10">
      <c r="B17" s="1" t="s">
        <v>171</v>
      </c>
      <c r="C17" s="1" t="s">
        <v>214</v>
      </c>
      <c r="D17" s="1" t="s">
        <v>169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43178</v>
      </c>
      <c r="J17" s="14">
        <f ca="1">[1]!s_dq_close(E17,I17,1)</f>
        <v>16.34</v>
      </c>
    </row>
    <row r="18" spans="2:10">
      <c r="B18" s="1" t="s">
        <v>183</v>
      </c>
      <c r="C18" s="1" t="s">
        <v>213</v>
      </c>
      <c r="D18" s="1" t="s">
        <v>184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43178</v>
      </c>
      <c r="J18" s="14">
        <f ca="1">[1]!s_dq_close(E18,I18,1)</f>
        <v>2083</v>
      </c>
    </row>
    <row r="19" spans="2:10">
      <c r="B19" s="1" t="s">
        <v>297</v>
      </c>
      <c r="C19" s="1" t="s">
        <v>298</v>
      </c>
      <c r="D19" s="1" t="s">
        <v>299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43178</v>
      </c>
      <c r="J19" s="14">
        <f ca="1">[1]!s_dq_close(E19,I19,1)</f>
        <v>6889.5</v>
      </c>
    </row>
    <row r="20" spans="2:10">
      <c r="B20" s="1" t="s">
        <v>323</v>
      </c>
      <c r="C20" s="1" t="s">
        <v>212</v>
      </c>
      <c r="D20" s="1" t="s">
        <v>169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43178</v>
      </c>
      <c r="J20" s="28">
        <f ca="1">[1]!s_dq_close(E20,I20,1)</f>
        <v>16.425000000000001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workbookViewId="0">
      <selection activeCell="AS20" sqref="AS20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1" t="s">
        <v>12</v>
      </c>
      <c r="C5" s="31"/>
      <c r="D5" s="31"/>
      <c r="E5" s="31"/>
      <c r="F5" s="31"/>
    </row>
    <row r="6" spans="2:42">
      <c r="B6" s="9" t="s">
        <v>173</v>
      </c>
      <c r="C6" s="9" t="s">
        <v>14</v>
      </c>
      <c r="D6" s="9" t="s">
        <v>13</v>
      </c>
      <c r="E6" s="9" t="s">
        <v>130</v>
      </c>
      <c r="F6" s="9" t="s">
        <v>10</v>
      </c>
      <c r="G6" s="9" t="s">
        <v>131</v>
      </c>
      <c r="H6" s="9" t="s">
        <v>132</v>
      </c>
      <c r="I6" s="9" t="s">
        <v>1</v>
      </c>
      <c r="J6" s="9" t="s">
        <v>122</v>
      </c>
      <c r="K6" s="9" t="s">
        <v>133</v>
      </c>
      <c r="L6" s="9" t="s">
        <v>134</v>
      </c>
      <c r="M6" s="9" t="s">
        <v>135</v>
      </c>
      <c r="N6" s="9" t="s">
        <v>62</v>
      </c>
      <c r="O6" s="9" t="s">
        <v>136</v>
      </c>
      <c r="P6" s="9" t="s">
        <v>137</v>
      </c>
      <c r="Q6" s="9" t="s">
        <v>138</v>
      </c>
      <c r="R6" s="9" t="s">
        <v>139</v>
      </c>
      <c r="S6" s="9" t="s">
        <v>6</v>
      </c>
      <c r="T6" s="9" t="s">
        <v>140</v>
      </c>
      <c r="U6" s="9" t="s">
        <v>141</v>
      </c>
      <c r="V6" s="9" t="s">
        <v>142</v>
      </c>
      <c r="W6" s="9" t="s">
        <v>143</v>
      </c>
      <c r="X6" s="9" t="s">
        <v>144</v>
      </c>
      <c r="Y6" s="9" t="s">
        <v>145</v>
      </c>
      <c r="Z6" s="9" t="s">
        <v>43</v>
      </c>
      <c r="AA6" s="9" t="s">
        <v>146</v>
      </c>
      <c r="AB6" s="9" t="s">
        <v>147</v>
      </c>
      <c r="AC6" s="9" t="s">
        <v>148</v>
      </c>
      <c r="AD6" s="9" t="s">
        <v>149</v>
      </c>
      <c r="AE6" s="9" t="s">
        <v>150</v>
      </c>
      <c r="AF6" s="9" t="s">
        <v>45</v>
      </c>
      <c r="AG6" s="9" t="s">
        <v>151</v>
      </c>
      <c r="AH6" s="9" t="s">
        <v>120</v>
      </c>
      <c r="AI6" s="9" t="s">
        <v>152</v>
      </c>
      <c r="AJ6" s="9" t="s">
        <v>205</v>
      </c>
      <c r="AK6" s="9" t="s">
        <v>207</v>
      </c>
      <c r="AL6" s="9" t="s">
        <v>208</v>
      </c>
      <c r="AM6" s="9" t="s">
        <v>209</v>
      </c>
      <c r="AN6" s="9" t="s">
        <v>210</v>
      </c>
      <c r="AO6" s="9" t="s">
        <v>212</v>
      </c>
      <c r="AP6" s="9" t="s">
        <v>290</v>
      </c>
    </row>
    <row r="7" spans="2:42">
      <c r="B7" s="9" t="s">
        <v>115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114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113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112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111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116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127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282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172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3" sqref="E23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18</v>
      </c>
      <c r="C6" t="s">
        <v>35</v>
      </c>
      <c r="D6" t="s">
        <v>34</v>
      </c>
      <c r="E6" t="s">
        <v>90</v>
      </c>
    </row>
    <row r="7" spans="2:5">
      <c r="B7" t="s">
        <v>37</v>
      </c>
      <c r="C7">
        <v>1</v>
      </c>
      <c r="D7">
        <v>1</v>
      </c>
      <c r="E7">
        <v>1</v>
      </c>
    </row>
    <row r="8" spans="2:5">
      <c r="B8" t="s">
        <v>20</v>
      </c>
      <c r="C8" t="s">
        <v>153</v>
      </c>
      <c r="D8">
        <v>1</v>
      </c>
      <c r="E8">
        <v>1</v>
      </c>
    </row>
    <row r="9" spans="2:5">
      <c r="B9" t="s">
        <v>21</v>
      </c>
      <c r="C9" t="s">
        <v>154</v>
      </c>
      <c r="D9">
        <v>1</v>
      </c>
      <c r="E9">
        <v>1</v>
      </c>
    </row>
    <row r="10" spans="2:5">
      <c r="B10" t="s">
        <v>22</v>
      </c>
      <c r="C10" t="s">
        <v>155</v>
      </c>
      <c r="D10">
        <v>1</v>
      </c>
      <c r="E10">
        <v>1</v>
      </c>
    </row>
    <row r="11" spans="2:5">
      <c r="B11" t="s">
        <v>23</v>
      </c>
      <c r="C11" t="s">
        <v>156</v>
      </c>
      <c r="D11">
        <v>1</v>
      </c>
      <c r="E11">
        <v>1</v>
      </c>
    </row>
    <row r="12" spans="2:5">
      <c r="B12" t="s">
        <v>24</v>
      </c>
      <c r="C12" t="s">
        <v>157</v>
      </c>
      <c r="D12">
        <v>1</v>
      </c>
      <c r="E12">
        <v>1</v>
      </c>
    </row>
    <row r="13" spans="2:5">
      <c r="B13" t="s">
        <v>25</v>
      </c>
      <c r="C13" t="s">
        <v>161</v>
      </c>
      <c r="D13">
        <v>1</v>
      </c>
      <c r="E13">
        <v>1</v>
      </c>
    </row>
    <row r="14" spans="2:5">
      <c r="B14" t="s">
        <v>26</v>
      </c>
      <c r="C14" t="s">
        <v>155</v>
      </c>
      <c r="D14" s="11" t="s">
        <v>159</v>
      </c>
      <c r="E14" s="5">
        <v>1</v>
      </c>
    </row>
    <row r="15" spans="2:5">
      <c r="B15" t="s">
        <v>27</v>
      </c>
      <c r="C15" t="s">
        <v>155</v>
      </c>
      <c r="D15" t="s">
        <v>160</v>
      </c>
      <c r="E15">
        <v>1</v>
      </c>
    </row>
    <row r="16" spans="2:5">
      <c r="B16" t="s">
        <v>28</v>
      </c>
      <c r="C16" t="s">
        <v>158</v>
      </c>
      <c r="D16" s="11" t="s">
        <v>159</v>
      </c>
      <c r="E16" s="5">
        <v>1</v>
      </c>
    </row>
    <row r="17" spans="2:5">
      <c r="B17" t="s">
        <v>29</v>
      </c>
      <c r="C17" s="23" t="s">
        <v>285</v>
      </c>
      <c r="D17" s="23" t="s">
        <v>286</v>
      </c>
      <c r="E17" s="24">
        <v>1</v>
      </c>
    </row>
    <row r="18" spans="2:5">
      <c r="B18" t="s">
        <v>30</v>
      </c>
      <c r="C18" s="25" t="s">
        <v>287</v>
      </c>
      <c r="D18" s="25">
        <v>1</v>
      </c>
      <c r="E18" s="26">
        <v>0.35</v>
      </c>
    </row>
    <row r="19" spans="2:5">
      <c r="B19" t="s">
        <v>31</v>
      </c>
      <c r="C19" s="23" t="s">
        <v>288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2018-03-19T08:32:27Z</dcterms:modified>
</cp:coreProperties>
</file>