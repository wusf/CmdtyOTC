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Sheet1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calcPr calcId="152511" calcMode="manual"/>
  <pivotCaches>
    <pivotCache cacheId="124" r:id="rId7"/>
  </pivotCaches>
</workbook>
</file>

<file path=xl/calcChain.xml><?xml version="1.0" encoding="utf-8"?>
<calcChain xmlns="http://schemas.openxmlformats.org/spreadsheetml/2006/main">
  <c r="E11" i="6" l="1"/>
  <c r="I11" i="6"/>
  <c r="E10" i="6" l="1"/>
  <c r="I10" i="6"/>
  <c r="E7" i="6" l="1"/>
  <c r="E8" i="6"/>
  <c r="E9" i="6"/>
  <c r="I7" i="6"/>
  <c r="I8" i="6"/>
  <c r="I9" i="6"/>
  <c r="B4" i="5" l="1"/>
  <c r="AM7" i="5"/>
  <c r="AF8" i="5"/>
  <c r="AL7" i="5"/>
  <c r="AE8" i="5"/>
  <c r="AH8" i="5"/>
  <c r="AA10" i="5"/>
  <c r="AG11" i="5"/>
  <c r="AL10" i="5"/>
  <c r="AK10" i="5"/>
  <c r="AE13" i="5"/>
  <c r="AL9" i="5"/>
  <c r="AE10" i="5"/>
  <c r="AI7" i="5"/>
  <c r="AI8" i="5"/>
  <c r="AC11" i="5"/>
  <c r="AJ13" i="5"/>
  <c r="AD8" i="5"/>
  <c r="AI10" i="5"/>
  <c r="AD10" i="5"/>
  <c r="AI12" i="5"/>
  <c r="AC7" i="5"/>
  <c r="AI14" i="5"/>
  <c r="AE14" i="5"/>
  <c r="AA12" i="5"/>
  <c r="AC9" i="5"/>
  <c r="AA14" i="5"/>
  <c r="AH10" i="5"/>
  <c r="AI13" i="5"/>
  <c r="AJ10" i="5"/>
  <c r="AL11" i="5"/>
  <c r="AM15" i="5"/>
  <c r="AE7" i="5"/>
  <c r="AL15" i="5"/>
  <c r="AD7" i="5"/>
  <c r="AG15" i="5"/>
  <c r="AM9" i="5"/>
  <c r="AF10" i="5"/>
  <c r="AJ8" i="5"/>
  <c r="AH7" i="5"/>
  <c r="AB10" i="5"/>
  <c r="AK8" i="5"/>
  <c r="AD9" i="5"/>
  <c r="AH14" i="5"/>
  <c r="AH15" i="5"/>
  <c r="AM14" i="5"/>
  <c r="AK13" i="5"/>
  <c r="AK7" i="5"/>
  <c r="AJ15" i="5"/>
  <c r="AG8" i="5"/>
  <c r="AB13" i="5"/>
  <c r="AE11" i="5"/>
  <c r="AB15" i="5"/>
  <c r="AI11" i="5"/>
  <c r="AH9" i="5"/>
  <c r="AM13" i="5"/>
  <c r="AA15" i="5"/>
  <c r="AG10" i="5"/>
  <c r="AB14" i="5"/>
  <c r="AG12" i="5"/>
  <c r="AL14" i="5"/>
  <c r="AE15" i="5"/>
  <c r="AK14" i="5"/>
  <c r="AD15" i="5"/>
  <c r="AD12" i="5"/>
  <c r="AL8" i="5"/>
  <c r="AE9" i="5"/>
  <c r="AI15" i="5"/>
  <c r="AG14" i="5"/>
  <c r="AK12" i="5"/>
  <c r="AJ7" i="5"/>
  <c r="AC8" i="5"/>
  <c r="AF12" i="5"/>
  <c r="AF13" i="5"/>
  <c r="AJ11" i="5"/>
  <c r="AC14" i="5"/>
  <c r="AG13" i="5"/>
  <c r="AB7" i="5"/>
  <c r="AJ12" i="5"/>
  <c r="AL13" i="5"/>
  <c r="AC10" i="5"/>
  <c r="AB8" i="5"/>
  <c r="AB12" i="5"/>
  <c r="AJ14" i="5"/>
  <c r="AD13" i="5"/>
  <c r="AA11" i="5"/>
  <c r="AF15" i="5"/>
  <c r="AB11" i="5"/>
  <c r="AI9" i="5"/>
  <c r="AG9" i="5"/>
  <c r="AM8" i="5"/>
  <c r="AF9" i="5"/>
  <c r="AK11" i="5"/>
  <c r="AC12" i="5"/>
  <c r="AH12" i="5"/>
  <c r="AA13" i="5"/>
  <c r="AM12" i="5"/>
  <c r="AG7" i="5"/>
  <c r="AM10" i="5"/>
  <c r="AF11" i="5"/>
  <c r="AK9" i="5"/>
  <c r="AJ9" i="5"/>
  <c r="AF14" i="5"/>
  <c r="AD14" i="5"/>
  <c r="AA9" i="5"/>
  <c r="AE12" i="5"/>
  <c r="AD11" i="5"/>
  <c r="AC13" i="5"/>
  <c r="AK15" i="5"/>
  <c r="AF7" i="5"/>
  <c r="AB9" i="5"/>
  <c r="AH11" i="5"/>
  <c r="AC15" i="5"/>
  <c r="AH13" i="5"/>
  <c r="AL12" i="5"/>
  <c r="AA8" i="5"/>
  <c r="AA7" i="5"/>
  <c r="AM11" i="5"/>
</calcChain>
</file>

<file path=xl/sharedStrings.xml><?xml version="1.0" encoding="utf-8"?>
<sst xmlns="http://schemas.openxmlformats.org/spreadsheetml/2006/main" count="366" uniqueCount="135">
  <si>
    <t>vol</t>
    <phoneticPr fontId="1" type="noConversion"/>
  </si>
  <si>
    <t>product</t>
    <phoneticPr fontId="1" type="noConversion"/>
  </si>
  <si>
    <t>cu</t>
  </si>
  <si>
    <t>cu</t>
    <phoneticPr fontId="1" type="noConversion"/>
  </si>
  <si>
    <t>ag</t>
    <phoneticPr fontId="1" type="noConversion"/>
  </si>
  <si>
    <t>ID</t>
  </si>
  <si>
    <t>Volume</t>
  </si>
  <si>
    <t>Trade Date</t>
  </si>
  <si>
    <t>Expiry date</t>
  </si>
  <si>
    <t>Settlement</t>
  </si>
  <si>
    <t>Prem date</t>
  </si>
  <si>
    <t>K</t>
  </si>
  <si>
    <t>LB</t>
  </si>
  <si>
    <t>HB</t>
  </si>
  <si>
    <t>Prem</t>
  </si>
  <si>
    <t>c/p</t>
  </si>
  <si>
    <t>opt type</t>
  </si>
  <si>
    <t>underlying</t>
  </si>
  <si>
    <t>20180123-CICC-HTMY-CU1805-VAN-P-60</t>
  </si>
  <si>
    <t>p</t>
  </si>
  <si>
    <t>cu1805</t>
  </si>
  <si>
    <t>20180118-CICC-ZTKJ-AL1805-VAN-P-82</t>
  </si>
  <si>
    <t>al1805</t>
  </si>
  <si>
    <t>20180109-CICC-XYWL-AG1806-VAN-P-28</t>
  </si>
  <si>
    <t>ag1806</t>
  </si>
  <si>
    <t>client</t>
    <phoneticPr fontId="1" type="noConversion"/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</si>
  <si>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</si>
  <si>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</si>
  <si>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</si>
  <si>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</si>
  <si>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亨通贸易</t>
  </si>
  <si>
    <t>亨通贸易</t>
    <phoneticPr fontId="1" type="noConversion"/>
  </si>
  <si>
    <t>中天科技</t>
  </si>
  <si>
    <t>中天科技</t>
    <phoneticPr fontId="1" type="noConversion"/>
  </si>
  <si>
    <t>厦门象屿</t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</si>
  <si>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</si>
  <si>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</si>
  <si>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</si>
  <si>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</si>
  <si>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price</t>
    <phoneticPr fontId="1" type="noConversion"/>
  </si>
  <si>
    <t>data: ticker</t>
    <phoneticPr fontId="1" type="noConversion"/>
  </si>
  <si>
    <t>senario#</t>
    <phoneticPr fontId="1" type="noConversion"/>
  </si>
  <si>
    <t>S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</si>
  <si>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</si>
  <si>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</si>
  <si>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</si>
  <si>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</si>
  <si>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</si>
  <si>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</si>
  <si>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</si>
  <si>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</si>
  <si>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</si>
  <si>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</si>
  <si>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</si>
  <si>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</si>
  <si>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</si>
  <si>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</si>
  <si>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</si>
  <si>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S+(VR+X)</t>
    <phoneticPr fontId="1" type="noConversion"/>
  </si>
  <si>
    <t>formula2</t>
    <phoneticPr fontId="1" type="noConversion"/>
  </si>
  <si>
    <t>formula1</t>
    <phoneticPr fontId="1" type="noConversion"/>
  </si>
  <si>
    <r>
      <t>vol</t>
    </r>
    <r>
      <rPr>
        <sz val="11"/>
        <color rgb="FF9C0006"/>
        <rFont val="宋体"/>
        <family val="3"/>
        <charset val="134"/>
        <scheme val="minor"/>
      </rPr>
      <t>*(1-k)</t>
    </r>
    <phoneticPr fontId="1" type="noConversion"/>
  </si>
  <si>
    <t>S+(1/3*VR+X)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</si>
  <si>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</si>
  <si>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</si>
  <si>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</si>
  <si>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</si>
  <si>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</si>
  <si>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wind_ticker</t>
    <phoneticPr fontId="1" type="noConversion"/>
  </si>
  <si>
    <t>20171229-CICC-QCSH-L1805-RR-61-C</t>
  </si>
  <si>
    <t>20171229-CICC-QCSH-L1805-RR-61-P</t>
  </si>
  <si>
    <t>20171128-CICC-XYWL-AG1806-VAN-P-37</t>
  </si>
  <si>
    <t>20171128-CICC-XYWL-AG1806-VAN-C-37</t>
  </si>
  <si>
    <t>c</t>
  </si>
  <si>
    <t>l1805</t>
  </si>
  <si>
    <t>亨通贸易</t>
    <phoneticPr fontId="1" type="noConversion"/>
  </si>
  <si>
    <t>中天科技</t>
    <phoneticPr fontId="1" type="noConversion"/>
  </si>
  <si>
    <t>厦门象屿</t>
    <phoneticPr fontId="1" type="noConversion"/>
  </si>
  <si>
    <t>前程石化</t>
  </si>
  <si>
    <t>前程石化</t>
    <phoneticPr fontId="1" type="noConversion"/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</si>
  <si>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</si>
  <si>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</si>
  <si>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</si>
  <si>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</si>
  <si>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</si>
  <si>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</si>
  <si>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</si>
  <si>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</si>
  <si>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</si>
  <si>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</si>
  <si>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</si>
  <si>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</si>
  <si>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</si>
  <si>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</si>
  <si>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</si>
  <si>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</si>
  <si>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</si>
  <si>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14460|.2</t>
  </si>
  <si>
    <t>9440|.1</t>
  </si>
  <si>
    <t>9460|.1</t>
  </si>
  <si>
    <t>9500|.08</t>
  </si>
  <si>
    <t>行标签</t>
  </si>
  <si>
    <t>总计</t>
  </si>
  <si>
    <t>求和项:senario13</t>
  </si>
  <si>
    <t>最大值项:字段1</t>
  </si>
  <si>
    <t>天物国际</t>
  </si>
  <si>
    <t>天物国际</t>
    <phoneticPr fontId="1" type="noConversion"/>
  </si>
  <si>
    <t>rb1805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</si>
  <si>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</si>
  <si>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</si>
  <si>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</si>
  <si>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</si>
  <si>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</si>
  <si>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</si>
  <si>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</si>
  <si>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</si>
  <si>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</si>
  <si>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20171218-CICC-TWGJ-RB1810-VAN-P-53</t>
  </si>
  <si>
    <t>20171214-CICC-TWGJ-RB1810-VAN-P-57</t>
  </si>
  <si>
    <t>20171204-CICC-TWGJ-I1801-VAN-C-11</t>
  </si>
  <si>
    <t>20171116-CICC-TWGJ-RB1805-VAN-P-43</t>
  </si>
  <si>
    <t>i1801</t>
  </si>
  <si>
    <t>51780|.2</t>
  </si>
  <si>
    <t>51797|.2</t>
  </si>
  <si>
    <t>51830|.16</t>
  </si>
  <si>
    <t>3773|.18</t>
  </si>
  <si>
    <t>multiplier</t>
    <phoneticPr fontId="1" type="noConversion"/>
  </si>
  <si>
    <t>14460|.16</t>
  </si>
  <si>
    <t>senario14</t>
    <phoneticPr fontId="1" type="noConversion"/>
  </si>
  <si>
    <t>3840|.18</t>
  </si>
  <si>
    <t>3973|.144</t>
  </si>
  <si>
    <t>S-(VR+X)</t>
    <phoneticPr fontId="1" type="noConversion"/>
  </si>
  <si>
    <t>51730|.2</t>
  </si>
  <si>
    <t>9380|.1</t>
  </si>
  <si>
    <t>3573|.18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</si>
</sst>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$-409]d\-mmm\-yy;@"/>
    <numFmt numFmtId="183" formatCode="###,###,##0"/>
  </numFmts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color rgb="FF9C0006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21">
    <xf numFmtId="0" fontId="0" fillId="0" borderId="0" xfId="0"/>
    <xf numFmtId="0" fontId="3" fillId="2" borderId="0" xfId="1" applyFont="1" applyFill="1"/>
    <xf numFmtId="176" fontId="3" fillId="2" borderId="0" xfId="1" applyNumberFormat="1" applyFont="1" applyFill="1"/>
    <xf numFmtId="0" fontId="4" fillId="3" borderId="0" xfId="0" applyFont="1" applyFill="1"/>
    <xf numFmtId="14" fontId="3" fillId="3" borderId="0" xfId="0" applyNumberFormat="1" applyFont="1" applyFill="1"/>
    <xf numFmtId="0" fontId="3" fillId="3" borderId="0" xfId="0" applyFont="1" applyFill="1"/>
    <xf numFmtId="0" fontId="4" fillId="0" borderId="0" xfId="0" applyFont="1"/>
    <xf numFmtId="14" fontId="4" fillId="0" borderId="0" xfId="0" applyNumberFormat="1" applyFont="1"/>
    <xf numFmtId="0" fontId="3" fillId="0" borderId="0" xfId="0" applyFont="1"/>
    <xf numFmtId="0" fontId="0" fillId="0" borderId="0" xfId="0" applyAlignment="1">
      <alignment horizontal="center"/>
    </xf>
    <xf numFmtId="0" fontId="3" fillId="0" borderId="0" xfId="0" applyNumberFormat="1" applyFont="1"/>
    <xf numFmtId="14" fontId="3" fillId="0" borderId="0" xfId="0" applyNumberFormat="1" applyFont="1"/>
    <xf numFmtId="0" fontId="4" fillId="2" borderId="0" xfId="1" applyFont="1" applyFill="1" applyAlignment="1">
      <alignment horizontal="center"/>
    </xf>
    <xf numFmtId="0" fontId="4" fillId="0" borderId="0" xfId="0" applyFont="1" applyAlignment="1">
      <alignment horizontal="center"/>
    </xf>
    <xf numFmtId="183" fontId="3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4" fillId="0" borderId="0" xfId="0" applyNumberFormat="1" applyFont="1"/>
    <xf numFmtId="1" fontId="3" fillId="0" borderId="0" xfId="0" applyNumberFormat="1" applyFont="1"/>
    <xf numFmtId="1" fontId="4" fillId="3" borderId="0" xfId="0" applyNumberFormat="1" applyFont="1" applyFill="1"/>
  </cellXfs>
  <cellStyles count="2">
    <cellStyle name="常规" xfId="0" builtinId="0"/>
    <cellStyle name="常规 25" xfId="1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9" formatCode="yyyy/m/d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3" formatCode="###,###,##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fill>
        <patternFill patternType="solid">
          <fgColor indexed="64"/>
          <bgColor theme="4" tint="0.3999755851924192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51800</v>
        <stp/>
        <stp>cu1805.shf</stp>
        <stp>LastPrice</stp>
        <tr r="I7" s="6"/>
      </tp>
      <tp>
        <v>14465</v>
        <stp/>
        <stp>al1805.shf</stp>
        <stp>LastPrice</stp>
        <tr r="I8" s="6"/>
      </tp>
      <tp>
        <v>9440</v>
        <stp/>
        <stp>l1805.dce</stp>
        <stp>LastPrice</stp>
        <tr r="I10" s="6"/>
      </tp>
      <tp>
        <v>3773</v>
        <stp/>
        <stp>rb1810.shf</stp>
        <stp>LastPrice</stp>
        <tr r="I11" s="6"/>
      </tp>
      <tp>
        <v>3704</v>
        <stp/>
        <stp>ag1806.shf</stp>
        <stp>LastPrice</stp>
        <tr r="I9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3143.965760069441" createdVersion="5" refreshedVersion="5" minRefreshableVersion="3" recordCount="4">
  <cacheSource type="worksheet">
    <worksheetSource ref="B6:AM15" sheet="result_senario"/>
  </cacheSource>
  <cacheFields count="38">
    <cacheField name="ID" numFmtId="0">
      <sharedItems/>
    </cacheField>
    <cacheField name="client" numFmtId="0">
      <sharedItems count="3">
        <s v="前程石化"/>
        <s v="中天科技"/>
        <s v="亨通贸易" u="1"/>
      </sharedItems>
    </cacheField>
    <cacheField name="Volume" numFmtId="0">
      <sharedItems containsSemiMixedTypes="0" containsString="0" containsNumber="1" containsInteger="1" minValue="-125" maxValue="400" count="4">
        <n v="100"/>
        <n v="400"/>
        <n v="125"/>
        <n v="-125"/>
      </sharedItems>
    </cacheField>
    <cacheField name="K" numFmtId="0">
      <sharedItems containsSemiMixedTypes="0" containsString="0" containsNumber="1" minValue="9500.0000023699995" maxValue="50000.000004000001"/>
    </cacheField>
    <cacheField name="Expiry date" numFmtId="0">
      <sharedItems containsSemiMixedTypes="0" containsString="0" containsNumber="1" minValue="43159.625" maxValue="43200.625"/>
    </cacheField>
    <cacheField name="Prem" numFmtId="0">
      <sharedItems containsSemiMixedTypes="0" containsString="0" containsNumber="1" minValue="-400000" maxValue="9375"/>
    </cacheField>
    <cacheField name="c/p" numFmtId="0">
      <sharedItems/>
    </cacheField>
    <cacheField name="underlying" numFmtId="0">
      <sharedItems/>
    </cacheField>
    <cacheField name="product" numFmtId="0">
      <sharedItems count="3">
        <s v="cu"/>
        <s v="al"/>
        <s v="l"/>
      </sharedItems>
    </cacheField>
    <cacheField name="S" numFmtId="0">
      <sharedItems containsSemiMixedTypes="0" containsString="0" containsNumber="1" containsInteger="1" minValue="9440" maxValue="51830"/>
    </cacheField>
    <cacheField name="vol" numFmtId="0">
      <sharedItems containsSemiMixedTypes="0" containsString="0" containsNumber="1" minValue="0.1" maxValue="0.2"/>
    </cacheField>
    <cacheField name="param_senario1" numFmtId="0">
      <sharedItems/>
    </cacheField>
    <cacheField name="param_senario2" numFmtId="0">
      <sharedItems/>
    </cacheField>
    <cacheField name="param_senario3" numFmtId="0">
      <sharedItems/>
    </cacheField>
    <cacheField name="param_senario4" numFmtId="0">
      <sharedItems/>
    </cacheField>
    <cacheField name="param_senario5" numFmtId="0">
      <sharedItems/>
    </cacheField>
    <cacheField name="param_senario6" numFmtId="0">
      <sharedItems/>
    </cacheField>
    <cacheField name="param_senario7" numFmtId="0">
      <sharedItems/>
    </cacheField>
    <cacheField name="param_senario8" numFmtId="0">
      <sharedItems/>
    </cacheField>
    <cacheField name="param_senario9" numFmtId="0">
      <sharedItems count="3">
        <s v="51847|.2"/>
        <s v="14445|.2"/>
        <s v="9460|.1"/>
      </sharedItems>
    </cacheField>
    <cacheField name="param_senario10" numFmtId="0">
      <sharedItems/>
    </cacheField>
    <cacheField name="param_senario11" numFmtId="0">
      <sharedItems/>
    </cacheField>
    <cacheField name="param_senario12" numFmtId="0">
      <sharedItems/>
    </cacheField>
    <cacheField name="param_senario13" numFmtId="0">
      <sharedItems/>
    </cacheField>
    <cacheField name="senario1" numFmtId="1">
      <sharedItems containsSemiMixedTypes="0" containsString="0" containsNumber="1" minValue="-14256.385226571116" maxValue="194075.74140230421"/>
    </cacheField>
    <cacheField name="senario2" numFmtId="1">
      <sharedItems containsSemiMixedTypes="0" containsString="0" containsNumber="1" minValue="-12774.039295340879" maxValue="194075.74140230421"/>
    </cacheField>
    <cacheField name="senario3" numFmtId="1">
      <sharedItems containsSemiMixedTypes="0" containsString="0" containsNumber="1" minValue="-12774.039295340879" maxValue="194075.74140230421"/>
    </cacheField>
    <cacheField name="senario4" numFmtId="1">
      <sharedItems containsSemiMixedTypes="0" containsString="0" containsNumber="1" minValue="-12774.039295340879" maxValue="194075.74140230421"/>
    </cacheField>
    <cacheField name="senario5" numFmtId="1">
      <sharedItems containsSemiMixedTypes="0" containsString="0" containsNumber="1" minValue="-12774.039295340879" maxValue="194075.74140230421"/>
    </cacheField>
    <cacheField name="senario6" numFmtId="1">
      <sharedItems containsSemiMixedTypes="0" containsString="0" containsNumber="1" minValue="-12774.039295340879" maxValue="194075.74140230421"/>
    </cacheField>
    <cacheField name="senario7" numFmtId="1">
      <sharedItems containsSemiMixedTypes="0" containsString="0" containsNumber="1" minValue="-12774.039295340879" maxValue="194075.74140230421"/>
    </cacheField>
    <cacheField name="senario8" numFmtId="1">
      <sharedItems containsSemiMixedTypes="0" containsString="0" containsNumber="1" minValue="-8081.038474528189" maxValue="157561.61045731077"/>
    </cacheField>
    <cacheField name="senario9" numFmtId="1">
      <sharedItems containsSemiMixedTypes="0" containsString="0" containsNumber="1" minValue="-12774.039295340879" maxValue="194075.74140230421"/>
    </cacheField>
    <cacheField name="senario10" numFmtId="1">
      <sharedItems containsSemiMixedTypes="0" containsString="0" containsNumber="1" minValue="-12774.039295340879" maxValue="194075.74140230421"/>
    </cacheField>
    <cacheField name="senario11" numFmtId="1">
      <sharedItems containsSemiMixedTypes="0" containsString="0" containsNumber="1" minValue="-12774.039295340879" maxValue="194075.74140230421"/>
    </cacheField>
    <cacheField name="senario12" numFmtId="1">
      <sharedItems containsSemiMixedTypes="0" containsString="0" containsNumber="1" minValue="-12774.039295340879" maxValue="194075.74140230421"/>
    </cacheField>
    <cacheField name="senario13" numFmtId="1">
      <sharedItems containsSemiMixedTypes="0" containsString="0" containsNumber="1" minValue="-12774.039295340879" maxValue="194075.74140230421"/>
    </cacheField>
    <cacheField name="字段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s v="20180123-CICC-HTMY-CU1805-VAN-P-60"/>
    <x v="0"/>
    <x v="0"/>
    <n v="50000.000004000001"/>
    <n v="43183.625"/>
    <n v="-50000.004000000001"/>
    <s v="p"/>
    <s v="cu1805"/>
    <x v="0"/>
    <n v="51830"/>
    <n v="0.2"/>
    <s v="51830|.2"/>
    <s v="51847|.2"/>
    <s v="51847|.2"/>
    <s v="51847|.2"/>
    <s v="51847|.2"/>
    <s v="51847|.2"/>
    <s v="51847|.2"/>
    <s v="51880|.16"/>
    <x v="0"/>
    <s v="51847|.2"/>
    <s v="51847|.2"/>
    <s v="51847|.2"/>
    <s v="51847|.2"/>
    <n v="63056.582228207721"/>
    <n v="62576.89473554241"/>
    <n v="62576.89473554241"/>
    <n v="62576.89473554241"/>
    <n v="62576.89473554241"/>
    <n v="62576.89473554241"/>
    <n v="62576.89473554241"/>
    <n v="39312.288213284977"/>
    <n v="62576.89473554241"/>
    <n v="62576.89473554241"/>
    <n v="62576.89473554241"/>
    <n v="62576.89473554241"/>
    <n v="62576.89473554241"/>
  </r>
  <r>
    <s v="20180118-CICC-ZTKJ-AL1805-VAN-P-82"/>
    <x v="1"/>
    <x v="1"/>
    <n v="14500.000004"/>
    <n v="43200.625"/>
    <n v="-400000"/>
    <s v="p"/>
    <s v="al1805"/>
    <x v="1"/>
    <n v="14445"/>
    <n v="0.2"/>
    <s v="14445|.2"/>
    <s v="14445|.2"/>
    <s v="14445|.2"/>
    <s v="14445|.2"/>
    <s v="14445|.2"/>
    <s v="14445|.2"/>
    <s v="14445|.2"/>
    <s v="14445|.16"/>
    <x v="1"/>
    <s v="14445|.2"/>
    <s v="14445|.2"/>
    <s v="14445|.2"/>
    <s v="14445|.2"/>
    <n v="194075.74140230421"/>
    <n v="194075.74140230421"/>
    <n v="194075.74140230421"/>
    <n v="194075.74140230421"/>
    <n v="194075.74140230421"/>
    <n v="194075.74140230421"/>
    <n v="194075.74140230421"/>
    <n v="157561.61045731077"/>
    <n v="194075.74140230421"/>
    <n v="194075.74140230421"/>
    <n v="194075.74140230421"/>
    <n v="194075.74140230421"/>
    <n v="194075.74140230421"/>
  </r>
  <r>
    <s v="20171229-CICC-QCSH-L1805-RR-61-C"/>
    <x v="0"/>
    <x v="2"/>
    <n v="10039.999997630001"/>
    <n v="43159.625"/>
    <n v="0"/>
    <s v="c"/>
    <s v="l1805"/>
    <x v="2"/>
    <n v="9440"/>
    <n v="0.1"/>
    <s v="9440|.1"/>
    <s v="9460|.1"/>
    <s v="9460|.1"/>
    <s v="9460|.1"/>
    <s v="9460|.1"/>
    <s v="9460|.1"/>
    <s v="9460|.1"/>
    <s v="9500|.08"/>
    <x v="2"/>
    <s v="9460|.1"/>
    <s v="9460|.1"/>
    <s v="9460|.1"/>
    <s v="9460|.1"/>
    <n v="14.680895884509912"/>
    <n v="20.569143122473296"/>
    <n v="20.569143122473296"/>
    <n v="20.569143122473296"/>
    <n v="20.569143122473296"/>
    <n v="20.569143122473296"/>
    <n v="20.569143122473296"/>
    <n v="3.3473874337477834"/>
    <n v="20.569143122473296"/>
    <n v="20.569143122473296"/>
    <n v="20.569143122473296"/>
    <n v="20.569143122473296"/>
    <n v="20.569143122473296"/>
  </r>
  <r>
    <s v="20171229-CICC-QCSH-L1805-RR-61-P"/>
    <x v="0"/>
    <x v="3"/>
    <n v="9500.0000023699995"/>
    <n v="43159.625"/>
    <n v="9375"/>
    <s v="p"/>
    <s v="l1805"/>
    <x v="2"/>
    <n v="9440"/>
    <n v="0.1"/>
    <s v="9440|.1"/>
    <s v="9460|.1"/>
    <s v="9460|.1"/>
    <s v="9460|.1"/>
    <s v="9460|.1"/>
    <s v="9460|.1"/>
    <s v="9460|.1"/>
    <s v="9500|.08"/>
    <x v="2"/>
    <s v="9460|.1"/>
    <s v="9460|.1"/>
    <s v="9460|.1"/>
    <s v="9460|.1"/>
    <n v="-14256.385226571116"/>
    <n v="-12774.039295340879"/>
    <n v="-12774.039295340879"/>
    <n v="-12774.039295340879"/>
    <n v="-12774.039295340879"/>
    <n v="-12774.039295340879"/>
    <n v="-12774.039295340879"/>
    <n v="-8081.038474528189"/>
    <n v="-12774.039295340879"/>
    <n v="-12774.039295340879"/>
    <n v="-12774.039295340879"/>
    <n v="-12774.039295340879"/>
    <n v="-12774.0392953408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12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7" firstHeaderRow="0" firstDataRow="1" firstDataCol="1"/>
  <pivotFields count="38">
    <pivotField subtotalTop="0" showAll="0" defaultSubtotal="0"/>
    <pivotField subtotalTop="0" showAll="0" defaultSubtotal="0">
      <items count="3">
        <item m="1" x="2"/>
        <item x="0"/>
        <item x="1"/>
      </items>
    </pivotField>
    <pivotField subtotalTop="0" showAll="0" defaultSubtotal="0">
      <items count="4">
        <item x="3"/>
        <item x="0"/>
        <item x="2"/>
        <item x="1"/>
      </items>
    </pivotField>
    <pivotField subtotalTop="0" showAll="0" defaultSubtotal="0"/>
    <pivotField numFmtId="14" subtotalTop="0" showAll="0" defaultSubtotal="0"/>
    <pivotField numFmtId="1" subtotalTop="0" showAll="0" defaultSubtotal="0"/>
    <pivotField subtotalTop="0" showAll="0" defaultSubtotal="0"/>
    <pivotField subtotalTop="0" showAll="0" defaultSubtotal="0"/>
    <pivotField axis="axisRow" subtotalTop="0" showAll="0" maxSubtotal="1">
      <items count="4">
        <item sd="0" x="1"/>
        <item x="0"/>
        <item x="2"/>
        <item t="max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>
      <items count="3">
        <item x="1"/>
        <item x="0"/>
        <item x="2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numFmtId="1" subtotalTop="0" showAll="0" defaultSubtotal="0"/>
    <pivotField numFmtId="1" subtotalTop="0" showAll="0" defaultSubtotal="0"/>
    <pivotField numFmtId="1" subtotalTop="0" showAll="0" defaultSubtotal="0"/>
    <pivotField numFmtId="1" subtotalTop="0" showAll="0" defaultSubtotal="0"/>
    <pivotField numFmtId="1" subtotalTop="0" showAll="0" defaultSubtotal="0"/>
    <pivotField numFmtId="1" subtotalTop="0" showAll="0" defaultSubtotal="0"/>
    <pivotField numFmtId="1" subtotalTop="0" showAll="0" defaultSubtotal="0"/>
    <pivotField numFmtId="1" subtotalTop="0" showAll="0" defaultSubtotal="0"/>
    <pivotField numFmtId="1" subtotalTop="0" showAll="0" defaultSubtotal="0"/>
    <pivotField numFmtId="1" subtotalTop="0" showAll="0" defaultSubtotal="0"/>
    <pivotField numFmtId="1" subtotalTop="0" showAll="0" defaultSubtotal="0"/>
    <pivotField numFmtId="1" subtotalTop="0" showAll="0" defaultSubtotal="0"/>
    <pivotField dataField="1" numFmtId="1" subtotalTop="0" showAll="0" defaultSubtotal="0"/>
    <pivotField dataField="1" dragToRow="0" dragToCol="0" dragToPage="0" showAll="0" defaultSubtotal="0"/>
  </pivotFields>
  <rowFields count="1">
    <field x="8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最大值项:字段1" fld="37" subtotal="max" baseField="19" baseItem="0"/>
    <dataField name="求和项:senario13" fld="36" baseField="0" baseItem="0"/>
  </dataFields>
  <formats count="1">
    <format dxfId="43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4" name="tbl_senario" displayName="tbl_senario" ref="B6:AN15" totalsRowShown="0" headerRowDxfId="58" dataDxfId="59">
  <autoFilter ref="B6:AN15"/>
  <tableColumns count="39">
    <tableColumn id="1" name="ID" dataDxfId="81" totalsRowDxfId="38"/>
    <tableColumn id="2" name="client" dataDxfId="80" totalsRowDxfId="37"/>
    <tableColumn id="3" name="Volume" dataDxfId="79" totalsRowDxfId="36"/>
    <tableColumn id="4" name="K" dataDxfId="78" totalsRowDxfId="35"/>
    <tableColumn id="5" name="Expiry date" dataDxfId="42" totalsRowDxfId="34"/>
    <tableColumn id="6" name="Prem" dataDxfId="77" totalsRowDxfId="33"/>
    <tableColumn id="7" name="c/p" dataDxfId="76" totalsRowDxfId="32"/>
    <tableColumn id="8" name="underlying" dataDxfId="75" totalsRowDxfId="31"/>
    <tableColumn id="9" name="product" dataDxfId="74" totalsRowDxfId="30"/>
    <tableColumn id="38" name="multiplier" dataDxfId="41" totalsRowDxfId="29"/>
    <tableColumn id="10" name="S" dataDxfId="73" totalsRowDxfId="28"/>
    <tableColumn id="11" name="vol" dataDxfId="72" totalsRowDxfId="27"/>
    <tableColumn id="12" name="param_senario1" dataDxfId="71" totalsRowDxfId="26"/>
    <tableColumn id="13" name="param_senario2" dataDxfId="70" totalsRowDxfId="25"/>
    <tableColumn id="14" name="param_senario3" dataDxfId="69" totalsRowDxfId="24"/>
    <tableColumn id="15" name="param_senario4" dataDxfId="68" totalsRowDxfId="23"/>
    <tableColumn id="16" name="param_senario5" dataDxfId="67" totalsRowDxfId="22"/>
    <tableColumn id="17" name="param_senario6" dataDxfId="66" totalsRowDxfId="21"/>
    <tableColumn id="18" name="param_senario7" dataDxfId="65" totalsRowDxfId="20"/>
    <tableColumn id="19" name="param_senario8" dataDxfId="64" totalsRowDxfId="19"/>
    <tableColumn id="20" name="param_senario9" dataDxfId="63" totalsRowDxfId="18"/>
    <tableColumn id="21" name="param_senario10" dataDxfId="62" totalsRowDxfId="17"/>
    <tableColumn id="22" name="param_senario11" dataDxfId="61" totalsRowDxfId="16"/>
    <tableColumn id="23" name="param_senario12" dataDxfId="60" totalsRowDxfId="15"/>
    <tableColumn id="24" name="param_senario13" dataDxfId="57" totalsRowDxfId="14"/>
    <tableColumn id="25" name="senario1" dataDxfId="56" totalsRowDxfId="13">
      <calculatedColumnFormula>tbl_senario[[#This Row],[Volume]]*tbl_senario[[#This Row],[multiplier]]*GBlackScholesNGreeks("p", tbl_senario[[#This Row],[c/p]], StrSplit(tbl_senario[[#This Row],[param_senario1]],"|",0), tbl_senario[[#This Row],[K]], (tbl_senario[[#This Row],[Expiry date]]-$B$4)/365, 0.02, 0, StrSplit(tbl_senario[[#This Row],[param_senario1]],"|",1), 0.01)</calculatedColumnFormula>
    </tableColumn>
    <tableColumn id="26" name="senario2" dataDxfId="55" totalsRowDxfId="12">
      <calculatedColumnFormula>tbl_senario[[#This Row],[Volume]]*tbl_senario[[#This Row],[multiplier]]*GBlackScholesNGreeks("p", tbl_senario[[#This Row],[c/p]], StrSplit(tbl_senario[[#This Row],[param_senario2]],"|",0), tbl_senario[[#This Row],[K]], (tbl_senario[[#This Row],[Expiry date]]-$B$4)/365, 0.02, 0, StrSplit(tbl_senario[[#This Row],[param_senario2]],"|",1), 0.01)</calculatedColumnFormula>
    </tableColumn>
    <tableColumn id="27" name="senario3" dataDxfId="54" totalsRowDxfId="11">
      <calculatedColumnFormula>tbl_senario[[#This Row],[Volume]]*tbl_senario[[#This Row],[multiplier]]*GBlackScholesNGreeks("p", tbl_senario[[#This Row],[c/p]], StrSplit(tbl_senario[[#This Row],[param_senario3]],"|",0), tbl_senario[[#This Row],[K]], (tbl_senario[[#This Row],[Expiry date]]-$B$4)/365, 0.02, 0, StrSplit(tbl_senario[[#This Row],[param_senario3]],"|",1), 0.01)</calculatedColumnFormula>
    </tableColumn>
    <tableColumn id="28" name="senario4" dataDxfId="53" totalsRowDxfId="10">
      <calculatedColumnFormula>tbl_senario[[#This Row],[Volume]]*tbl_senario[[#This Row],[multiplier]]*GBlackScholesNGreeks("p", tbl_senario[[#This Row],[c/p]], StrSplit(tbl_senario[[#This Row],[param_senario4]],"|",0), tbl_senario[[#This Row],[K]], (tbl_senario[[#This Row],[Expiry date]]-$B$4)/365, 0.02, 0, StrSplit(tbl_senario[[#This Row],[param_senario4]],"|",1), 0.01)</calculatedColumnFormula>
    </tableColumn>
    <tableColumn id="29" name="senario5" dataDxfId="52" totalsRowDxfId="9">
      <calculatedColumnFormula>tbl_senario[[#This Row],[Volume]]*tbl_senario[[#This Row],[multiplier]]*GBlackScholesNGreeks("p", tbl_senario[[#This Row],[c/p]], StrSplit(tbl_senario[[#This Row],[param_senario5]],"|",0), tbl_senario[[#This Row],[K]], (tbl_senario[[#This Row],[Expiry date]]-$B$4)/365, 0.02, 0, StrSplit(tbl_senario[[#This Row],[param_senario5]],"|",1), 0.01)</calculatedColumnFormula>
    </tableColumn>
    <tableColumn id="30" name="senario6" dataDxfId="51" totalsRowDxfId="8">
      <calculatedColumnFormula>tbl_senario[[#This Row],[Volume]]*tbl_senario[[#This Row],[multiplier]]*GBlackScholesNGreeks("p", tbl_senario[[#This Row],[c/p]], StrSplit(tbl_senario[[#This Row],[param_senario6]],"|",0), tbl_senario[[#This Row],[K]], (tbl_senario[[#This Row],[Expiry date]]-$B$4)/365, 0.02, 0, StrSplit(tbl_senario[[#This Row],[param_senario6]],"|",1), 0.01)</calculatedColumnFormula>
    </tableColumn>
    <tableColumn id="31" name="senario7" dataDxfId="50" totalsRowDxfId="7">
      <calculatedColumnFormula>tbl_senario[[#This Row],[Volume]]*tbl_senario[[#This Row],[multiplier]]*GBlackScholesNGreeks("p", tbl_senario[[#This Row],[c/p]], StrSplit(tbl_senario[[#This Row],[param_senario7]],"|",0), tbl_senario[[#This Row],[K]], (tbl_senario[[#This Row],[Expiry date]]-$B$4)/365, 0.02, 0, StrSplit(tbl_senario[[#This Row],[param_senario7]],"|",1), 0.01)</calculatedColumnFormula>
    </tableColumn>
    <tableColumn id="32" name="senario8" dataDxfId="49" totalsRowDxfId="6">
      <calculatedColumnFormula>tbl_senario[[#This Row],[Volume]]*tbl_senario[[#This Row],[multiplier]]*GBlackScholesNGreeks("p", tbl_senario[[#This Row],[c/p]], StrSplit(tbl_senario[[#This Row],[param_senario8]],"|",0), tbl_senario[[#This Row],[K]], (tbl_senario[[#This Row],[Expiry date]]-$B$4)/365, 0.02, 0, StrSplit(tbl_senario[[#This Row],[param_senario8]],"|",1), 0.01)</calculatedColumnFormula>
    </tableColumn>
    <tableColumn id="33" name="senario9" dataDxfId="48" totalsRowDxfId="5">
      <calculatedColumnFormula>tbl_senario[[#This Row],[Volume]]*tbl_senario[[#This Row],[multiplier]]*GBlackScholesNGreeks("p", tbl_senario[[#This Row],[c/p]], StrSplit(tbl_senario[[#This Row],[param_senario9]],"|",0), tbl_senario[[#This Row],[K]], (tbl_senario[[#This Row],[Expiry date]]-$B$4)/365, 0.02, 0, StrSplit(tbl_senario[[#This Row],[param_senario9]],"|",1), 0.01)</calculatedColumnFormula>
    </tableColumn>
    <tableColumn id="34" name="senario10" dataDxfId="47" totalsRowDxfId="4">
      <calculatedColumnFormula>tbl_senario[[#This Row],[Volume]]*tbl_senario[[#This Row],[multiplier]]*GBlackScholesNGreeks("p", tbl_senario[[#This Row],[c/p]], StrSplit(tbl_senario[[#This Row],[param_senario10]],"|",0), tbl_senario[[#This Row],[K]], (tbl_senario[[#This Row],[Expiry date]]-$B$4)/365, 0.02, 0, StrSplit(tbl_senario[[#This Row],[param_senario10]],"|",1), 0.01)</calculatedColumnFormula>
    </tableColumn>
    <tableColumn id="35" name="senario11" dataDxfId="46" totalsRowDxfId="3">
      <calculatedColumnFormula>tbl_senario[[#This Row],[Volume]]*tbl_senario[[#This Row],[multiplier]]*GBlackScholesNGreeks("p", tbl_senario[[#This Row],[c/p]], StrSplit(tbl_senario[[#This Row],[param_senario11]],"|",0), tbl_senario[[#This Row],[K]], (tbl_senario[[#This Row],[Expiry date]]-$B$4)/365, 0.02, 0, StrSplit(tbl_senario[[#This Row],[param_senario11]],"|",1), 0.01)</calculatedColumnFormula>
    </tableColumn>
    <tableColumn id="36" name="senario12" dataDxfId="45" totalsRowDxfId="2">
      <calculatedColumnFormula>tbl_senario[[#This Row],[Volume]]*tbl_senario[[#This Row],[multiplier]]*GBlackScholesNGreeks("p", tbl_senario[[#This Row],[c/p]], StrSplit(tbl_senario[[#This Row],[param_senario12]],"|",0), tbl_senario[[#This Row],[K]], (tbl_senario[[#This Row],[Expiry date]]-$B$4)/365, 0.02, 0, StrSplit(tbl_senario[[#This Row],[param_senario12]],"|",1), 0.01)</calculatedColumnFormula>
    </tableColumn>
    <tableColumn id="37" name="senario13" dataDxfId="44" totalsRowDxfId="1">
      <calculatedColumnFormula>tbl_senario[[#This Row],[Volume]]*tbl_senario[[#This Row],[multiplier]]*GBlackScholesNGreeks("p", tbl_senario[[#This Row],[c/p]], StrSplit(tbl_senario[[#This Row],[param_senario13]],"|",0), tbl_senario[[#This Row],[K]], (tbl_senario[[#This Row],[Expiry date]]-$B$4)/365, 0.02, 0, StrSplit(tbl_senario[[#This Row],[param_senario13]],"|",1), 0.01)</calculatedColumnFormula>
    </tableColumn>
    <tableColumn id="39" name="senario14" dataDxfId="39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O24" totalsRowShown="0" headerRowDxfId="92" dataDxfId="91" headerRowCellStyle="常规 25">
  <autoFilter ref="B8:O24"/>
  <tableColumns count="14">
    <tableColumn id="1" name="ID" dataDxfId="106"/>
    <tableColumn id="2" name="Volume" dataDxfId="105"/>
    <tableColumn id="3" name="Trade Date" dataDxfId="104"/>
    <tableColumn id="4" name="Expiry date" dataDxfId="103"/>
    <tableColumn id="5" name="Settlement" dataDxfId="102"/>
    <tableColumn id="6" name="Prem date" dataDxfId="101"/>
    <tableColumn id="7" name="K" dataDxfId="100"/>
    <tableColumn id="8" name="LB" dataDxfId="99"/>
    <tableColumn id="9" name="HB" dataDxfId="98"/>
    <tableColumn id="10" name="Prem" dataDxfId="97"/>
    <tableColumn id="11" name="c/p" dataDxfId="96"/>
    <tableColumn id="12" name="opt type" dataDxfId="95"/>
    <tableColumn id="13" name="underlying" dataDxfId="94"/>
    <tableColumn id="14" name="client" dataDxfId="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I11" totalsRowShown="0" headerRowDxfId="83" dataDxfId="82">
  <autoFilter ref="B6:I11"/>
  <tableColumns count="8">
    <tableColumn id="1" name="ticker" dataDxfId="90"/>
    <tableColumn id="2" name="product" dataDxfId="89"/>
    <tableColumn id="6" name="exchange" dataDxfId="88"/>
    <tableColumn id="7" name="wind_ticker" dataDxfId="87">
      <calculatedColumnFormula>tbl_ticker[[#This Row],[ticker]]&amp;"."&amp;tbl_ticker[[#This Row],[exchange]]</calculatedColumnFormula>
    </tableColumn>
    <tableColumn id="9" name="multiplier" dataDxfId="40"/>
    <tableColumn id="3" name="vol" dataDxfId="86"/>
    <tableColumn id="4" name="carry" dataDxfId="85"/>
    <tableColumn id="5" name="price" dataDxfId="84">
      <calculatedColumnFormula>RTD("wdf.rtq",,tbl_ticker[[#This Row],[wind_ticker]],"LastPrice")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H11" totalsRowShown="0">
  <autoFilter ref="B6:H11"/>
  <tableColumns count="7">
    <tableColumn id="1" name="client"/>
    <tableColumn id="7" name="x"/>
    <tableColumn id="6" name="k"/>
    <tableColumn id="2" name="cu"/>
    <tableColumn id="3" name="ag"/>
    <tableColumn id="4" name="l"/>
    <tableColumn id="8" name="rb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D19" totalsRowShown="0">
  <autoFilter ref="B6:D19"/>
  <tableColumns count="3">
    <tableColumn id="1" name="senario#"/>
    <tableColumn id="2" name="formula1"/>
    <tableColumn id="3" name="formula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C7"/>
  <sheetViews>
    <sheetView workbookViewId="0">
      <selection activeCell="D25" sqref="D25"/>
    </sheetView>
  </sheetViews>
  <sheetFormatPr defaultRowHeight="13.5" x14ac:dyDescent="0.1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3" spans="1:3" x14ac:dyDescent="0.15">
      <c r="A3" s="15" t="s">
        <v>101</v>
      </c>
      <c r="B3" t="s">
        <v>104</v>
      </c>
      <c r="C3" t="s">
        <v>103</v>
      </c>
    </row>
    <row r="4" spans="1:3" x14ac:dyDescent="0.15">
      <c r="A4" s="16" t="s">
        <v>26</v>
      </c>
      <c r="B4" s="17">
        <v>0</v>
      </c>
      <c r="C4" s="17">
        <v>194075.74140230421</v>
      </c>
    </row>
    <row r="5" spans="1:3" x14ac:dyDescent="0.15">
      <c r="A5" s="16" t="s">
        <v>2</v>
      </c>
      <c r="B5" s="17">
        <v>0</v>
      </c>
      <c r="C5" s="17">
        <v>62576.89473554241</v>
      </c>
    </row>
    <row r="6" spans="1:3" x14ac:dyDescent="0.15">
      <c r="A6" s="16" t="s">
        <v>80</v>
      </c>
      <c r="B6" s="17">
        <v>0</v>
      </c>
      <c r="C6" s="17">
        <v>-12753.470152218406</v>
      </c>
    </row>
    <row r="7" spans="1:3" x14ac:dyDescent="0.15">
      <c r="A7" s="16" t="s">
        <v>102</v>
      </c>
      <c r="B7" s="17">
        <v>0</v>
      </c>
      <c r="C7" s="17">
        <v>243899.16598562821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3:AN15"/>
  <sheetViews>
    <sheetView tabSelected="1" topLeftCell="B1" workbookViewId="0">
      <selection activeCell="AB14" sqref="AB14"/>
    </sheetView>
  </sheetViews>
  <sheetFormatPr defaultRowHeight="12" x14ac:dyDescent="0.15"/>
  <cols>
    <col min="1" max="1" width="9" style="6"/>
    <col min="2" max="2" width="9.375" style="6" bestFit="1" customWidth="1"/>
    <col min="3" max="3" width="9" style="6"/>
    <col min="4" max="4" width="9.125" style="6" bestFit="1" customWidth="1"/>
    <col min="5" max="5" width="9.375" style="6" bestFit="1" customWidth="1"/>
    <col min="6" max="6" width="13.75" style="6" customWidth="1"/>
    <col min="7" max="7" width="9" style="6"/>
    <col min="8" max="8" width="11.625" style="6" customWidth="1"/>
    <col min="9" max="9" width="12.75" style="6" customWidth="1"/>
    <col min="10" max="11" width="9.75" style="6" customWidth="1"/>
    <col min="12" max="12" width="9.125" style="6" bestFit="1" customWidth="1"/>
    <col min="13" max="13" width="9" style="6"/>
    <col min="14" max="22" width="16.75" style="6" hidden="1" customWidth="1"/>
    <col min="23" max="26" width="17.75" style="6" hidden="1" customWidth="1"/>
    <col min="27" max="27" width="16.375" style="6" customWidth="1"/>
    <col min="28" max="39" width="14.125" style="6" bestFit="1" customWidth="1"/>
    <col min="40" max="16384" width="9" style="6"/>
  </cols>
  <sheetData>
    <row r="3" spans="2:40" x14ac:dyDescent="0.15">
      <c r="B3" s="6" t="s">
        <v>63</v>
      </c>
    </row>
    <row r="4" spans="2:40" x14ac:dyDescent="0.15">
      <c r="B4" s="7">
        <f ca="1">TODAY()</f>
        <v>43143</v>
      </c>
    </row>
    <row r="6" spans="2:40" x14ac:dyDescent="0.15">
      <c r="B6" s="6" t="s">
        <v>5</v>
      </c>
      <c r="C6" s="6" t="s">
        <v>25</v>
      </c>
      <c r="D6" s="6" t="s">
        <v>6</v>
      </c>
      <c r="E6" s="6" t="s">
        <v>29</v>
      </c>
      <c r="F6" s="6" t="s">
        <v>8</v>
      </c>
      <c r="G6" s="6" t="s">
        <v>14</v>
      </c>
      <c r="H6" s="6" t="s">
        <v>15</v>
      </c>
      <c r="I6" s="6" t="s">
        <v>17</v>
      </c>
      <c r="J6" s="6" t="s">
        <v>1</v>
      </c>
      <c r="K6" s="6" t="s">
        <v>126</v>
      </c>
      <c r="L6" s="6" t="s">
        <v>42</v>
      </c>
      <c r="M6" s="6" t="s">
        <v>0</v>
      </c>
      <c r="N6" s="6" t="s">
        <v>84</v>
      </c>
      <c r="O6" s="6" t="s">
        <v>85</v>
      </c>
      <c r="P6" s="6" t="s">
        <v>86</v>
      </c>
      <c r="Q6" s="6" t="s">
        <v>87</v>
      </c>
      <c r="R6" s="6" t="s">
        <v>88</v>
      </c>
      <c r="S6" s="6" t="s">
        <v>89</v>
      </c>
      <c r="T6" s="6" t="s">
        <v>90</v>
      </c>
      <c r="U6" s="6" t="s">
        <v>91</v>
      </c>
      <c r="V6" s="6" t="s">
        <v>92</v>
      </c>
      <c r="W6" s="6" t="s">
        <v>93</v>
      </c>
      <c r="X6" s="6" t="s">
        <v>94</v>
      </c>
      <c r="Y6" s="6" t="s">
        <v>95</v>
      </c>
      <c r="Z6" s="6" t="s">
        <v>96</v>
      </c>
      <c r="AA6" s="6" t="s">
        <v>64</v>
      </c>
      <c r="AB6" s="6" t="s">
        <v>43</v>
      </c>
      <c r="AC6" s="6" t="s">
        <v>45</v>
      </c>
      <c r="AD6" s="6" t="s">
        <v>46</v>
      </c>
      <c r="AE6" s="6" t="s">
        <v>47</v>
      </c>
      <c r="AF6" s="6" t="s">
        <v>48</v>
      </c>
      <c r="AG6" s="6" t="s">
        <v>49</v>
      </c>
      <c r="AH6" s="6" t="s">
        <v>50</v>
      </c>
      <c r="AI6" s="6" t="s">
        <v>51</v>
      </c>
      <c r="AJ6" s="6" t="s">
        <v>52</v>
      </c>
      <c r="AK6" s="6" t="s">
        <v>53</v>
      </c>
      <c r="AL6" s="6" t="s">
        <v>54</v>
      </c>
      <c r="AM6" s="6" t="s">
        <v>55</v>
      </c>
      <c r="AN6" s="8" t="s">
        <v>128</v>
      </c>
    </row>
    <row r="7" spans="2:40" ht="15" customHeight="1" x14ac:dyDescent="0.15">
      <c r="B7" s="6" t="s">
        <v>18</v>
      </c>
      <c r="C7" s="8" t="s">
        <v>30</v>
      </c>
      <c r="D7" s="6">
        <v>100</v>
      </c>
      <c r="E7" s="6">
        <v>50000.000004000001</v>
      </c>
      <c r="F7" s="7">
        <v>43183.625</v>
      </c>
      <c r="G7" s="6">
        <v>-50000.004000000001</v>
      </c>
      <c r="H7" s="6" t="s">
        <v>19</v>
      </c>
      <c r="I7" s="6" t="s">
        <v>20</v>
      </c>
      <c r="J7" s="6" t="s">
        <v>2</v>
      </c>
      <c r="K7" s="6">
        <v>10</v>
      </c>
      <c r="L7" s="6">
        <v>51780</v>
      </c>
      <c r="M7" s="6">
        <v>0.2</v>
      </c>
      <c r="N7" s="6" t="s">
        <v>122</v>
      </c>
      <c r="O7" s="6" t="s">
        <v>132</v>
      </c>
      <c r="P7" s="6" t="s">
        <v>123</v>
      </c>
      <c r="Q7" s="6" t="s">
        <v>123</v>
      </c>
      <c r="R7" s="6" t="s">
        <v>123</v>
      </c>
      <c r="S7" s="6" t="s">
        <v>123</v>
      </c>
      <c r="T7" s="6" t="s">
        <v>123</v>
      </c>
      <c r="U7" s="6" t="s">
        <v>124</v>
      </c>
      <c r="V7" s="6" t="s">
        <v>123</v>
      </c>
      <c r="W7" s="6" t="s">
        <v>123</v>
      </c>
      <c r="X7" s="6" t="s">
        <v>123</v>
      </c>
      <c r="Y7" s="6" t="s">
        <v>123</v>
      </c>
      <c r="Z7" s="6" t="s">
        <v>123</v>
      </c>
      <c r="AA7" s="18">
        <f ca="1">tbl_senario[[#This Row],[Volume]]*tbl_senario[[#This Row],[multiplier]]*GBlackScholesNGreeks("p", tbl_senario[[#This Row],[c/p]], StrSplit(tbl_senario[[#This Row],[param_senario1]],"|",0), tbl_senario[[#This Row],[K]], (tbl_senario[[#This Row],[Expiry date]]-$B$4)/365, 0.02, 0, StrSplit(tbl_senario[[#This Row],[param_senario1]],"|",1), 0.01)</f>
        <v>644838.30098330893</v>
      </c>
      <c r="AB7" s="18">
        <f ca="1">tbl_senario[[#This Row],[Volume]]*tbl_senario[[#This Row],[multiplier]]*GBlackScholesNGreeks("p", tbl_senario[[#This Row],[c/p]], StrSplit(tbl_senario[[#This Row],[param_senario2]],"|",0), tbl_senario[[#This Row],[K]], (tbl_senario[[#This Row],[Expiry date]]-$B$4)/365, 0.02, 0, StrSplit(tbl_senario[[#This Row],[param_senario2]],"|",1), 0.01)</f>
        <v>659357.33539689914</v>
      </c>
      <c r="AC7" s="18">
        <f ca="1">tbl_senario[[#This Row],[Volume]]*tbl_senario[[#This Row],[multiplier]]*GBlackScholesNGreeks("p", tbl_senario[[#This Row],[c/p]], StrSplit(tbl_senario[[#This Row],[param_senario3]],"|",0), tbl_senario[[#This Row],[K]], (tbl_senario[[#This Row],[Expiry date]]-$B$4)/365, 0.02, 0, StrSplit(tbl_senario[[#This Row],[param_senario3]],"|",1), 0.01)</f>
        <v>639958.10644379735</v>
      </c>
      <c r="AD7" s="18">
        <f ca="1">tbl_senario[[#This Row],[Volume]]*tbl_senario[[#This Row],[multiplier]]*GBlackScholesNGreeks("p", tbl_senario[[#This Row],[c/p]], StrSplit(tbl_senario[[#This Row],[param_senario4]],"|",0), tbl_senario[[#This Row],[K]], (tbl_senario[[#This Row],[Expiry date]]-$B$4)/365, 0.02, 0, StrSplit(tbl_senario[[#This Row],[param_senario4]],"|",1), 0.01)</f>
        <v>639958.10644379735</v>
      </c>
      <c r="AE7" s="18">
        <f ca="1">tbl_senario[[#This Row],[Volume]]*tbl_senario[[#This Row],[multiplier]]*GBlackScholesNGreeks("p", tbl_senario[[#This Row],[c/p]], StrSplit(tbl_senario[[#This Row],[param_senario5]],"|",0), tbl_senario[[#This Row],[K]], (tbl_senario[[#This Row],[Expiry date]]-$B$4)/365, 0.02, 0, StrSplit(tbl_senario[[#This Row],[param_senario5]],"|",1), 0.01)</f>
        <v>639958.10644379735</v>
      </c>
      <c r="AF7" s="18">
        <f ca="1">tbl_senario[[#This Row],[Volume]]*tbl_senario[[#This Row],[multiplier]]*GBlackScholesNGreeks("p", tbl_senario[[#This Row],[c/p]], StrSplit(tbl_senario[[#This Row],[param_senario6]],"|",0), tbl_senario[[#This Row],[K]], (tbl_senario[[#This Row],[Expiry date]]-$B$4)/365, 0.02, 0, StrSplit(tbl_senario[[#This Row],[param_senario6]],"|",1), 0.01)</f>
        <v>639958.10644379735</v>
      </c>
      <c r="AG7" s="18">
        <f ca="1">tbl_senario[[#This Row],[Volume]]*tbl_senario[[#This Row],[multiplier]]*GBlackScholesNGreeks("p", tbl_senario[[#This Row],[c/p]], StrSplit(tbl_senario[[#This Row],[param_senario7]],"|",0), tbl_senario[[#This Row],[K]], (tbl_senario[[#This Row],[Expiry date]]-$B$4)/365, 0.02, 0, StrSplit(tbl_senario[[#This Row],[param_senario7]],"|",1), 0.01)</f>
        <v>639958.10644379735</v>
      </c>
      <c r="AH7" s="18">
        <f ca="1">tbl_senario[[#This Row],[Volume]]*tbl_senario[[#This Row],[multiplier]]*GBlackScholesNGreeks("p", tbl_senario[[#This Row],[c/p]], StrSplit(tbl_senario[[#This Row],[param_senario8]],"|",0), tbl_senario[[#This Row],[K]], (tbl_senario[[#This Row],[Expiry date]]-$B$4)/365, 0.02, 0, StrSplit(tbl_senario[[#This Row],[param_senario8]],"|",1), 0.01)</f>
        <v>405052.44234597904</v>
      </c>
      <c r="AI7" s="18">
        <f ca="1">tbl_senario[[#This Row],[Volume]]*tbl_senario[[#This Row],[multiplier]]*GBlackScholesNGreeks("p", tbl_senario[[#This Row],[c/p]], StrSplit(tbl_senario[[#This Row],[param_senario9]],"|",0), tbl_senario[[#This Row],[K]], (tbl_senario[[#This Row],[Expiry date]]-$B$4)/365, 0.02, 0, StrSplit(tbl_senario[[#This Row],[param_senario9]],"|",1), 0.01)</f>
        <v>639958.10644379735</v>
      </c>
      <c r="AJ7" s="18">
        <f ca="1">tbl_senario[[#This Row],[Volume]]*tbl_senario[[#This Row],[multiplier]]*GBlackScholesNGreeks("p", tbl_senario[[#This Row],[c/p]], StrSplit(tbl_senario[[#This Row],[param_senario10]],"|",0), tbl_senario[[#This Row],[K]], (tbl_senario[[#This Row],[Expiry date]]-$B$4)/365, 0.02, 0, StrSplit(tbl_senario[[#This Row],[param_senario10]],"|",1), 0.01)</f>
        <v>639958.10644379735</v>
      </c>
      <c r="AK7" s="18">
        <f ca="1">tbl_senario[[#This Row],[Volume]]*tbl_senario[[#This Row],[multiplier]]*GBlackScholesNGreeks("p", tbl_senario[[#This Row],[c/p]], StrSplit(tbl_senario[[#This Row],[param_senario11]],"|",0), tbl_senario[[#This Row],[K]], (tbl_senario[[#This Row],[Expiry date]]-$B$4)/365, 0.02, 0, StrSplit(tbl_senario[[#This Row],[param_senario11]],"|",1), 0.01)</f>
        <v>639958.10644379735</v>
      </c>
      <c r="AL7" s="18">
        <f ca="1">tbl_senario[[#This Row],[Volume]]*tbl_senario[[#This Row],[multiplier]]*GBlackScholesNGreeks("p", tbl_senario[[#This Row],[c/p]], StrSplit(tbl_senario[[#This Row],[param_senario12]],"|",0), tbl_senario[[#This Row],[K]], (tbl_senario[[#This Row],[Expiry date]]-$B$4)/365, 0.02, 0, StrSplit(tbl_senario[[#This Row],[param_senario12]],"|",1), 0.01)</f>
        <v>639958.10644379735</v>
      </c>
      <c r="AM7" s="18">
        <f ca="1">tbl_senario[[#This Row],[Volume]]*tbl_senario[[#This Row],[multiplier]]*GBlackScholesNGreeks("p", tbl_senario[[#This Row],[c/p]], StrSplit(tbl_senario[[#This Row],[param_senario13]],"|",0), tbl_senario[[#This Row],[K]], (tbl_senario[[#This Row],[Expiry date]]-$B$4)/365, 0.02, 0, StrSplit(tbl_senario[[#This Row],[param_senario13]],"|",1), 0.01)</f>
        <v>639958.10644379735</v>
      </c>
      <c r="AN7" s="19"/>
    </row>
    <row r="8" spans="2:40" x14ac:dyDescent="0.15">
      <c r="B8" s="8" t="s">
        <v>21</v>
      </c>
      <c r="C8" s="8" t="s">
        <v>32</v>
      </c>
      <c r="D8" s="8">
        <v>400</v>
      </c>
      <c r="E8" s="8">
        <v>14500.000004</v>
      </c>
      <c r="F8" s="11">
        <v>43200.625</v>
      </c>
      <c r="G8" s="8">
        <v>-400000</v>
      </c>
      <c r="H8" s="8" t="s">
        <v>19</v>
      </c>
      <c r="I8" s="8" t="s">
        <v>22</v>
      </c>
      <c r="J8" s="8" t="s">
        <v>26</v>
      </c>
      <c r="K8" s="8">
        <v>10</v>
      </c>
      <c r="L8" s="8">
        <v>14460</v>
      </c>
      <c r="M8" s="8">
        <v>0.2</v>
      </c>
      <c r="N8" s="8" t="s">
        <v>97</v>
      </c>
      <c r="O8" s="8" t="s">
        <v>97</v>
      </c>
      <c r="P8" s="8" t="s">
        <v>97</v>
      </c>
      <c r="Q8" s="8" t="s">
        <v>97</v>
      </c>
      <c r="R8" s="8" t="s">
        <v>97</v>
      </c>
      <c r="S8" s="8" t="s">
        <v>97</v>
      </c>
      <c r="T8" s="8" t="s">
        <v>97</v>
      </c>
      <c r="U8" s="8" t="s">
        <v>127</v>
      </c>
      <c r="V8" s="8" t="s">
        <v>97</v>
      </c>
      <c r="W8" s="8" t="s">
        <v>97</v>
      </c>
      <c r="X8" s="8" t="s">
        <v>97</v>
      </c>
      <c r="Y8" s="8" t="s">
        <v>97</v>
      </c>
      <c r="Z8" s="8" t="s">
        <v>97</v>
      </c>
      <c r="AA8" s="19">
        <f ca="1">tbl_senario[[#This Row],[Volume]]*tbl_senario[[#This Row],[multiplier]]*GBlackScholesNGreeks("p", tbl_senario[[#This Row],[c/p]], StrSplit(tbl_senario[[#This Row],[param_senario1]],"|",0), tbl_senario[[#This Row],[K]], (tbl_senario[[#This Row],[Expiry date]]-$B$4)/365, 0.02, 0, StrSplit(tbl_senario[[#This Row],[param_senario1]],"|",1), 0.01)</f>
        <v>1910814.8333523034</v>
      </c>
      <c r="AB8" s="19">
        <f ca="1">tbl_senario[[#This Row],[Volume]]*tbl_senario[[#This Row],[multiplier]]*GBlackScholesNGreeks("p", tbl_senario[[#This Row],[c/p]], StrSplit(tbl_senario[[#This Row],[param_senario2]],"|",0), tbl_senario[[#This Row],[K]], (tbl_senario[[#This Row],[Expiry date]]-$B$4)/365, 0.02, 0, StrSplit(tbl_senario[[#This Row],[param_senario2]],"|",1), 0.01)</f>
        <v>1910814.8333523034</v>
      </c>
      <c r="AC8" s="19">
        <f ca="1">tbl_senario[[#This Row],[Volume]]*tbl_senario[[#This Row],[multiplier]]*GBlackScholesNGreeks("p", tbl_senario[[#This Row],[c/p]], StrSplit(tbl_senario[[#This Row],[param_senario3]],"|",0), tbl_senario[[#This Row],[K]], (tbl_senario[[#This Row],[Expiry date]]-$B$4)/365, 0.02, 0, StrSplit(tbl_senario[[#This Row],[param_senario3]],"|",1), 0.01)</f>
        <v>1910814.8333523034</v>
      </c>
      <c r="AD8" s="19">
        <f ca="1">tbl_senario[[#This Row],[Volume]]*tbl_senario[[#This Row],[multiplier]]*GBlackScholesNGreeks("p", tbl_senario[[#This Row],[c/p]], StrSplit(tbl_senario[[#This Row],[param_senario4]],"|",0), tbl_senario[[#This Row],[K]], (tbl_senario[[#This Row],[Expiry date]]-$B$4)/365, 0.02, 0, StrSplit(tbl_senario[[#This Row],[param_senario4]],"|",1), 0.01)</f>
        <v>1910814.8333523034</v>
      </c>
      <c r="AE8" s="19">
        <f ca="1">tbl_senario[[#This Row],[Volume]]*tbl_senario[[#This Row],[multiplier]]*GBlackScholesNGreeks("p", tbl_senario[[#This Row],[c/p]], StrSplit(tbl_senario[[#This Row],[param_senario5]],"|",0), tbl_senario[[#This Row],[K]], (tbl_senario[[#This Row],[Expiry date]]-$B$4)/365, 0.02, 0, StrSplit(tbl_senario[[#This Row],[param_senario5]],"|",1), 0.01)</f>
        <v>1910814.8333523034</v>
      </c>
      <c r="AF8" s="19">
        <f ca="1">tbl_senario[[#This Row],[Volume]]*tbl_senario[[#This Row],[multiplier]]*GBlackScholesNGreeks("p", tbl_senario[[#This Row],[c/p]], StrSplit(tbl_senario[[#This Row],[param_senario6]],"|",0), tbl_senario[[#This Row],[K]], (tbl_senario[[#This Row],[Expiry date]]-$B$4)/365, 0.02, 0, StrSplit(tbl_senario[[#This Row],[param_senario6]],"|",1), 0.01)</f>
        <v>1910814.8333523034</v>
      </c>
      <c r="AG8" s="19">
        <f ca="1">tbl_senario[[#This Row],[Volume]]*tbl_senario[[#This Row],[multiplier]]*GBlackScholesNGreeks("p", tbl_senario[[#This Row],[c/p]], StrSplit(tbl_senario[[#This Row],[param_senario7]],"|",0), tbl_senario[[#This Row],[K]], (tbl_senario[[#This Row],[Expiry date]]-$B$4)/365, 0.02, 0, StrSplit(tbl_senario[[#This Row],[param_senario7]],"|",1), 0.01)</f>
        <v>1910814.8333523034</v>
      </c>
      <c r="AH8" s="19">
        <f ca="1">tbl_senario[[#This Row],[Volume]]*tbl_senario[[#This Row],[multiplier]]*GBlackScholesNGreeks("p", tbl_senario[[#This Row],[c/p]], StrSplit(tbl_senario[[#This Row],[param_senario8]],"|",0), tbl_senario[[#This Row],[K]], (tbl_senario[[#This Row],[Expiry date]]-$B$4)/365, 0.02, 0, StrSplit(tbl_senario[[#This Row],[param_senario8]],"|",1), 0.01)</f>
        <v>1545237.6304764689</v>
      </c>
      <c r="AI8" s="19">
        <f ca="1">tbl_senario[[#This Row],[Volume]]*tbl_senario[[#This Row],[multiplier]]*GBlackScholesNGreeks("p", tbl_senario[[#This Row],[c/p]], StrSplit(tbl_senario[[#This Row],[param_senario9]],"|",0), tbl_senario[[#This Row],[K]], (tbl_senario[[#This Row],[Expiry date]]-$B$4)/365, 0.02, 0, StrSplit(tbl_senario[[#This Row],[param_senario9]],"|",1), 0.01)</f>
        <v>1910814.8333523034</v>
      </c>
      <c r="AJ8" s="19">
        <f ca="1">tbl_senario[[#This Row],[Volume]]*tbl_senario[[#This Row],[multiplier]]*GBlackScholesNGreeks("p", tbl_senario[[#This Row],[c/p]], StrSplit(tbl_senario[[#This Row],[param_senario10]],"|",0), tbl_senario[[#This Row],[K]], (tbl_senario[[#This Row],[Expiry date]]-$B$4)/365, 0.02, 0, StrSplit(tbl_senario[[#This Row],[param_senario10]],"|",1), 0.01)</f>
        <v>1910814.8333523034</v>
      </c>
      <c r="AK8" s="19">
        <f ca="1">tbl_senario[[#This Row],[Volume]]*tbl_senario[[#This Row],[multiplier]]*GBlackScholesNGreeks("p", tbl_senario[[#This Row],[c/p]], StrSplit(tbl_senario[[#This Row],[param_senario11]],"|",0), tbl_senario[[#This Row],[K]], (tbl_senario[[#This Row],[Expiry date]]-$B$4)/365, 0.02, 0, StrSplit(tbl_senario[[#This Row],[param_senario11]],"|",1), 0.01)</f>
        <v>1910814.8333523034</v>
      </c>
      <c r="AL8" s="19">
        <f ca="1">tbl_senario[[#This Row],[Volume]]*tbl_senario[[#This Row],[multiplier]]*GBlackScholesNGreeks("p", tbl_senario[[#This Row],[c/p]], StrSplit(tbl_senario[[#This Row],[param_senario12]],"|",0), tbl_senario[[#This Row],[K]], (tbl_senario[[#This Row],[Expiry date]]-$B$4)/365, 0.02, 0, StrSplit(tbl_senario[[#This Row],[param_senario12]],"|",1), 0.01)</f>
        <v>1910814.8333523034</v>
      </c>
      <c r="AM8" s="19">
        <f ca="1">tbl_senario[[#This Row],[Volume]]*tbl_senario[[#This Row],[multiplier]]*GBlackScholesNGreeks("p", tbl_senario[[#This Row],[c/p]], StrSplit(tbl_senario[[#This Row],[param_senario13]],"|",0), tbl_senario[[#This Row],[K]], (tbl_senario[[#This Row],[Expiry date]]-$B$4)/365, 0.02, 0, StrSplit(tbl_senario[[#This Row],[param_senario13]],"|",1), 0.01)</f>
        <v>1910814.8333523034</v>
      </c>
      <c r="AN8" s="19"/>
    </row>
    <row r="9" spans="2:40" x14ac:dyDescent="0.15">
      <c r="B9" s="8" t="s">
        <v>69</v>
      </c>
      <c r="C9" s="8" t="s">
        <v>78</v>
      </c>
      <c r="D9" s="8">
        <v>125</v>
      </c>
      <c r="E9" s="8">
        <v>10039.999997630001</v>
      </c>
      <c r="F9" s="11">
        <v>43159.625</v>
      </c>
      <c r="G9" s="8">
        <v>0</v>
      </c>
      <c r="H9" s="8" t="s">
        <v>73</v>
      </c>
      <c r="I9" s="8" t="s">
        <v>74</v>
      </c>
      <c r="J9" s="8" t="s">
        <v>80</v>
      </c>
      <c r="K9" s="8">
        <v>5</v>
      </c>
      <c r="L9" s="8">
        <v>9440</v>
      </c>
      <c r="M9" s="8">
        <v>0.1</v>
      </c>
      <c r="N9" s="8" t="s">
        <v>98</v>
      </c>
      <c r="O9" s="8" t="s">
        <v>133</v>
      </c>
      <c r="P9" s="8" t="s">
        <v>99</v>
      </c>
      <c r="Q9" s="8" t="s">
        <v>99</v>
      </c>
      <c r="R9" s="8" t="s">
        <v>99</v>
      </c>
      <c r="S9" s="8" t="s">
        <v>99</v>
      </c>
      <c r="T9" s="8" t="s">
        <v>99</v>
      </c>
      <c r="U9" s="8" t="s">
        <v>100</v>
      </c>
      <c r="V9" s="8" t="s">
        <v>99</v>
      </c>
      <c r="W9" s="8" t="s">
        <v>99</v>
      </c>
      <c r="X9" s="8" t="s">
        <v>99</v>
      </c>
      <c r="Y9" s="8" t="s">
        <v>99</v>
      </c>
      <c r="Z9" s="8" t="s">
        <v>99</v>
      </c>
      <c r="AA9" s="19">
        <f ca="1">tbl_senario[[#This Row],[Volume]]*tbl_senario[[#This Row],[multiplier]]*GBlackScholesNGreeks("p", tbl_senario[[#This Row],[c/p]], StrSplit(tbl_senario[[#This Row],[param_senario1]],"|",0), tbl_senario[[#This Row],[K]], (tbl_senario[[#This Row],[Expiry date]]-$B$4)/365, 0.02, 0, StrSplit(tbl_senario[[#This Row],[param_senario1]],"|",1), 0.01)</f>
        <v>73.404479422549556</v>
      </c>
      <c r="AB9" s="19">
        <f ca="1">tbl_senario[[#This Row],[Volume]]*tbl_senario[[#This Row],[multiplier]]*GBlackScholesNGreeks("p", tbl_senario[[#This Row],[c/p]], StrSplit(tbl_senario[[#This Row],[param_senario2]],"|",0), tbl_senario[[#This Row],[K]], (tbl_senario[[#This Row],[Expiry date]]-$B$4)/365, 0.02, 0, StrSplit(tbl_senario[[#This Row],[param_senario2]],"|",1), 0.01)</f>
        <v>25.222726686953148</v>
      </c>
      <c r="AC9" s="19">
        <f ca="1">tbl_senario[[#This Row],[Volume]]*tbl_senario[[#This Row],[multiplier]]*GBlackScholesNGreeks("p", tbl_senario[[#This Row],[c/p]], StrSplit(tbl_senario[[#This Row],[param_senario3]],"|",0), tbl_senario[[#This Row],[K]], (tbl_senario[[#This Row],[Expiry date]]-$B$4)/365, 0.02, 0, StrSplit(tbl_senario[[#This Row],[param_senario3]],"|",1), 0.01)</f>
        <v>102.84571561236649</v>
      </c>
      <c r="AD9" s="19">
        <f ca="1">tbl_senario[[#This Row],[Volume]]*tbl_senario[[#This Row],[multiplier]]*GBlackScholesNGreeks("p", tbl_senario[[#This Row],[c/p]], StrSplit(tbl_senario[[#This Row],[param_senario4]],"|",0), tbl_senario[[#This Row],[K]], (tbl_senario[[#This Row],[Expiry date]]-$B$4)/365, 0.02, 0, StrSplit(tbl_senario[[#This Row],[param_senario4]],"|",1), 0.01)</f>
        <v>102.84571561236649</v>
      </c>
      <c r="AE9" s="19">
        <f ca="1">tbl_senario[[#This Row],[Volume]]*tbl_senario[[#This Row],[multiplier]]*GBlackScholesNGreeks("p", tbl_senario[[#This Row],[c/p]], StrSplit(tbl_senario[[#This Row],[param_senario5]],"|",0), tbl_senario[[#This Row],[K]], (tbl_senario[[#This Row],[Expiry date]]-$B$4)/365, 0.02, 0, StrSplit(tbl_senario[[#This Row],[param_senario5]],"|",1), 0.01)</f>
        <v>102.84571561236649</v>
      </c>
      <c r="AF9" s="19">
        <f ca="1">tbl_senario[[#This Row],[Volume]]*tbl_senario[[#This Row],[multiplier]]*GBlackScholesNGreeks("p", tbl_senario[[#This Row],[c/p]], StrSplit(tbl_senario[[#This Row],[param_senario6]],"|",0), tbl_senario[[#This Row],[K]], (tbl_senario[[#This Row],[Expiry date]]-$B$4)/365, 0.02, 0, StrSplit(tbl_senario[[#This Row],[param_senario6]],"|",1), 0.01)</f>
        <v>102.84571561236649</v>
      </c>
      <c r="AG9" s="19">
        <f ca="1">tbl_senario[[#This Row],[Volume]]*tbl_senario[[#This Row],[multiplier]]*GBlackScholesNGreeks("p", tbl_senario[[#This Row],[c/p]], StrSplit(tbl_senario[[#This Row],[param_senario7]],"|",0), tbl_senario[[#This Row],[K]], (tbl_senario[[#This Row],[Expiry date]]-$B$4)/365, 0.02, 0, StrSplit(tbl_senario[[#This Row],[param_senario7]],"|",1), 0.01)</f>
        <v>102.84571561236649</v>
      </c>
      <c r="AH9" s="19">
        <f ca="1">tbl_senario[[#This Row],[Volume]]*tbl_senario[[#This Row],[multiplier]]*GBlackScholesNGreeks("p", tbl_senario[[#This Row],[c/p]], StrSplit(tbl_senario[[#This Row],[param_senario8]],"|",0), tbl_senario[[#This Row],[K]], (tbl_senario[[#This Row],[Expiry date]]-$B$4)/365, 0.02, 0, StrSplit(tbl_senario[[#This Row],[param_senario8]],"|",1), 0.01)</f>
        <v>16.736937168738915</v>
      </c>
      <c r="AI9" s="19">
        <f ca="1">tbl_senario[[#This Row],[Volume]]*tbl_senario[[#This Row],[multiplier]]*GBlackScholesNGreeks("p", tbl_senario[[#This Row],[c/p]], StrSplit(tbl_senario[[#This Row],[param_senario9]],"|",0), tbl_senario[[#This Row],[K]], (tbl_senario[[#This Row],[Expiry date]]-$B$4)/365, 0.02, 0, StrSplit(tbl_senario[[#This Row],[param_senario9]],"|",1), 0.01)</f>
        <v>102.84571561236649</v>
      </c>
      <c r="AJ9" s="19">
        <f ca="1">tbl_senario[[#This Row],[Volume]]*tbl_senario[[#This Row],[multiplier]]*GBlackScholesNGreeks("p", tbl_senario[[#This Row],[c/p]], StrSplit(tbl_senario[[#This Row],[param_senario10]],"|",0), tbl_senario[[#This Row],[K]], (tbl_senario[[#This Row],[Expiry date]]-$B$4)/365, 0.02, 0, StrSplit(tbl_senario[[#This Row],[param_senario10]],"|",1), 0.01)</f>
        <v>102.84571561236649</v>
      </c>
      <c r="AK9" s="19">
        <f ca="1">tbl_senario[[#This Row],[Volume]]*tbl_senario[[#This Row],[multiplier]]*GBlackScholesNGreeks("p", tbl_senario[[#This Row],[c/p]], StrSplit(tbl_senario[[#This Row],[param_senario11]],"|",0), tbl_senario[[#This Row],[K]], (tbl_senario[[#This Row],[Expiry date]]-$B$4)/365, 0.02, 0, StrSplit(tbl_senario[[#This Row],[param_senario11]],"|",1), 0.01)</f>
        <v>102.84571561236649</v>
      </c>
      <c r="AL9" s="19">
        <f ca="1">tbl_senario[[#This Row],[Volume]]*tbl_senario[[#This Row],[multiplier]]*GBlackScholesNGreeks("p", tbl_senario[[#This Row],[c/p]], StrSplit(tbl_senario[[#This Row],[param_senario12]],"|",0), tbl_senario[[#This Row],[K]], (tbl_senario[[#This Row],[Expiry date]]-$B$4)/365, 0.02, 0, StrSplit(tbl_senario[[#This Row],[param_senario12]],"|",1), 0.01)</f>
        <v>102.84571561236649</v>
      </c>
      <c r="AM9" s="19">
        <f ca="1">tbl_senario[[#This Row],[Volume]]*tbl_senario[[#This Row],[multiplier]]*GBlackScholesNGreeks("p", tbl_senario[[#This Row],[c/p]], StrSplit(tbl_senario[[#This Row],[param_senario13]],"|",0), tbl_senario[[#This Row],[K]], (tbl_senario[[#This Row],[Expiry date]]-$B$4)/365, 0.02, 0, StrSplit(tbl_senario[[#This Row],[param_senario13]],"|",1), 0.01)</f>
        <v>102.84571561236649</v>
      </c>
      <c r="AN9" s="19"/>
    </row>
    <row r="10" spans="2:40" x14ac:dyDescent="0.15">
      <c r="B10" s="8" t="s">
        <v>70</v>
      </c>
      <c r="C10" s="8" t="s">
        <v>78</v>
      </c>
      <c r="D10" s="8">
        <v>-125</v>
      </c>
      <c r="E10" s="8">
        <v>9500.0000023699995</v>
      </c>
      <c r="F10" s="11">
        <v>43159.625</v>
      </c>
      <c r="G10" s="8">
        <v>9375</v>
      </c>
      <c r="H10" s="8" t="s">
        <v>19</v>
      </c>
      <c r="I10" s="8" t="s">
        <v>74</v>
      </c>
      <c r="J10" s="8" t="s">
        <v>80</v>
      </c>
      <c r="K10" s="8">
        <v>5</v>
      </c>
      <c r="L10" s="8">
        <v>9440</v>
      </c>
      <c r="M10" s="8">
        <v>0.1</v>
      </c>
      <c r="N10" s="8" t="s">
        <v>98</v>
      </c>
      <c r="O10" s="8" t="s">
        <v>133</v>
      </c>
      <c r="P10" s="8" t="s">
        <v>99</v>
      </c>
      <c r="Q10" s="8" t="s">
        <v>99</v>
      </c>
      <c r="R10" s="8" t="s">
        <v>99</v>
      </c>
      <c r="S10" s="8" t="s">
        <v>99</v>
      </c>
      <c r="T10" s="8" t="s">
        <v>99</v>
      </c>
      <c r="U10" s="8" t="s">
        <v>100</v>
      </c>
      <c r="V10" s="8" t="s">
        <v>99</v>
      </c>
      <c r="W10" s="8" t="s">
        <v>99</v>
      </c>
      <c r="X10" s="8" t="s">
        <v>99</v>
      </c>
      <c r="Y10" s="8" t="s">
        <v>99</v>
      </c>
      <c r="Z10" s="8" t="s">
        <v>99</v>
      </c>
      <c r="AA10" s="19">
        <f ca="1">tbl_senario[[#This Row],[Volume]]*tbl_senario[[#This Row],[multiplier]]*GBlackScholesNGreeks("p", tbl_senario[[#This Row],[c/p]], StrSplit(tbl_senario[[#This Row],[param_senario1]],"|",0), tbl_senario[[#This Row],[K]], (tbl_senario[[#This Row],[Expiry date]]-$B$4)/365, 0.02, 0, StrSplit(tbl_senario[[#This Row],[param_senario1]],"|",1), 0.01)</f>
        <v>-71281.926132855573</v>
      </c>
      <c r="AB10" s="19">
        <f ca="1">tbl_senario[[#This Row],[Volume]]*tbl_senario[[#This Row],[multiplier]]*GBlackScholesNGreeks("p", tbl_senario[[#This Row],[c/p]], StrSplit(tbl_senario[[#This Row],[param_senario2]],"|",0), tbl_senario[[#This Row],[K]], (tbl_senario[[#This Row],[Expiry date]]-$B$4)/365, 0.02, 0, StrSplit(tbl_senario[[#This Row],[param_senario2]],"|",1), 0.01)</f>
        <v>-96301.126731965196</v>
      </c>
      <c r="AC10" s="19">
        <f ca="1">tbl_senario[[#This Row],[Volume]]*tbl_senario[[#This Row],[multiplier]]*GBlackScholesNGreeks("p", tbl_senario[[#This Row],[c/p]], StrSplit(tbl_senario[[#This Row],[param_senario3]],"|",0), tbl_senario[[#This Row],[K]], (tbl_senario[[#This Row],[Expiry date]]-$B$4)/365, 0.02, 0, StrSplit(tbl_senario[[#This Row],[param_senario3]],"|",1), 0.01)</f>
        <v>-63870.196476704397</v>
      </c>
      <c r="AD10" s="19">
        <f ca="1">tbl_senario[[#This Row],[Volume]]*tbl_senario[[#This Row],[multiplier]]*GBlackScholesNGreeks("p", tbl_senario[[#This Row],[c/p]], StrSplit(tbl_senario[[#This Row],[param_senario4]],"|",0), tbl_senario[[#This Row],[K]], (tbl_senario[[#This Row],[Expiry date]]-$B$4)/365, 0.02, 0, StrSplit(tbl_senario[[#This Row],[param_senario4]],"|",1), 0.01)</f>
        <v>-63870.196476704397</v>
      </c>
      <c r="AE10" s="19">
        <f ca="1">tbl_senario[[#This Row],[Volume]]*tbl_senario[[#This Row],[multiplier]]*GBlackScholesNGreeks("p", tbl_senario[[#This Row],[c/p]], StrSplit(tbl_senario[[#This Row],[param_senario5]],"|",0), tbl_senario[[#This Row],[K]], (tbl_senario[[#This Row],[Expiry date]]-$B$4)/365, 0.02, 0, StrSplit(tbl_senario[[#This Row],[param_senario5]],"|",1), 0.01)</f>
        <v>-63870.196476704397</v>
      </c>
      <c r="AF10" s="19">
        <f ca="1">tbl_senario[[#This Row],[Volume]]*tbl_senario[[#This Row],[multiplier]]*GBlackScholesNGreeks("p", tbl_senario[[#This Row],[c/p]], StrSplit(tbl_senario[[#This Row],[param_senario6]],"|",0), tbl_senario[[#This Row],[K]], (tbl_senario[[#This Row],[Expiry date]]-$B$4)/365, 0.02, 0, StrSplit(tbl_senario[[#This Row],[param_senario6]],"|",1), 0.01)</f>
        <v>-63870.196476704397</v>
      </c>
      <c r="AG10" s="19">
        <f ca="1">tbl_senario[[#This Row],[Volume]]*tbl_senario[[#This Row],[multiplier]]*GBlackScholesNGreeks("p", tbl_senario[[#This Row],[c/p]], StrSplit(tbl_senario[[#This Row],[param_senario7]],"|",0), tbl_senario[[#This Row],[K]], (tbl_senario[[#This Row],[Expiry date]]-$B$4)/365, 0.02, 0, StrSplit(tbl_senario[[#This Row],[param_senario7]],"|",1), 0.01)</f>
        <v>-63870.196476704397</v>
      </c>
      <c r="AH10" s="19">
        <f ca="1">tbl_senario[[#This Row],[Volume]]*tbl_senario[[#This Row],[multiplier]]*GBlackScholesNGreeks("p", tbl_senario[[#This Row],[c/p]], StrSplit(tbl_senario[[#This Row],[param_senario8]],"|",0), tbl_senario[[#This Row],[K]], (tbl_senario[[#This Row],[Expiry date]]-$B$4)/365, 0.02, 0, StrSplit(tbl_senario[[#This Row],[param_senario8]],"|",1), 0.01)</f>
        <v>-40405.192372640944</v>
      </c>
      <c r="AI10" s="19">
        <f ca="1">tbl_senario[[#This Row],[Volume]]*tbl_senario[[#This Row],[multiplier]]*GBlackScholesNGreeks("p", tbl_senario[[#This Row],[c/p]], StrSplit(tbl_senario[[#This Row],[param_senario9]],"|",0), tbl_senario[[#This Row],[K]], (tbl_senario[[#This Row],[Expiry date]]-$B$4)/365, 0.02, 0, StrSplit(tbl_senario[[#This Row],[param_senario9]],"|",1), 0.01)</f>
        <v>-63870.196476704397</v>
      </c>
      <c r="AJ10" s="19">
        <f ca="1">tbl_senario[[#This Row],[Volume]]*tbl_senario[[#This Row],[multiplier]]*GBlackScholesNGreeks("p", tbl_senario[[#This Row],[c/p]], StrSplit(tbl_senario[[#This Row],[param_senario10]],"|",0), tbl_senario[[#This Row],[K]], (tbl_senario[[#This Row],[Expiry date]]-$B$4)/365, 0.02, 0, StrSplit(tbl_senario[[#This Row],[param_senario10]],"|",1), 0.01)</f>
        <v>-63870.196476704397</v>
      </c>
      <c r="AK10" s="19">
        <f ca="1">tbl_senario[[#This Row],[Volume]]*tbl_senario[[#This Row],[multiplier]]*GBlackScholesNGreeks("p", tbl_senario[[#This Row],[c/p]], StrSplit(tbl_senario[[#This Row],[param_senario11]],"|",0), tbl_senario[[#This Row],[K]], (tbl_senario[[#This Row],[Expiry date]]-$B$4)/365, 0.02, 0, StrSplit(tbl_senario[[#This Row],[param_senario11]],"|",1), 0.01)</f>
        <v>-63870.196476704397</v>
      </c>
      <c r="AL10" s="19">
        <f ca="1">tbl_senario[[#This Row],[Volume]]*tbl_senario[[#This Row],[multiplier]]*GBlackScholesNGreeks("p", tbl_senario[[#This Row],[c/p]], StrSplit(tbl_senario[[#This Row],[param_senario12]],"|",0), tbl_senario[[#This Row],[K]], (tbl_senario[[#This Row],[Expiry date]]-$B$4)/365, 0.02, 0, StrSplit(tbl_senario[[#This Row],[param_senario12]],"|",1), 0.01)</f>
        <v>-63870.196476704397</v>
      </c>
      <c r="AM10" s="19">
        <f ca="1">tbl_senario[[#This Row],[Volume]]*tbl_senario[[#This Row],[multiplier]]*GBlackScholesNGreeks("p", tbl_senario[[#This Row],[c/p]], StrSplit(tbl_senario[[#This Row],[param_senario13]],"|",0), tbl_senario[[#This Row],[K]], (tbl_senario[[#This Row],[Expiry date]]-$B$4)/365, 0.02, 0, StrSplit(tbl_senario[[#This Row],[param_senario13]],"|",1), 0.01)</f>
        <v>-63870.196476704397</v>
      </c>
      <c r="AN10" s="19"/>
    </row>
    <row r="11" spans="2:40" x14ac:dyDescent="0.15">
      <c r="B11" s="8" t="s">
        <v>112</v>
      </c>
      <c r="C11" s="8" t="s">
        <v>105</v>
      </c>
      <c r="D11" s="8">
        <v>500</v>
      </c>
      <c r="E11" s="8">
        <v>3699.9999992799999</v>
      </c>
      <c r="F11" s="11">
        <v>43219.625</v>
      </c>
      <c r="G11" s="8">
        <v>-275000.00800000003</v>
      </c>
      <c r="H11" s="8" t="s">
        <v>19</v>
      </c>
      <c r="I11" s="8" t="s">
        <v>110</v>
      </c>
      <c r="J11" s="8" t="s">
        <v>108</v>
      </c>
      <c r="K11" s="8">
        <v>10</v>
      </c>
      <c r="L11" s="8">
        <v>3773</v>
      </c>
      <c r="M11" s="8">
        <v>0.18</v>
      </c>
      <c r="N11" s="8" t="s">
        <v>125</v>
      </c>
      <c r="O11" s="8" t="s">
        <v>134</v>
      </c>
      <c r="P11" s="8" t="s">
        <v>129</v>
      </c>
      <c r="Q11" s="8" t="s">
        <v>129</v>
      </c>
      <c r="R11" s="8" t="s">
        <v>129</v>
      </c>
      <c r="S11" s="8" t="s">
        <v>129</v>
      </c>
      <c r="T11" s="8" t="s">
        <v>129</v>
      </c>
      <c r="U11" s="8" t="s">
        <v>130</v>
      </c>
      <c r="V11" s="8" t="s">
        <v>129</v>
      </c>
      <c r="W11" s="8" t="s">
        <v>129</v>
      </c>
      <c r="X11" s="8" t="s">
        <v>129</v>
      </c>
      <c r="Y11" s="8" t="s">
        <v>129</v>
      </c>
      <c r="Z11" s="8" t="s">
        <v>129</v>
      </c>
      <c r="AA11" s="19">
        <f ca="1">tbl_senario[[#This Row],[Volume]]*tbl_senario[[#This Row],[multiplier]]*GBlackScholesNGreeks("p", tbl_senario[[#This Row],[c/p]], StrSplit(tbl_senario[[#This Row],[param_senario1]],"|",0), tbl_senario[[#This Row],[K]], (tbl_senario[[#This Row],[Expiry date]]-$B$4)/365, 0.02, 0, StrSplit(tbl_senario[[#This Row],[param_senario1]],"|",1), 0.01)</f>
        <v>447287.05890166835</v>
      </c>
      <c r="AB11" s="19">
        <f ca="1">tbl_senario[[#This Row],[Volume]]*tbl_senario[[#This Row],[multiplier]]*GBlackScholesNGreeks("p", tbl_senario[[#This Row],[c/p]], StrSplit(tbl_senario[[#This Row],[param_senario2]],"|",0), tbl_senario[[#This Row],[K]], (tbl_senario[[#This Row],[Expiry date]]-$B$4)/365, 0.02, 0, StrSplit(tbl_senario[[#This Row],[param_senario2]],"|",1), 0.01)</f>
        <v>964320.89889411221</v>
      </c>
      <c r="AC11" s="19">
        <f ca="1">tbl_senario[[#This Row],[Volume]]*tbl_senario[[#This Row],[multiplier]]*GBlackScholesNGreeks("p", tbl_senario[[#This Row],[c/p]], StrSplit(tbl_senario[[#This Row],[param_senario3]],"|",0), tbl_senario[[#This Row],[K]], (tbl_senario[[#This Row],[Expiry date]]-$B$4)/365, 0.02, 0, StrSplit(tbl_senario[[#This Row],[param_senario3]],"|",1), 0.01)</f>
        <v>330418.36928304972</v>
      </c>
      <c r="AD11" s="19">
        <f ca="1">tbl_senario[[#This Row],[Volume]]*tbl_senario[[#This Row],[multiplier]]*GBlackScholesNGreeks("p", tbl_senario[[#This Row],[c/p]], StrSplit(tbl_senario[[#This Row],[param_senario4]],"|",0), tbl_senario[[#This Row],[K]], (tbl_senario[[#This Row],[Expiry date]]-$B$4)/365, 0.02, 0, StrSplit(tbl_senario[[#This Row],[param_senario4]],"|",1), 0.01)</f>
        <v>330418.36928304972</v>
      </c>
      <c r="AE11" s="19">
        <f ca="1">tbl_senario[[#This Row],[Volume]]*tbl_senario[[#This Row],[multiplier]]*GBlackScholesNGreeks("p", tbl_senario[[#This Row],[c/p]], StrSplit(tbl_senario[[#This Row],[param_senario5]],"|",0), tbl_senario[[#This Row],[K]], (tbl_senario[[#This Row],[Expiry date]]-$B$4)/365, 0.02, 0, StrSplit(tbl_senario[[#This Row],[param_senario5]],"|",1), 0.01)</f>
        <v>330418.36928304972</v>
      </c>
      <c r="AF11" s="19">
        <f ca="1">tbl_senario[[#This Row],[Volume]]*tbl_senario[[#This Row],[multiplier]]*GBlackScholesNGreeks("p", tbl_senario[[#This Row],[c/p]], StrSplit(tbl_senario[[#This Row],[param_senario6]],"|",0), tbl_senario[[#This Row],[K]], (tbl_senario[[#This Row],[Expiry date]]-$B$4)/365, 0.02, 0, StrSplit(tbl_senario[[#This Row],[param_senario6]],"|",1), 0.01)</f>
        <v>330418.36928304972</v>
      </c>
      <c r="AG11" s="19">
        <f ca="1">tbl_senario[[#This Row],[Volume]]*tbl_senario[[#This Row],[multiplier]]*GBlackScholesNGreeks("p", tbl_senario[[#This Row],[c/p]], StrSplit(tbl_senario[[#This Row],[param_senario7]],"|",0), tbl_senario[[#This Row],[K]], (tbl_senario[[#This Row],[Expiry date]]-$B$4)/365, 0.02, 0, StrSplit(tbl_senario[[#This Row],[param_senario7]],"|",1), 0.01)</f>
        <v>330418.36928304972</v>
      </c>
      <c r="AH11" s="19">
        <f ca="1">tbl_senario[[#This Row],[Volume]]*tbl_senario[[#This Row],[multiplier]]*GBlackScholesNGreeks("p", tbl_senario[[#This Row],[c/p]], StrSplit(tbl_senario[[#This Row],[param_senario8]],"|",0), tbl_senario[[#This Row],[K]], (tbl_senario[[#This Row],[Expiry date]]-$B$4)/365, 0.02, 0, StrSplit(tbl_senario[[#This Row],[param_senario8]],"|",1), 0.01)</f>
        <v>90050.931155813785</v>
      </c>
      <c r="AI11" s="19">
        <f ca="1">tbl_senario[[#This Row],[Volume]]*tbl_senario[[#This Row],[multiplier]]*GBlackScholesNGreeks("p", tbl_senario[[#This Row],[c/p]], StrSplit(tbl_senario[[#This Row],[param_senario9]],"|",0), tbl_senario[[#This Row],[K]], (tbl_senario[[#This Row],[Expiry date]]-$B$4)/365, 0.02, 0, StrSplit(tbl_senario[[#This Row],[param_senario9]],"|",1), 0.01)</f>
        <v>330418.36928304972</v>
      </c>
      <c r="AJ11" s="19">
        <f ca="1">tbl_senario[[#This Row],[Volume]]*tbl_senario[[#This Row],[multiplier]]*GBlackScholesNGreeks("p", tbl_senario[[#This Row],[c/p]], StrSplit(tbl_senario[[#This Row],[param_senario10]],"|",0), tbl_senario[[#This Row],[K]], (tbl_senario[[#This Row],[Expiry date]]-$B$4)/365, 0.02, 0, StrSplit(tbl_senario[[#This Row],[param_senario10]],"|",1), 0.01)</f>
        <v>330418.36928304972</v>
      </c>
      <c r="AK11" s="19">
        <f ca="1">tbl_senario[[#This Row],[Volume]]*tbl_senario[[#This Row],[multiplier]]*GBlackScholesNGreeks("p", tbl_senario[[#This Row],[c/p]], StrSplit(tbl_senario[[#This Row],[param_senario11]],"|",0), tbl_senario[[#This Row],[K]], (tbl_senario[[#This Row],[Expiry date]]-$B$4)/365, 0.02, 0, StrSplit(tbl_senario[[#This Row],[param_senario11]],"|",1), 0.01)</f>
        <v>330418.36928304972</v>
      </c>
      <c r="AL11" s="19">
        <f ca="1">tbl_senario[[#This Row],[Volume]]*tbl_senario[[#This Row],[multiplier]]*GBlackScholesNGreeks("p", tbl_senario[[#This Row],[c/p]], StrSplit(tbl_senario[[#This Row],[param_senario12]],"|",0), tbl_senario[[#This Row],[K]], (tbl_senario[[#This Row],[Expiry date]]-$B$4)/365, 0.02, 0, StrSplit(tbl_senario[[#This Row],[param_senario12]],"|",1), 0.01)</f>
        <v>330418.36928304972</v>
      </c>
      <c r="AM11" s="19">
        <f ca="1">tbl_senario[[#This Row],[Volume]]*tbl_senario[[#This Row],[multiplier]]*GBlackScholesNGreeks("p", tbl_senario[[#This Row],[c/p]], StrSplit(tbl_senario[[#This Row],[param_senario13]],"|",0), tbl_senario[[#This Row],[K]], (tbl_senario[[#This Row],[Expiry date]]-$B$4)/365, 0.02, 0, StrSplit(tbl_senario[[#This Row],[param_senario13]],"|",1), 0.01)</f>
        <v>330418.36928304972</v>
      </c>
      <c r="AN11" s="19"/>
    </row>
    <row r="12" spans="2:40" x14ac:dyDescent="0.15">
      <c r="B12" s="8" t="s">
        <v>113</v>
      </c>
      <c r="C12" s="8" t="s">
        <v>105</v>
      </c>
      <c r="D12" s="8">
        <v>1000</v>
      </c>
      <c r="E12" s="8">
        <v>3720.0000015999999</v>
      </c>
      <c r="F12" s="11">
        <v>43205.625</v>
      </c>
      <c r="G12" s="8">
        <v>-499999.99575</v>
      </c>
      <c r="H12" s="8" t="s">
        <v>19</v>
      </c>
      <c r="I12" s="8" t="s">
        <v>110</v>
      </c>
      <c r="J12" s="8" t="s">
        <v>108</v>
      </c>
      <c r="K12" s="8">
        <v>10</v>
      </c>
      <c r="L12" s="8">
        <v>3773</v>
      </c>
      <c r="M12" s="8">
        <v>0.18</v>
      </c>
      <c r="N12" s="8" t="s">
        <v>125</v>
      </c>
      <c r="O12" s="8" t="s">
        <v>134</v>
      </c>
      <c r="P12" s="8" t="s">
        <v>129</v>
      </c>
      <c r="Q12" s="8" t="s">
        <v>129</v>
      </c>
      <c r="R12" s="8" t="s">
        <v>129</v>
      </c>
      <c r="S12" s="8" t="s">
        <v>129</v>
      </c>
      <c r="T12" s="8" t="s">
        <v>129</v>
      </c>
      <c r="U12" s="8" t="s">
        <v>130</v>
      </c>
      <c r="V12" s="8" t="s">
        <v>129</v>
      </c>
      <c r="W12" s="8" t="s">
        <v>129</v>
      </c>
      <c r="X12" s="8" t="s">
        <v>129</v>
      </c>
      <c r="Y12" s="8" t="s">
        <v>129</v>
      </c>
      <c r="Z12" s="8" t="s">
        <v>129</v>
      </c>
      <c r="AA12" s="19">
        <f ca="1">tbl_senario[[#This Row],[Volume]]*tbl_senario[[#This Row],[multiplier]]*GBlackScholesNGreeks("p", tbl_senario[[#This Row],[c/p]], StrSplit(tbl_senario[[#This Row],[param_senario1]],"|",0), tbl_senario[[#This Row],[K]], (tbl_senario[[#This Row],[Expiry date]]-$B$4)/365, 0.02, 0, StrSplit(tbl_senario[[#This Row],[param_senario1]],"|",1), 0.01)</f>
        <v>866136.18258971139</v>
      </c>
      <c r="AB12" s="19">
        <f ca="1">tbl_senario[[#This Row],[Volume]]*tbl_senario[[#This Row],[multiplier]]*GBlackScholesNGreeks("p", tbl_senario[[#This Row],[c/p]], StrSplit(tbl_senario[[#This Row],[param_senario2]],"|",0), tbl_senario[[#This Row],[K]], (tbl_senario[[#This Row],[Expiry date]]-$B$4)/365, 0.02, 0, StrSplit(tbl_senario[[#This Row],[param_senario2]],"|",1), 0.01)</f>
        <v>1967322.8391113009</v>
      </c>
      <c r="AC12" s="19">
        <f ca="1">tbl_senario[[#This Row],[Volume]]*tbl_senario[[#This Row],[multiplier]]*GBlackScholesNGreeks("p", tbl_senario[[#This Row],[c/p]], StrSplit(tbl_senario[[#This Row],[param_senario3]],"|",0), tbl_senario[[#This Row],[K]], (tbl_senario[[#This Row],[Expiry date]]-$B$4)/365, 0.02, 0, StrSplit(tbl_senario[[#This Row],[param_senario3]],"|",1), 0.01)</f>
        <v>622293.34509734833</v>
      </c>
      <c r="AD12" s="19">
        <f ca="1">tbl_senario[[#This Row],[Volume]]*tbl_senario[[#This Row],[multiplier]]*GBlackScholesNGreeks("p", tbl_senario[[#This Row],[c/p]], StrSplit(tbl_senario[[#This Row],[param_senario4]],"|",0), tbl_senario[[#This Row],[K]], (tbl_senario[[#This Row],[Expiry date]]-$B$4)/365, 0.02, 0, StrSplit(tbl_senario[[#This Row],[param_senario4]],"|",1), 0.01)</f>
        <v>622293.34509734833</v>
      </c>
      <c r="AE12" s="19">
        <f ca="1">tbl_senario[[#This Row],[Volume]]*tbl_senario[[#This Row],[multiplier]]*GBlackScholesNGreeks("p", tbl_senario[[#This Row],[c/p]], StrSplit(tbl_senario[[#This Row],[param_senario5]],"|",0), tbl_senario[[#This Row],[K]], (tbl_senario[[#This Row],[Expiry date]]-$B$4)/365, 0.02, 0, StrSplit(tbl_senario[[#This Row],[param_senario5]],"|",1), 0.01)</f>
        <v>622293.34509734833</v>
      </c>
      <c r="AF12" s="19">
        <f ca="1">tbl_senario[[#This Row],[Volume]]*tbl_senario[[#This Row],[multiplier]]*GBlackScholesNGreeks("p", tbl_senario[[#This Row],[c/p]], StrSplit(tbl_senario[[#This Row],[param_senario6]],"|",0), tbl_senario[[#This Row],[K]], (tbl_senario[[#This Row],[Expiry date]]-$B$4)/365, 0.02, 0, StrSplit(tbl_senario[[#This Row],[param_senario6]],"|",1), 0.01)</f>
        <v>622293.34509734833</v>
      </c>
      <c r="AG12" s="19">
        <f ca="1">tbl_senario[[#This Row],[Volume]]*tbl_senario[[#This Row],[multiplier]]*GBlackScholesNGreeks("p", tbl_senario[[#This Row],[c/p]], StrSplit(tbl_senario[[#This Row],[param_senario7]],"|",0), tbl_senario[[#This Row],[K]], (tbl_senario[[#This Row],[Expiry date]]-$B$4)/365, 0.02, 0, StrSplit(tbl_senario[[#This Row],[param_senario7]],"|",1), 0.01)</f>
        <v>622293.34509734833</v>
      </c>
      <c r="AH12" s="19">
        <f ca="1">tbl_senario[[#This Row],[Volume]]*tbl_senario[[#This Row],[multiplier]]*GBlackScholesNGreeks("p", tbl_senario[[#This Row],[c/p]], StrSplit(tbl_senario[[#This Row],[param_senario8]],"|",0), tbl_senario[[#This Row],[K]], (tbl_senario[[#This Row],[Expiry date]]-$B$4)/365, 0.02, 0, StrSplit(tbl_senario[[#This Row],[param_senario8]],"|",1), 0.01)</f>
        <v>155802.2289977461</v>
      </c>
      <c r="AI12" s="19">
        <f ca="1">tbl_senario[[#This Row],[Volume]]*tbl_senario[[#This Row],[multiplier]]*GBlackScholesNGreeks("p", tbl_senario[[#This Row],[c/p]], StrSplit(tbl_senario[[#This Row],[param_senario9]],"|",0), tbl_senario[[#This Row],[K]], (tbl_senario[[#This Row],[Expiry date]]-$B$4)/365, 0.02, 0, StrSplit(tbl_senario[[#This Row],[param_senario9]],"|",1), 0.01)</f>
        <v>622293.34509734833</v>
      </c>
      <c r="AJ12" s="19">
        <f ca="1">tbl_senario[[#This Row],[Volume]]*tbl_senario[[#This Row],[multiplier]]*GBlackScholesNGreeks("p", tbl_senario[[#This Row],[c/p]], StrSplit(tbl_senario[[#This Row],[param_senario10]],"|",0), tbl_senario[[#This Row],[K]], (tbl_senario[[#This Row],[Expiry date]]-$B$4)/365, 0.02, 0, StrSplit(tbl_senario[[#This Row],[param_senario10]],"|",1), 0.01)</f>
        <v>622293.34509734833</v>
      </c>
      <c r="AK12" s="19">
        <f ca="1">tbl_senario[[#This Row],[Volume]]*tbl_senario[[#This Row],[multiplier]]*GBlackScholesNGreeks("p", tbl_senario[[#This Row],[c/p]], StrSplit(tbl_senario[[#This Row],[param_senario11]],"|",0), tbl_senario[[#This Row],[K]], (tbl_senario[[#This Row],[Expiry date]]-$B$4)/365, 0.02, 0, StrSplit(tbl_senario[[#This Row],[param_senario11]],"|",1), 0.01)</f>
        <v>622293.34509734833</v>
      </c>
      <c r="AL12" s="19">
        <f ca="1">tbl_senario[[#This Row],[Volume]]*tbl_senario[[#This Row],[multiplier]]*GBlackScholesNGreeks("p", tbl_senario[[#This Row],[c/p]], StrSplit(tbl_senario[[#This Row],[param_senario12]],"|",0), tbl_senario[[#This Row],[K]], (tbl_senario[[#This Row],[Expiry date]]-$B$4)/365, 0.02, 0, StrSplit(tbl_senario[[#This Row],[param_senario12]],"|",1), 0.01)</f>
        <v>622293.34509734833</v>
      </c>
      <c r="AM12" s="19">
        <f ca="1">tbl_senario[[#This Row],[Volume]]*tbl_senario[[#This Row],[multiplier]]*GBlackScholesNGreeks("p", tbl_senario[[#This Row],[c/p]], StrSplit(tbl_senario[[#This Row],[param_senario13]],"|",0), tbl_senario[[#This Row],[K]], (tbl_senario[[#This Row],[Expiry date]]-$B$4)/365, 0.02, 0, StrSplit(tbl_senario[[#This Row],[param_senario13]],"|",1), 0.01)</f>
        <v>622293.34509734833</v>
      </c>
      <c r="AN12" s="19"/>
    </row>
    <row r="13" spans="2:40" x14ac:dyDescent="0.15">
      <c r="B13" s="8" t="s">
        <v>114</v>
      </c>
      <c r="C13" s="8" t="s">
        <v>105</v>
      </c>
      <c r="D13" s="8">
        <v>1000</v>
      </c>
      <c r="E13" s="8">
        <v>3650.00000142</v>
      </c>
      <c r="F13" s="11">
        <v>43205.625</v>
      </c>
      <c r="G13" s="8">
        <v>-429999.99489999999</v>
      </c>
      <c r="H13" s="8" t="s">
        <v>19</v>
      </c>
      <c r="I13" s="8" t="s">
        <v>110</v>
      </c>
      <c r="J13" s="8" t="s">
        <v>108</v>
      </c>
      <c r="K13" s="8">
        <v>10</v>
      </c>
      <c r="L13" s="8">
        <v>3773</v>
      </c>
      <c r="M13" s="8">
        <v>0.18</v>
      </c>
      <c r="N13" s="8" t="s">
        <v>125</v>
      </c>
      <c r="O13" s="8" t="s">
        <v>134</v>
      </c>
      <c r="P13" s="8" t="s">
        <v>129</v>
      </c>
      <c r="Q13" s="8" t="s">
        <v>129</v>
      </c>
      <c r="R13" s="8" t="s">
        <v>129</v>
      </c>
      <c r="S13" s="8" t="s">
        <v>129</v>
      </c>
      <c r="T13" s="8" t="s">
        <v>129</v>
      </c>
      <c r="U13" s="8" t="s">
        <v>130</v>
      </c>
      <c r="V13" s="8" t="s">
        <v>129</v>
      </c>
      <c r="W13" s="8" t="s">
        <v>129</v>
      </c>
      <c r="X13" s="8" t="s">
        <v>129</v>
      </c>
      <c r="Y13" s="8" t="s">
        <v>129</v>
      </c>
      <c r="Z13" s="8" t="s">
        <v>129</v>
      </c>
      <c r="AA13" s="19">
        <f ca="1">tbl_senario[[#This Row],[Volume]]*tbl_senario[[#This Row],[multiplier]]*GBlackScholesNGreeks("p", tbl_senario[[#This Row],[c/p]], StrSplit(tbl_senario[[#This Row],[param_senario1]],"|",0), tbl_senario[[#This Row],[K]], (tbl_senario[[#This Row],[Expiry date]]-$B$4)/365, 0.02, 0, StrSplit(tbl_senario[[#This Row],[param_senario1]],"|",1), 0.01)</f>
        <v>593904.23087252083</v>
      </c>
      <c r="AB13" s="19">
        <f ca="1">tbl_senario[[#This Row],[Volume]]*tbl_senario[[#This Row],[multiplier]]*GBlackScholesNGreeks("p", tbl_senario[[#This Row],[c/p]], StrSplit(tbl_senario[[#This Row],[param_senario2]],"|",0), tbl_senario[[#This Row],[K]], (tbl_senario[[#This Row],[Expiry date]]-$B$4)/365, 0.02, 0, StrSplit(tbl_senario[[#This Row],[param_senario2]],"|",1), 0.01)</f>
        <v>1497430.0651709775</v>
      </c>
      <c r="AC13" s="19">
        <f ca="1">tbl_senario[[#This Row],[Volume]]*tbl_senario[[#This Row],[multiplier]]*GBlackScholesNGreeks("p", tbl_senario[[#This Row],[c/p]], StrSplit(tbl_senario[[#This Row],[param_senario3]],"|",0), tbl_senario[[#This Row],[K]], (tbl_senario[[#This Row],[Expiry date]]-$B$4)/365, 0.02, 0, StrSplit(tbl_senario[[#This Row],[param_senario3]],"|",1), 0.01)</f>
        <v>410516.98108783632</v>
      </c>
      <c r="AD13" s="19">
        <f ca="1">tbl_senario[[#This Row],[Volume]]*tbl_senario[[#This Row],[multiplier]]*GBlackScholesNGreeks("p", tbl_senario[[#This Row],[c/p]], StrSplit(tbl_senario[[#This Row],[param_senario4]],"|",0), tbl_senario[[#This Row],[K]], (tbl_senario[[#This Row],[Expiry date]]-$B$4)/365, 0.02, 0, StrSplit(tbl_senario[[#This Row],[param_senario4]],"|",1), 0.01)</f>
        <v>410516.98108783632</v>
      </c>
      <c r="AE13" s="19">
        <f ca="1">tbl_senario[[#This Row],[Volume]]*tbl_senario[[#This Row],[multiplier]]*GBlackScholesNGreeks("p", tbl_senario[[#This Row],[c/p]], StrSplit(tbl_senario[[#This Row],[param_senario5]],"|",0), tbl_senario[[#This Row],[K]], (tbl_senario[[#This Row],[Expiry date]]-$B$4)/365, 0.02, 0, StrSplit(tbl_senario[[#This Row],[param_senario5]],"|",1), 0.01)</f>
        <v>410516.98108783632</v>
      </c>
      <c r="AF13" s="19">
        <f ca="1">tbl_senario[[#This Row],[Volume]]*tbl_senario[[#This Row],[multiplier]]*GBlackScholesNGreeks("p", tbl_senario[[#This Row],[c/p]], StrSplit(tbl_senario[[#This Row],[param_senario6]],"|",0), tbl_senario[[#This Row],[K]], (tbl_senario[[#This Row],[Expiry date]]-$B$4)/365, 0.02, 0, StrSplit(tbl_senario[[#This Row],[param_senario6]],"|",1), 0.01)</f>
        <v>410516.98108783632</v>
      </c>
      <c r="AG13" s="19">
        <f ca="1">tbl_senario[[#This Row],[Volume]]*tbl_senario[[#This Row],[multiplier]]*GBlackScholesNGreeks("p", tbl_senario[[#This Row],[c/p]], StrSplit(tbl_senario[[#This Row],[param_senario7]],"|",0), tbl_senario[[#This Row],[K]], (tbl_senario[[#This Row],[Expiry date]]-$B$4)/365, 0.02, 0, StrSplit(tbl_senario[[#This Row],[param_senario7]],"|",1), 0.01)</f>
        <v>410516.98108783632</v>
      </c>
      <c r="AH13" s="19">
        <f ca="1">tbl_senario[[#This Row],[Volume]]*tbl_senario[[#This Row],[multiplier]]*GBlackScholesNGreeks("p", tbl_senario[[#This Row],[c/p]], StrSplit(tbl_senario[[#This Row],[param_senario8]],"|",0), tbl_senario[[#This Row],[K]], (tbl_senario[[#This Row],[Expiry date]]-$B$4)/365, 0.02, 0, StrSplit(tbl_senario[[#This Row],[param_senario8]],"|",1), 0.01)</f>
        <v>79108.158904940137</v>
      </c>
      <c r="AI13" s="19">
        <f ca="1">tbl_senario[[#This Row],[Volume]]*tbl_senario[[#This Row],[multiplier]]*GBlackScholesNGreeks("p", tbl_senario[[#This Row],[c/p]], StrSplit(tbl_senario[[#This Row],[param_senario9]],"|",0), tbl_senario[[#This Row],[K]], (tbl_senario[[#This Row],[Expiry date]]-$B$4)/365, 0.02, 0, StrSplit(tbl_senario[[#This Row],[param_senario9]],"|",1), 0.01)</f>
        <v>410516.98108783632</v>
      </c>
      <c r="AJ13" s="19">
        <f ca="1">tbl_senario[[#This Row],[Volume]]*tbl_senario[[#This Row],[multiplier]]*GBlackScholesNGreeks("p", tbl_senario[[#This Row],[c/p]], StrSplit(tbl_senario[[#This Row],[param_senario10]],"|",0), tbl_senario[[#This Row],[K]], (tbl_senario[[#This Row],[Expiry date]]-$B$4)/365, 0.02, 0, StrSplit(tbl_senario[[#This Row],[param_senario10]],"|",1), 0.01)</f>
        <v>410516.98108783632</v>
      </c>
      <c r="AK13" s="19">
        <f ca="1">tbl_senario[[#This Row],[Volume]]*tbl_senario[[#This Row],[multiplier]]*GBlackScholesNGreeks("p", tbl_senario[[#This Row],[c/p]], StrSplit(tbl_senario[[#This Row],[param_senario11]],"|",0), tbl_senario[[#This Row],[K]], (tbl_senario[[#This Row],[Expiry date]]-$B$4)/365, 0.02, 0, StrSplit(tbl_senario[[#This Row],[param_senario11]],"|",1), 0.01)</f>
        <v>410516.98108783632</v>
      </c>
      <c r="AL13" s="19">
        <f ca="1">tbl_senario[[#This Row],[Volume]]*tbl_senario[[#This Row],[multiplier]]*GBlackScholesNGreeks("p", tbl_senario[[#This Row],[c/p]], StrSplit(tbl_senario[[#This Row],[param_senario12]],"|",0), tbl_senario[[#This Row],[K]], (tbl_senario[[#This Row],[Expiry date]]-$B$4)/365, 0.02, 0, StrSplit(tbl_senario[[#This Row],[param_senario12]],"|",1), 0.01)</f>
        <v>410516.98108783632</v>
      </c>
      <c r="AM13" s="19">
        <f ca="1">tbl_senario[[#This Row],[Volume]]*tbl_senario[[#This Row],[multiplier]]*GBlackScholesNGreeks("p", tbl_senario[[#This Row],[c/p]], StrSplit(tbl_senario[[#This Row],[param_senario13]],"|",0), tbl_senario[[#This Row],[K]], (tbl_senario[[#This Row],[Expiry date]]-$B$4)/365, 0.02, 0, StrSplit(tbl_senario[[#This Row],[param_senario13]],"|",1), 0.01)</f>
        <v>410516.98108783632</v>
      </c>
      <c r="AN13" s="19"/>
    </row>
    <row r="14" spans="2:40" x14ac:dyDescent="0.15">
      <c r="B14" s="8" t="s">
        <v>115</v>
      </c>
      <c r="C14" s="8" t="s">
        <v>105</v>
      </c>
      <c r="D14" s="8">
        <v>1000</v>
      </c>
      <c r="E14" s="8">
        <v>3650.0000014560001</v>
      </c>
      <c r="F14" s="11">
        <v>43189.625</v>
      </c>
      <c r="G14" s="8">
        <v>-470000.00880000001</v>
      </c>
      <c r="H14" s="8" t="s">
        <v>19</v>
      </c>
      <c r="I14" s="8" t="s">
        <v>110</v>
      </c>
      <c r="J14" s="8" t="s">
        <v>108</v>
      </c>
      <c r="K14" s="8">
        <v>10</v>
      </c>
      <c r="L14" s="8">
        <v>3773</v>
      </c>
      <c r="M14" s="8">
        <v>0.18</v>
      </c>
      <c r="N14" s="8" t="s">
        <v>125</v>
      </c>
      <c r="O14" s="8" t="s">
        <v>134</v>
      </c>
      <c r="P14" s="8" t="s">
        <v>129</v>
      </c>
      <c r="Q14" s="8" t="s">
        <v>129</v>
      </c>
      <c r="R14" s="8" t="s">
        <v>129</v>
      </c>
      <c r="S14" s="8" t="s">
        <v>129</v>
      </c>
      <c r="T14" s="8" t="s">
        <v>129</v>
      </c>
      <c r="U14" s="8" t="s">
        <v>130</v>
      </c>
      <c r="V14" s="8" t="s">
        <v>129</v>
      </c>
      <c r="W14" s="8" t="s">
        <v>129</v>
      </c>
      <c r="X14" s="8" t="s">
        <v>129</v>
      </c>
      <c r="Y14" s="8" t="s">
        <v>129</v>
      </c>
      <c r="Z14" s="8" t="s">
        <v>129</v>
      </c>
      <c r="AA14" s="19">
        <f ca="1">tbl_senario[[#This Row],[Volume]]*tbl_senario[[#This Row],[multiplier]]*GBlackScholesNGreeks("p", tbl_senario[[#This Row],[c/p]], StrSplit(tbl_senario[[#This Row],[param_senario1]],"|",0), tbl_senario[[#This Row],[K]], (tbl_senario[[#This Row],[Expiry date]]-$B$4)/365, 0.02, 0, StrSplit(tbl_senario[[#This Row],[param_senario1]],"|",1), 0.01)</f>
        <v>459834.85035047861</v>
      </c>
      <c r="AB14" s="19">
        <f ca="1">tbl_senario[[#This Row],[Volume]]*tbl_senario[[#This Row],[multiplier]]*GBlackScholesNGreeks("p", tbl_senario[[#This Row],[c/p]], StrSplit(tbl_senario[[#This Row],[param_senario2]],"|",0), tbl_senario[[#This Row],[K]], (tbl_senario[[#This Row],[Expiry date]]-$B$4)/365, 0.02, 0, StrSplit(tbl_senario[[#This Row],[param_senario2]],"|",1), 0.01)</f>
        <v>1358682.1326855931</v>
      </c>
      <c r="AC14" s="19">
        <f ca="1">tbl_senario[[#This Row],[Volume]]*tbl_senario[[#This Row],[multiplier]]*GBlackScholesNGreeks("p", tbl_senario[[#This Row],[c/p]], StrSplit(tbl_senario[[#This Row],[param_senario3]],"|",0), tbl_senario[[#This Row],[K]], (tbl_senario[[#This Row],[Expiry date]]-$B$4)/365, 0.02, 0, StrSplit(tbl_senario[[#This Row],[param_senario3]],"|",1), 0.01)</f>
        <v>294442.56107415486</v>
      </c>
      <c r="AD14" s="19">
        <f ca="1">tbl_senario[[#This Row],[Volume]]*tbl_senario[[#This Row],[multiplier]]*GBlackScholesNGreeks("p", tbl_senario[[#This Row],[c/p]], StrSplit(tbl_senario[[#This Row],[param_senario4]],"|",0), tbl_senario[[#This Row],[K]], (tbl_senario[[#This Row],[Expiry date]]-$B$4)/365, 0.02, 0, StrSplit(tbl_senario[[#This Row],[param_senario4]],"|",1), 0.01)</f>
        <v>294442.56107415486</v>
      </c>
      <c r="AE14" s="19">
        <f ca="1">tbl_senario[[#This Row],[Volume]]*tbl_senario[[#This Row],[multiplier]]*GBlackScholesNGreeks("p", tbl_senario[[#This Row],[c/p]], StrSplit(tbl_senario[[#This Row],[param_senario5]],"|",0), tbl_senario[[#This Row],[K]], (tbl_senario[[#This Row],[Expiry date]]-$B$4)/365, 0.02, 0, StrSplit(tbl_senario[[#This Row],[param_senario5]],"|",1), 0.01)</f>
        <v>294442.56107415486</v>
      </c>
      <c r="AF14" s="19">
        <f ca="1">tbl_senario[[#This Row],[Volume]]*tbl_senario[[#This Row],[multiplier]]*GBlackScholesNGreeks("p", tbl_senario[[#This Row],[c/p]], StrSplit(tbl_senario[[#This Row],[param_senario6]],"|",0), tbl_senario[[#This Row],[K]], (tbl_senario[[#This Row],[Expiry date]]-$B$4)/365, 0.02, 0, StrSplit(tbl_senario[[#This Row],[param_senario6]],"|",1), 0.01)</f>
        <v>294442.56107415486</v>
      </c>
      <c r="AG14" s="19">
        <f ca="1">tbl_senario[[#This Row],[Volume]]*tbl_senario[[#This Row],[multiplier]]*GBlackScholesNGreeks("p", tbl_senario[[#This Row],[c/p]], StrSplit(tbl_senario[[#This Row],[param_senario7]],"|",0), tbl_senario[[#This Row],[K]], (tbl_senario[[#This Row],[Expiry date]]-$B$4)/365, 0.02, 0, StrSplit(tbl_senario[[#This Row],[param_senario7]],"|",1), 0.01)</f>
        <v>294442.56107415486</v>
      </c>
      <c r="AH14" s="19">
        <f ca="1">tbl_senario[[#This Row],[Volume]]*tbl_senario[[#This Row],[multiplier]]*GBlackScholesNGreeks("p", tbl_senario[[#This Row],[c/p]], StrSplit(tbl_senario[[#This Row],[param_senario8]],"|",0), tbl_senario[[#This Row],[K]], (tbl_senario[[#This Row],[Expiry date]]-$B$4)/365, 0.02, 0, StrSplit(tbl_senario[[#This Row],[param_senario8]],"|",1), 0.01)</f>
        <v>40569.590685195537</v>
      </c>
      <c r="AI14" s="19">
        <f ca="1">tbl_senario[[#This Row],[Volume]]*tbl_senario[[#This Row],[multiplier]]*GBlackScholesNGreeks("p", tbl_senario[[#This Row],[c/p]], StrSplit(tbl_senario[[#This Row],[param_senario9]],"|",0), tbl_senario[[#This Row],[K]], (tbl_senario[[#This Row],[Expiry date]]-$B$4)/365, 0.02, 0, StrSplit(tbl_senario[[#This Row],[param_senario9]],"|",1), 0.01)</f>
        <v>294442.56107415486</v>
      </c>
      <c r="AJ14" s="19">
        <f ca="1">tbl_senario[[#This Row],[Volume]]*tbl_senario[[#This Row],[multiplier]]*GBlackScholesNGreeks("p", tbl_senario[[#This Row],[c/p]], StrSplit(tbl_senario[[#This Row],[param_senario10]],"|",0), tbl_senario[[#This Row],[K]], (tbl_senario[[#This Row],[Expiry date]]-$B$4)/365, 0.02, 0, StrSplit(tbl_senario[[#This Row],[param_senario10]],"|",1), 0.01)</f>
        <v>294442.56107415486</v>
      </c>
      <c r="AK14" s="19">
        <f ca="1">tbl_senario[[#This Row],[Volume]]*tbl_senario[[#This Row],[multiplier]]*GBlackScholesNGreeks("p", tbl_senario[[#This Row],[c/p]], StrSplit(tbl_senario[[#This Row],[param_senario11]],"|",0), tbl_senario[[#This Row],[K]], (tbl_senario[[#This Row],[Expiry date]]-$B$4)/365, 0.02, 0, StrSplit(tbl_senario[[#This Row],[param_senario11]],"|",1), 0.01)</f>
        <v>294442.56107415486</v>
      </c>
      <c r="AL14" s="19">
        <f ca="1">tbl_senario[[#This Row],[Volume]]*tbl_senario[[#This Row],[multiplier]]*GBlackScholesNGreeks("p", tbl_senario[[#This Row],[c/p]], StrSplit(tbl_senario[[#This Row],[param_senario12]],"|",0), tbl_senario[[#This Row],[K]], (tbl_senario[[#This Row],[Expiry date]]-$B$4)/365, 0.02, 0, StrSplit(tbl_senario[[#This Row],[param_senario12]],"|",1), 0.01)</f>
        <v>294442.56107415486</v>
      </c>
      <c r="AM14" s="19">
        <f ca="1">tbl_senario[[#This Row],[Volume]]*tbl_senario[[#This Row],[multiplier]]*GBlackScholesNGreeks("p", tbl_senario[[#This Row],[c/p]], StrSplit(tbl_senario[[#This Row],[param_senario13]],"|",0), tbl_senario[[#This Row],[K]], (tbl_senario[[#This Row],[Expiry date]]-$B$4)/365, 0.02, 0, StrSplit(tbl_senario[[#This Row],[param_senario13]],"|",1), 0.01)</f>
        <v>294442.56107415486</v>
      </c>
      <c r="AN14" s="19"/>
    </row>
    <row r="15" spans="2:40" x14ac:dyDescent="0.15">
      <c r="B15" s="8" t="s">
        <v>116</v>
      </c>
      <c r="C15" s="8" t="s">
        <v>105</v>
      </c>
      <c r="D15" s="8">
        <v>500</v>
      </c>
      <c r="E15" s="8">
        <v>3550.00000086</v>
      </c>
      <c r="F15" s="11">
        <v>43167.625</v>
      </c>
      <c r="G15" s="8">
        <v>-315000.00594</v>
      </c>
      <c r="H15" s="8" t="s">
        <v>19</v>
      </c>
      <c r="I15" s="8" t="s">
        <v>110</v>
      </c>
      <c r="J15" s="8" t="s">
        <v>108</v>
      </c>
      <c r="K15" s="8">
        <v>10</v>
      </c>
      <c r="L15" s="8">
        <v>3773</v>
      </c>
      <c r="M15" s="8">
        <v>0.18</v>
      </c>
      <c r="N15" s="8" t="s">
        <v>125</v>
      </c>
      <c r="O15" s="8" t="s">
        <v>134</v>
      </c>
      <c r="P15" s="8" t="s">
        <v>129</v>
      </c>
      <c r="Q15" s="8" t="s">
        <v>129</v>
      </c>
      <c r="R15" s="8" t="s">
        <v>129</v>
      </c>
      <c r="S15" s="8" t="s">
        <v>129</v>
      </c>
      <c r="T15" s="8" t="s">
        <v>129</v>
      </c>
      <c r="U15" s="8" t="s">
        <v>130</v>
      </c>
      <c r="V15" s="8" t="s">
        <v>129</v>
      </c>
      <c r="W15" s="8" t="s">
        <v>129</v>
      </c>
      <c r="X15" s="8" t="s">
        <v>129</v>
      </c>
      <c r="Y15" s="8" t="s">
        <v>129</v>
      </c>
      <c r="Z15" s="8" t="s">
        <v>129</v>
      </c>
      <c r="AA15" s="19">
        <f ca="1">tbl_senario[[#This Row],[Volume]]*tbl_senario[[#This Row],[multiplier]]*GBlackScholesNGreeks("p", tbl_senario[[#This Row],[c/p]], StrSplit(tbl_senario[[#This Row],[param_senario1]],"|",0), tbl_senario[[#This Row],[K]], (tbl_senario[[#This Row],[Expiry date]]-$B$4)/365, 0.02, 0, StrSplit(tbl_senario[[#This Row],[param_senario1]],"|",1), 0.01)</f>
        <v>38638.528988563667</v>
      </c>
      <c r="AB15" s="19">
        <f ca="1">tbl_senario[[#This Row],[Volume]]*tbl_senario[[#This Row],[multiplier]]*GBlackScholesNGreeks("p", tbl_senario[[#This Row],[c/p]], StrSplit(tbl_senario[[#This Row],[param_senario2]],"|",0), tbl_senario[[#This Row],[K]], (tbl_senario[[#This Row],[Expiry date]]-$B$4)/365, 0.02, 0, StrSplit(tbl_senario[[#This Row],[param_senario2]],"|",1), 0.01)</f>
        <v>277402.46025645739</v>
      </c>
      <c r="AC15" s="19">
        <f ca="1">tbl_senario[[#This Row],[Volume]]*tbl_senario[[#This Row],[multiplier]]*GBlackScholesNGreeks("p", tbl_senario[[#This Row],[c/p]], StrSplit(tbl_senario[[#This Row],[param_senario3]],"|",0), tbl_senario[[#This Row],[K]], (tbl_senario[[#This Row],[Expiry date]]-$B$4)/365, 0.02, 0, StrSplit(tbl_senario[[#This Row],[param_senario3]],"|",1), 0.01)</f>
        <v>16562.394170599906</v>
      </c>
      <c r="AD15" s="19">
        <f ca="1">tbl_senario[[#This Row],[Volume]]*tbl_senario[[#This Row],[multiplier]]*GBlackScholesNGreeks("p", tbl_senario[[#This Row],[c/p]], StrSplit(tbl_senario[[#This Row],[param_senario4]],"|",0), tbl_senario[[#This Row],[K]], (tbl_senario[[#This Row],[Expiry date]]-$B$4)/365, 0.02, 0, StrSplit(tbl_senario[[#This Row],[param_senario4]],"|",1), 0.01)</f>
        <v>16562.394170599906</v>
      </c>
      <c r="AE15" s="19">
        <f ca="1">tbl_senario[[#This Row],[Volume]]*tbl_senario[[#This Row],[multiplier]]*GBlackScholesNGreeks("p", tbl_senario[[#This Row],[c/p]], StrSplit(tbl_senario[[#This Row],[param_senario5]],"|",0), tbl_senario[[#This Row],[K]], (tbl_senario[[#This Row],[Expiry date]]-$B$4)/365, 0.02, 0, StrSplit(tbl_senario[[#This Row],[param_senario5]],"|",1), 0.01)</f>
        <v>16562.394170599906</v>
      </c>
      <c r="AF15" s="19">
        <f ca="1">tbl_senario[[#This Row],[Volume]]*tbl_senario[[#This Row],[multiplier]]*GBlackScholesNGreeks("p", tbl_senario[[#This Row],[c/p]], StrSplit(tbl_senario[[#This Row],[param_senario6]],"|",0), tbl_senario[[#This Row],[K]], (tbl_senario[[#This Row],[Expiry date]]-$B$4)/365, 0.02, 0, StrSplit(tbl_senario[[#This Row],[param_senario6]],"|",1), 0.01)</f>
        <v>16562.394170599906</v>
      </c>
      <c r="AG15" s="19">
        <f ca="1">tbl_senario[[#This Row],[Volume]]*tbl_senario[[#This Row],[multiplier]]*GBlackScholesNGreeks("p", tbl_senario[[#This Row],[c/p]], StrSplit(tbl_senario[[#This Row],[param_senario7]],"|",0), tbl_senario[[#This Row],[K]], (tbl_senario[[#This Row],[Expiry date]]-$B$4)/365, 0.02, 0, StrSplit(tbl_senario[[#This Row],[param_senario7]],"|",1), 0.01)</f>
        <v>16562.394170599906</v>
      </c>
      <c r="AH15" s="19">
        <f ca="1">tbl_senario[[#This Row],[Volume]]*tbl_senario[[#This Row],[multiplier]]*GBlackScholesNGreeks("p", tbl_senario[[#This Row],[c/p]], StrSplit(tbl_senario[[#This Row],[param_senario8]],"|",0), tbl_senario[[#This Row],[K]], (tbl_senario[[#This Row],[Expiry date]]-$B$4)/365, 0.02, 0, StrSplit(tbl_senario[[#This Row],[param_senario8]],"|",1), 0.01)</f>
        <v>258.89710178219855</v>
      </c>
      <c r="AI15" s="19">
        <f ca="1">tbl_senario[[#This Row],[Volume]]*tbl_senario[[#This Row],[multiplier]]*GBlackScholesNGreeks("p", tbl_senario[[#This Row],[c/p]], StrSplit(tbl_senario[[#This Row],[param_senario9]],"|",0), tbl_senario[[#This Row],[K]], (tbl_senario[[#This Row],[Expiry date]]-$B$4)/365, 0.02, 0, StrSplit(tbl_senario[[#This Row],[param_senario9]],"|",1), 0.01)</f>
        <v>16562.394170599906</v>
      </c>
      <c r="AJ15" s="19">
        <f ca="1">tbl_senario[[#This Row],[Volume]]*tbl_senario[[#This Row],[multiplier]]*GBlackScholesNGreeks("p", tbl_senario[[#This Row],[c/p]], StrSplit(tbl_senario[[#This Row],[param_senario10]],"|",0), tbl_senario[[#This Row],[K]], (tbl_senario[[#This Row],[Expiry date]]-$B$4)/365, 0.02, 0, StrSplit(tbl_senario[[#This Row],[param_senario10]],"|",1), 0.01)</f>
        <v>16562.394170599906</v>
      </c>
      <c r="AK15" s="19">
        <f ca="1">tbl_senario[[#This Row],[Volume]]*tbl_senario[[#This Row],[multiplier]]*GBlackScholesNGreeks("p", tbl_senario[[#This Row],[c/p]], StrSplit(tbl_senario[[#This Row],[param_senario11]],"|",0), tbl_senario[[#This Row],[K]], (tbl_senario[[#This Row],[Expiry date]]-$B$4)/365, 0.02, 0, StrSplit(tbl_senario[[#This Row],[param_senario11]],"|",1), 0.01)</f>
        <v>16562.394170599906</v>
      </c>
      <c r="AL15" s="19">
        <f ca="1">tbl_senario[[#This Row],[Volume]]*tbl_senario[[#This Row],[multiplier]]*GBlackScholesNGreeks("p", tbl_senario[[#This Row],[c/p]], StrSplit(tbl_senario[[#This Row],[param_senario12]],"|",0), tbl_senario[[#This Row],[K]], (tbl_senario[[#This Row],[Expiry date]]-$B$4)/365, 0.02, 0, StrSplit(tbl_senario[[#This Row],[param_senario12]],"|",1), 0.01)</f>
        <v>16562.394170599906</v>
      </c>
      <c r="AM15" s="19">
        <f ca="1">tbl_senario[[#This Row],[Volume]]*tbl_senario[[#This Row],[multiplier]]*GBlackScholesNGreeks("p", tbl_senario[[#This Row],[c/p]], StrSplit(tbl_senario[[#This Row],[param_senario13]],"|",0), tbl_senario[[#This Row],[K]], (tbl_senario[[#This Row],[Expiry date]]-$B$4)/365, 0.02, 0, StrSplit(tbl_senario[[#This Row],[param_senario13]],"|",1), 0.01)</f>
        <v>16562.394170599906</v>
      </c>
      <c r="AN15" s="19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O24"/>
  <sheetViews>
    <sheetView workbookViewId="0">
      <selection activeCell="K28" sqref="K28"/>
    </sheetView>
  </sheetViews>
  <sheetFormatPr defaultRowHeight="12" x14ac:dyDescent="0.15"/>
  <cols>
    <col min="1" max="1" width="9" style="8"/>
    <col min="2" max="2" width="16.875" style="8" customWidth="1"/>
    <col min="3" max="3" width="9.5" style="8" customWidth="1"/>
    <col min="4" max="4" width="14" style="8" customWidth="1"/>
    <col min="5" max="5" width="15.125" style="8" customWidth="1"/>
    <col min="6" max="6" width="14" style="8" customWidth="1"/>
    <col min="7" max="7" width="12.875" style="8" customWidth="1"/>
    <col min="8" max="9" width="9" style="8"/>
    <col min="10" max="10" width="11.75" style="8" customWidth="1"/>
    <col min="11" max="11" width="14" style="8" customWidth="1"/>
    <col min="12" max="12" width="10.625" style="8" customWidth="1"/>
    <col min="13" max="13" width="9.5" style="8" customWidth="1"/>
    <col min="14" max="16384" width="9" style="8"/>
  </cols>
  <sheetData>
    <row r="8" spans="2:15" x14ac:dyDescent="0.15">
      <c r="B8" s="12" t="s">
        <v>5</v>
      </c>
      <c r="C8" s="1" t="s">
        <v>6</v>
      </c>
      <c r="D8" s="1" t="s">
        <v>7</v>
      </c>
      <c r="E8" s="2" t="s">
        <v>8</v>
      </c>
      <c r="F8" s="1" t="s">
        <v>9</v>
      </c>
      <c r="G8" s="1" t="s">
        <v>10</v>
      </c>
      <c r="H8" s="1" t="s">
        <v>11</v>
      </c>
      <c r="I8" s="1" t="s">
        <v>12</v>
      </c>
      <c r="J8" s="1" t="s">
        <v>13</v>
      </c>
      <c r="K8" s="1" t="s">
        <v>14</v>
      </c>
      <c r="L8" s="1" t="s">
        <v>15</v>
      </c>
      <c r="M8" s="1" t="s">
        <v>16</v>
      </c>
      <c r="N8" s="1" t="s">
        <v>17</v>
      </c>
      <c r="O8" s="1" t="s">
        <v>25</v>
      </c>
    </row>
    <row r="9" spans="2:15" x14ac:dyDescent="0.15">
      <c r="B9" s="5" t="s">
        <v>18</v>
      </c>
      <c r="C9" s="5">
        <v>100</v>
      </c>
      <c r="D9" s="4">
        <v>43123</v>
      </c>
      <c r="E9" s="4">
        <v>43183.625</v>
      </c>
      <c r="F9" s="4">
        <v>43183</v>
      </c>
      <c r="G9" s="4">
        <v>43123</v>
      </c>
      <c r="H9" s="5">
        <v>50000.000004000001</v>
      </c>
      <c r="I9" s="5"/>
      <c r="J9" s="5"/>
      <c r="K9" s="5">
        <v>-50000.004000000001</v>
      </c>
      <c r="L9" s="5" t="s">
        <v>19</v>
      </c>
      <c r="M9" s="5">
        <v>1</v>
      </c>
      <c r="N9" s="5" t="s">
        <v>20</v>
      </c>
      <c r="O9" s="5" t="s">
        <v>75</v>
      </c>
    </row>
    <row r="10" spans="2:15" x14ac:dyDescent="0.15">
      <c r="B10" s="5" t="s">
        <v>21</v>
      </c>
      <c r="C10" s="5">
        <v>400</v>
      </c>
      <c r="D10" s="4">
        <v>43118</v>
      </c>
      <c r="E10" s="4">
        <v>43200.625</v>
      </c>
      <c r="F10" s="4">
        <v>43202</v>
      </c>
      <c r="G10" s="4">
        <v>43118</v>
      </c>
      <c r="H10" s="5">
        <v>14500.000004</v>
      </c>
      <c r="I10" s="5"/>
      <c r="J10" s="5"/>
      <c r="K10" s="5">
        <v>-400000</v>
      </c>
      <c r="L10" s="5" t="s">
        <v>19</v>
      </c>
      <c r="M10" s="5">
        <v>1</v>
      </c>
      <c r="N10" s="5" t="s">
        <v>22</v>
      </c>
      <c r="O10" s="5" t="s">
        <v>76</v>
      </c>
    </row>
    <row r="11" spans="2:15" x14ac:dyDescent="0.15">
      <c r="B11" s="5" t="s">
        <v>23</v>
      </c>
      <c r="C11" s="5">
        <v>-100</v>
      </c>
      <c r="D11" s="4">
        <v>43109</v>
      </c>
      <c r="E11" s="4">
        <v>43137.625</v>
      </c>
      <c r="F11" s="4">
        <v>43137</v>
      </c>
      <c r="G11" s="4">
        <v>43109</v>
      </c>
      <c r="H11" s="5">
        <v>3749.9999986319999</v>
      </c>
      <c r="I11" s="5"/>
      <c r="J11" s="5"/>
      <c r="K11" s="5">
        <v>14999.99934</v>
      </c>
      <c r="L11" s="5" t="s">
        <v>19</v>
      </c>
      <c r="M11" s="5">
        <v>1</v>
      </c>
      <c r="N11" s="5" t="s">
        <v>24</v>
      </c>
      <c r="O11" s="5" t="s">
        <v>77</v>
      </c>
    </row>
    <row r="12" spans="2:15" x14ac:dyDescent="0.15">
      <c r="B12" s="5" t="s">
        <v>69</v>
      </c>
      <c r="C12" s="5">
        <v>125</v>
      </c>
      <c r="D12" s="4">
        <v>43098</v>
      </c>
      <c r="E12" s="4">
        <v>43159.625</v>
      </c>
      <c r="F12" s="4">
        <v>43279</v>
      </c>
      <c r="G12" s="4">
        <v>43098</v>
      </c>
      <c r="H12" s="5">
        <v>10039.999997630001</v>
      </c>
      <c r="K12" s="5">
        <v>0</v>
      </c>
      <c r="L12" s="5" t="s">
        <v>73</v>
      </c>
      <c r="M12" s="5">
        <v>1</v>
      </c>
      <c r="N12" s="8" t="s">
        <v>74</v>
      </c>
      <c r="O12" s="8" t="s">
        <v>79</v>
      </c>
    </row>
    <row r="13" spans="2:15" x14ac:dyDescent="0.15">
      <c r="B13" s="5" t="s">
        <v>70</v>
      </c>
      <c r="C13" s="5">
        <v>-125</v>
      </c>
      <c r="D13" s="4">
        <v>43098</v>
      </c>
      <c r="E13" s="4">
        <v>43159.625</v>
      </c>
      <c r="F13" s="4">
        <v>43279</v>
      </c>
      <c r="G13" s="4">
        <v>43098</v>
      </c>
      <c r="H13" s="5">
        <v>9500.0000023699995</v>
      </c>
      <c r="K13" s="5">
        <v>9375</v>
      </c>
      <c r="L13" s="5" t="s">
        <v>19</v>
      </c>
      <c r="M13" s="5">
        <v>1</v>
      </c>
      <c r="N13" s="8" t="s">
        <v>74</v>
      </c>
      <c r="O13" s="8" t="s">
        <v>79</v>
      </c>
    </row>
    <row r="14" spans="2:15" x14ac:dyDescent="0.15">
      <c r="B14" s="5" t="s">
        <v>71</v>
      </c>
      <c r="C14" s="5">
        <v>35</v>
      </c>
      <c r="D14" s="4">
        <v>43067</v>
      </c>
      <c r="E14" s="4">
        <v>43104.625</v>
      </c>
      <c r="F14" s="4">
        <v>43105</v>
      </c>
      <c r="G14" s="4">
        <v>43067</v>
      </c>
      <c r="H14" s="5">
        <v>3824.9999984749998</v>
      </c>
      <c r="K14" s="5">
        <v>-3071.2499606250003</v>
      </c>
      <c r="L14" s="5" t="s">
        <v>19</v>
      </c>
      <c r="M14" s="5">
        <v>1</v>
      </c>
      <c r="N14" s="8" t="s">
        <v>24</v>
      </c>
      <c r="O14" s="8" t="s">
        <v>77</v>
      </c>
    </row>
    <row r="15" spans="2:15" x14ac:dyDescent="0.15">
      <c r="B15" s="5" t="s">
        <v>72</v>
      </c>
      <c r="C15" s="5">
        <v>35</v>
      </c>
      <c r="D15" s="4">
        <v>43067</v>
      </c>
      <c r="E15" s="4">
        <v>43104.625</v>
      </c>
      <c r="F15" s="4">
        <v>43105</v>
      </c>
      <c r="G15" s="4">
        <v>43067</v>
      </c>
      <c r="H15" s="5">
        <v>4105</v>
      </c>
      <c r="K15" s="5">
        <v>-6427.0079999999998</v>
      </c>
      <c r="L15" s="5" t="s">
        <v>73</v>
      </c>
      <c r="M15" s="5">
        <v>1</v>
      </c>
      <c r="N15" s="8" t="s">
        <v>24</v>
      </c>
      <c r="O15" s="8" t="s">
        <v>77</v>
      </c>
    </row>
    <row r="16" spans="2:15" x14ac:dyDescent="0.15">
      <c r="B16" s="5" t="s">
        <v>112</v>
      </c>
      <c r="C16" s="3">
        <v>500</v>
      </c>
      <c r="D16" s="4">
        <v>43140</v>
      </c>
      <c r="E16" s="4">
        <v>43219.625</v>
      </c>
      <c r="F16" s="4">
        <v>43219</v>
      </c>
      <c r="G16" s="4">
        <v>43140</v>
      </c>
      <c r="H16" s="20">
        <v>3699.9999992799999</v>
      </c>
      <c r="K16" s="20">
        <v>-275000.00800000003</v>
      </c>
      <c r="L16" s="3" t="s">
        <v>19</v>
      </c>
      <c r="M16" s="5">
        <v>1</v>
      </c>
      <c r="N16" s="3" t="s">
        <v>110</v>
      </c>
      <c r="O16" s="8" t="s">
        <v>106</v>
      </c>
    </row>
    <row r="17" spans="2:15" x14ac:dyDescent="0.15">
      <c r="B17" s="5" t="s">
        <v>113</v>
      </c>
      <c r="C17" s="3">
        <v>1000</v>
      </c>
      <c r="D17" s="4">
        <v>43140</v>
      </c>
      <c r="E17" s="4">
        <v>43205.625</v>
      </c>
      <c r="F17" s="4">
        <v>43205</v>
      </c>
      <c r="G17" s="4">
        <v>43140</v>
      </c>
      <c r="H17" s="20">
        <v>3720.0000015999999</v>
      </c>
      <c r="K17" s="20">
        <v>-499999.99575</v>
      </c>
      <c r="L17" s="3" t="s">
        <v>19</v>
      </c>
      <c r="M17" s="5">
        <v>1</v>
      </c>
      <c r="N17" s="3" t="s">
        <v>110</v>
      </c>
      <c r="O17" s="8" t="s">
        <v>106</v>
      </c>
    </row>
    <row r="18" spans="2:15" x14ac:dyDescent="0.15">
      <c r="B18" s="5" t="s">
        <v>114</v>
      </c>
      <c r="C18" s="3">
        <v>1000</v>
      </c>
      <c r="D18" s="4">
        <v>43132</v>
      </c>
      <c r="E18" s="4">
        <v>43205.625</v>
      </c>
      <c r="F18" s="4">
        <v>43205</v>
      </c>
      <c r="G18" s="4">
        <v>43132</v>
      </c>
      <c r="H18" s="3">
        <v>3650.00000142</v>
      </c>
      <c r="K18" s="3">
        <v>-429999.99489999999</v>
      </c>
      <c r="L18" s="3" t="s">
        <v>19</v>
      </c>
      <c r="M18" s="5">
        <v>1</v>
      </c>
      <c r="N18" s="3" t="s">
        <v>110</v>
      </c>
      <c r="O18" s="8" t="s">
        <v>106</v>
      </c>
    </row>
    <row r="19" spans="2:15" x14ac:dyDescent="0.15">
      <c r="B19" s="5" t="s">
        <v>115</v>
      </c>
      <c r="C19" s="3">
        <v>1000</v>
      </c>
      <c r="D19" s="4">
        <v>43129</v>
      </c>
      <c r="E19" s="4">
        <v>43189.625</v>
      </c>
      <c r="F19" s="4">
        <v>43189</v>
      </c>
      <c r="G19" s="4">
        <v>43129</v>
      </c>
      <c r="H19" s="3">
        <v>3650.0000014560001</v>
      </c>
      <c r="K19" s="3">
        <v>-470000.00880000001</v>
      </c>
      <c r="L19" s="3" t="s">
        <v>19</v>
      </c>
      <c r="M19" s="5">
        <v>1</v>
      </c>
      <c r="N19" s="3" t="s">
        <v>110</v>
      </c>
      <c r="O19" s="8" t="s">
        <v>106</v>
      </c>
    </row>
    <row r="20" spans="2:15" x14ac:dyDescent="0.15">
      <c r="B20" s="5" t="s">
        <v>116</v>
      </c>
      <c r="C20" s="3">
        <v>500</v>
      </c>
      <c r="D20" s="4">
        <v>43104</v>
      </c>
      <c r="E20" s="4">
        <v>43167.625</v>
      </c>
      <c r="F20" s="4">
        <v>43167</v>
      </c>
      <c r="G20" s="4">
        <v>43104</v>
      </c>
      <c r="H20" s="3">
        <v>3550.00000086</v>
      </c>
      <c r="K20" s="3">
        <v>-315000.00594</v>
      </c>
      <c r="L20" s="3" t="s">
        <v>19</v>
      </c>
      <c r="M20" s="5">
        <v>1</v>
      </c>
      <c r="N20" s="3" t="s">
        <v>110</v>
      </c>
      <c r="O20" s="8" t="s">
        <v>106</v>
      </c>
    </row>
    <row r="21" spans="2:15" x14ac:dyDescent="0.15">
      <c r="B21" s="5" t="s">
        <v>117</v>
      </c>
      <c r="C21" s="3">
        <v>1000</v>
      </c>
      <c r="D21" s="4">
        <v>43087</v>
      </c>
      <c r="E21" s="4">
        <v>43140.625</v>
      </c>
      <c r="F21" s="4">
        <v>43141</v>
      </c>
      <c r="G21" s="4">
        <v>43087</v>
      </c>
      <c r="H21" s="3">
        <v>3649.9999999999995</v>
      </c>
      <c r="K21" s="3">
        <v>-1272284.92604</v>
      </c>
      <c r="L21" s="3" t="s">
        <v>19</v>
      </c>
      <c r="M21" s="5">
        <v>1</v>
      </c>
      <c r="N21" s="3" t="s">
        <v>110</v>
      </c>
      <c r="O21" s="8" t="s">
        <v>106</v>
      </c>
    </row>
    <row r="22" spans="2:15" x14ac:dyDescent="0.15">
      <c r="B22" s="5" t="s">
        <v>118</v>
      </c>
      <c r="C22" s="3">
        <v>500</v>
      </c>
      <c r="D22" s="4">
        <v>43083</v>
      </c>
      <c r="E22" s="4">
        <v>43140.625</v>
      </c>
      <c r="F22" s="4">
        <v>43141</v>
      </c>
      <c r="G22" s="4">
        <v>43083</v>
      </c>
      <c r="H22" s="3">
        <v>3600</v>
      </c>
      <c r="K22" s="3">
        <v>-730000</v>
      </c>
      <c r="L22" s="3" t="s">
        <v>19</v>
      </c>
      <c r="M22" s="5">
        <v>1</v>
      </c>
      <c r="N22" s="3" t="s">
        <v>110</v>
      </c>
      <c r="O22" s="8" t="s">
        <v>106</v>
      </c>
    </row>
    <row r="23" spans="2:15" x14ac:dyDescent="0.15">
      <c r="B23" s="5" t="s">
        <v>119</v>
      </c>
      <c r="C23" s="3">
        <v>300</v>
      </c>
      <c r="D23" s="4">
        <v>43073</v>
      </c>
      <c r="E23" s="4">
        <v>43084.625</v>
      </c>
      <c r="F23" s="4">
        <v>43084</v>
      </c>
      <c r="G23" s="4">
        <v>43073</v>
      </c>
      <c r="H23" s="3">
        <v>540.00000014400007</v>
      </c>
      <c r="K23" s="3">
        <v>-150000.00047999999</v>
      </c>
      <c r="L23" s="3" t="s">
        <v>73</v>
      </c>
      <c r="M23" s="8">
        <v>1</v>
      </c>
      <c r="N23" s="3" t="s">
        <v>121</v>
      </c>
      <c r="O23" s="8" t="s">
        <v>106</v>
      </c>
    </row>
    <row r="24" spans="2:15" x14ac:dyDescent="0.15">
      <c r="B24" s="5" t="s">
        <v>120</v>
      </c>
      <c r="C24" s="3">
        <v>500</v>
      </c>
      <c r="D24" s="4">
        <v>43055</v>
      </c>
      <c r="E24" s="4">
        <v>43098.625</v>
      </c>
      <c r="F24" s="4">
        <v>43100</v>
      </c>
      <c r="G24" s="4">
        <v>43055</v>
      </c>
      <c r="H24" s="3">
        <v>3400.0000006259997</v>
      </c>
      <c r="K24" s="3">
        <v>-140000.00706999999</v>
      </c>
      <c r="L24" s="3" t="s">
        <v>19</v>
      </c>
      <c r="M24" s="8">
        <v>1</v>
      </c>
      <c r="N24" s="3" t="s">
        <v>107</v>
      </c>
      <c r="O24" s="8" t="s">
        <v>106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I11"/>
  <sheetViews>
    <sheetView workbookViewId="0">
      <selection activeCell="H27" sqref="H27"/>
    </sheetView>
  </sheetViews>
  <sheetFormatPr defaultRowHeight="12" x14ac:dyDescent="0.15"/>
  <cols>
    <col min="1" max="1" width="9" style="8"/>
    <col min="2" max="2" width="9.5" style="8" customWidth="1"/>
    <col min="3" max="5" width="10.625" style="8" customWidth="1"/>
    <col min="6" max="7" width="9" style="8"/>
    <col min="8" max="8" width="14.125" style="8" customWidth="1"/>
    <col min="9" max="16384" width="9" style="8"/>
  </cols>
  <sheetData>
    <row r="5" spans="2:9" x14ac:dyDescent="0.15">
      <c r="B5" s="13" t="s">
        <v>40</v>
      </c>
      <c r="C5" s="13"/>
      <c r="D5" s="13"/>
      <c r="E5" s="13"/>
      <c r="F5" s="13"/>
      <c r="G5" s="13"/>
      <c r="H5" s="13"/>
    </row>
    <row r="6" spans="2:9" x14ac:dyDescent="0.15">
      <c r="B6" s="8" t="s">
        <v>38</v>
      </c>
      <c r="C6" s="8" t="s">
        <v>1</v>
      </c>
      <c r="D6" s="8" t="s">
        <v>65</v>
      </c>
      <c r="E6" s="8" t="s">
        <v>68</v>
      </c>
      <c r="F6" s="8" t="s">
        <v>126</v>
      </c>
      <c r="G6" s="8" t="s">
        <v>0</v>
      </c>
      <c r="H6" s="8" t="s">
        <v>37</v>
      </c>
      <c r="I6" s="8" t="s">
        <v>39</v>
      </c>
    </row>
    <row r="7" spans="2:9" x14ac:dyDescent="0.15">
      <c r="B7" s="8" t="s">
        <v>67</v>
      </c>
      <c r="C7" s="8" t="s">
        <v>3</v>
      </c>
      <c r="D7" s="8" t="s">
        <v>66</v>
      </c>
      <c r="E7" s="8" t="str">
        <f>tbl_ticker[[#This Row],[ticker]]&amp;"."&amp;tbl_ticker[[#This Row],[exchange]]</f>
        <v>cu1805.shf</v>
      </c>
      <c r="F7" s="8">
        <v>10</v>
      </c>
      <c r="G7" s="8">
        <v>0.2</v>
      </c>
      <c r="H7" s="8">
        <v>0</v>
      </c>
      <c r="I7" s="14">
        <f>RTD("wdf.rtq",,tbl_ticker[[#This Row],[wind_ticker]],"LastPrice")</f>
        <v>51800</v>
      </c>
    </row>
    <row r="8" spans="2:9" x14ac:dyDescent="0.15">
      <c r="B8" s="8" t="s">
        <v>56</v>
      </c>
      <c r="C8" s="8" t="s">
        <v>27</v>
      </c>
      <c r="D8" s="8" t="s">
        <v>66</v>
      </c>
      <c r="E8" s="8" t="str">
        <f>tbl_ticker[[#This Row],[ticker]]&amp;"."&amp;tbl_ticker[[#This Row],[exchange]]</f>
        <v>al1805.shf</v>
      </c>
      <c r="F8" s="8">
        <v>10</v>
      </c>
      <c r="G8" s="8">
        <v>0.2</v>
      </c>
      <c r="H8" s="8">
        <v>0</v>
      </c>
      <c r="I8" s="14">
        <f>RTD("wdf.rtq",,tbl_ticker[[#This Row],[wind_ticker]],"LastPrice")</f>
        <v>14465</v>
      </c>
    </row>
    <row r="9" spans="2:9" x14ac:dyDescent="0.15">
      <c r="B9" s="8" t="s">
        <v>57</v>
      </c>
      <c r="C9" s="8" t="s">
        <v>4</v>
      </c>
      <c r="D9" s="8" t="s">
        <v>66</v>
      </c>
      <c r="E9" s="8" t="str">
        <f>tbl_ticker[[#This Row],[ticker]]&amp;"."&amp;tbl_ticker[[#This Row],[exchange]]</f>
        <v>ag1806.shf</v>
      </c>
      <c r="F9" s="8">
        <v>10</v>
      </c>
      <c r="G9" s="8">
        <v>0.2</v>
      </c>
      <c r="H9" s="8">
        <v>0</v>
      </c>
      <c r="I9" s="14">
        <f>RTD("wdf.rtq",,tbl_ticker[[#This Row],[wind_ticker]],"LastPrice")</f>
        <v>3704</v>
      </c>
    </row>
    <row r="10" spans="2:9" x14ac:dyDescent="0.15">
      <c r="B10" s="8" t="s">
        <v>83</v>
      </c>
      <c r="C10" s="8" t="s">
        <v>81</v>
      </c>
      <c r="D10" s="8" t="s">
        <v>82</v>
      </c>
      <c r="E10" s="10" t="str">
        <f>tbl_ticker[[#This Row],[ticker]]&amp;"."&amp;tbl_ticker[[#This Row],[exchange]]</f>
        <v>l1805.dce</v>
      </c>
      <c r="F10" s="10">
        <v>5</v>
      </c>
      <c r="G10" s="8">
        <v>0.1</v>
      </c>
      <c r="H10" s="8">
        <v>0</v>
      </c>
      <c r="I10" s="14">
        <f>RTD("wdf.rtq",,tbl_ticker[[#This Row],[wind_ticker]],"LastPrice")</f>
        <v>9440</v>
      </c>
    </row>
    <row r="11" spans="2:9" x14ac:dyDescent="0.15">
      <c r="B11" s="8" t="s">
        <v>111</v>
      </c>
      <c r="C11" s="8" t="s">
        <v>109</v>
      </c>
      <c r="D11" s="8" t="s">
        <v>66</v>
      </c>
      <c r="E11" s="10" t="str">
        <f>tbl_ticker[[#This Row],[ticker]]&amp;"."&amp;tbl_ticker[[#This Row],[exchange]]</f>
        <v>rb1810.shf</v>
      </c>
      <c r="F11" s="10">
        <v>10</v>
      </c>
      <c r="G11" s="8">
        <v>0.18</v>
      </c>
      <c r="H11" s="8">
        <v>0</v>
      </c>
      <c r="I11" s="14">
        <f>RTD("wdf.rtq",,tbl_ticker[[#This Row],[wind_ticker]],"LastPrice")</f>
        <v>3773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H11"/>
  <sheetViews>
    <sheetView workbookViewId="0">
      <selection activeCell="G21" sqref="G21"/>
    </sheetView>
  </sheetViews>
  <sheetFormatPr defaultRowHeight="13.5" x14ac:dyDescent="0.15"/>
  <cols>
    <col min="1" max="1" width="3.375" customWidth="1"/>
    <col min="2" max="2" width="10.625" customWidth="1"/>
    <col min="3" max="4" width="9" customWidth="1"/>
  </cols>
  <sheetData>
    <row r="5" spans="2:8" x14ac:dyDescent="0.15">
      <c r="B5" s="9" t="s">
        <v>28</v>
      </c>
      <c r="C5" s="9"/>
      <c r="D5" s="9"/>
      <c r="E5" s="9"/>
      <c r="F5" s="9"/>
    </row>
    <row r="6" spans="2:8" x14ac:dyDescent="0.15">
      <c r="B6" t="s">
        <v>25</v>
      </c>
      <c r="C6" t="s">
        <v>36</v>
      </c>
      <c r="D6" t="s">
        <v>35</v>
      </c>
      <c r="E6" t="s">
        <v>3</v>
      </c>
      <c r="F6" t="s">
        <v>4</v>
      </c>
      <c r="G6" t="s">
        <v>81</v>
      </c>
      <c r="H6" t="s">
        <v>109</v>
      </c>
    </row>
    <row r="7" spans="2:8" x14ac:dyDescent="0.15">
      <c r="B7" t="s">
        <v>31</v>
      </c>
      <c r="C7">
        <v>0</v>
      </c>
      <c r="D7">
        <v>0.2</v>
      </c>
      <c r="E7">
        <v>50</v>
      </c>
      <c r="F7">
        <v>60</v>
      </c>
      <c r="G7">
        <v>50</v>
      </c>
    </row>
    <row r="8" spans="2:8" x14ac:dyDescent="0.15">
      <c r="B8" t="s">
        <v>33</v>
      </c>
      <c r="C8">
        <v>0</v>
      </c>
      <c r="D8">
        <v>0.2</v>
      </c>
      <c r="E8">
        <v>50</v>
      </c>
      <c r="F8">
        <v>60</v>
      </c>
      <c r="G8">
        <v>60</v>
      </c>
    </row>
    <row r="9" spans="2:8" x14ac:dyDescent="0.15">
      <c r="B9" s="5" t="s">
        <v>34</v>
      </c>
      <c r="C9">
        <v>0</v>
      </c>
      <c r="D9">
        <v>0.2</v>
      </c>
      <c r="E9">
        <v>40</v>
      </c>
      <c r="F9">
        <v>40</v>
      </c>
      <c r="G9">
        <v>60</v>
      </c>
    </row>
    <row r="10" spans="2:8" x14ac:dyDescent="0.15">
      <c r="B10" s="8" t="s">
        <v>79</v>
      </c>
      <c r="C10">
        <v>0</v>
      </c>
      <c r="D10">
        <v>0.2</v>
      </c>
      <c r="E10">
        <v>40</v>
      </c>
      <c r="F10">
        <v>40</v>
      </c>
      <c r="G10">
        <v>60</v>
      </c>
    </row>
    <row r="11" spans="2:8" x14ac:dyDescent="0.15">
      <c r="B11" s="8" t="s">
        <v>106</v>
      </c>
      <c r="C11">
        <v>0</v>
      </c>
      <c r="D11">
        <v>0.2</v>
      </c>
      <c r="E11">
        <v>40</v>
      </c>
      <c r="F11">
        <v>40</v>
      </c>
      <c r="G11">
        <v>60</v>
      </c>
      <c r="H11">
        <v>200</v>
      </c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D19"/>
  <sheetViews>
    <sheetView workbookViewId="0">
      <selection activeCell="D22" sqref="D22"/>
    </sheetView>
  </sheetViews>
  <sheetFormatPr defaultRowHeight="13.5" x14ac:dyDescent="0.15"/>
  <cols>
    <col min="2" max="2" width="11.75" customWidth="1"/>
    <col min="3" max="3" width="21.75" customWidth="1"/>
    <col min="4" max="4" width="20.5" customWidth="1"/>
  </cols>
  <sheetData>
    <row r="6" spans="2:4" x14ac:dyDescent="0.15">
      <c r="B6" t="s">
        <v>41</v>
      </c>
      <c r="C6" t="s">
        <v>60</v>
      </c>
      <c r="D6" t="s">
        <v>59</v>
      </c>
    </row>
    <row r="7" spans="2:4" x14ac:dyDescent="0.15">
      <c r="B7" t="s">
        <v>64</v>
      </c>
      <c r="C7" t="s">
        <v>42</v>
      </c>
      <c r="D7" t="s">
        <v>0</v>
      </c>
    </row>
    <row r="8" spans="2:4" x14ac:dyDescent="0.15">
      <c r="B8" t="s">
        <v>44</v>
      </c>
      <c r="C8" t="s">
        <v>131</v>
      </c>
      <c r="D8" t="s">
        <v>0</v>
      </c>
    </row>
    <row r="9" spans="2:4" x14ac:dyDescent="0.15">
      <c r="B9" t="s">
        <v>45</v>
      </c>
      <c r="C9" t="s">
        <v>62</v>
      </c>
      <c r="D9" t="s">
        <v>0</v>
      </c>
    </row>
    <row r="10" spans="2:4" x14ac:dyDescent="0.15">
      <c r="B10" t="s">
        <v>46</v>
      </c>
      <c r="C10" t="s">
        <v>62</v>
      </c>
      <c r="D10" t="s">
        <v>0</v>
      </c>
    </row>
    <row r="11" spans="2:4" x14ac:dyDescent="0.15">
      <c r="B11" t="s">
        <v>47</v>
      </c>
      <c r="C11" t="s">
        <v>62</v>
      </c>
      <c r="D11" t="s">
        <v>0</v>
      </c>
    </row>
    <row r="12" spans="2:4" x14ac:dyDescent="0.15">
      <c r="B12" t="s">
        <v>48</v>
      </c>
      <c r="C12" t="s">
        <v>62</v>
      </c>
      <c r="D12" t="s">
        <v>0</v>
      </c>
    </row>
    <row r="13" spans="2:4" x14ac:dyDescent="0.15">
      <c r="B13" t="s">
        <v>49</v>
      </c>
      <c r="C13" t="s">
        <v>62</v>
      </c>
      <c r="D13" t="s">
        <v>0</v>
      </c>
    </row>
    <row r="14" spans="2:4" x14ac:dyDescent="0.15">
      <c r="B14" t="s">
        <v>50</v>
      </c>
      <c r="C14" t="s">
        <v>58</v>
      </c>
      <c r="D14" t="s">
        <v>61</v>
      </c>
    </row>
    <row r="15" spans="2:4" x14ac:dyDescent="0.15">
      <c r="B15" t="s">
        <v>51</v>
      </c>
      <c r="C15" t="s">
        <v>62</v>
      </c>
      <c r="D15" t="s">
        <v>0</v>
      </c>
    </row>
    <row r="16" spans="2:4" x14ac:dyDescent="0.15">
      <c r="B16" t="s">
        <v>52</v>
      </c>
      <c r="C16" t="s">
        <v>62</v>
      </c>
      <c r="D16" t="s">
        <v>0</v>
      </c>
    </row>
    <row r="17" spans="2:4" x14ac:dyDescent="0.15">
      <c r="B17" t="s">
        <v>53</v>
      </c>
      <c r="C17" t="s">
        <v>62</v>
      </c>
      <c r="D17" t="s">
        <v>0</v>
      </c>
    </row>
    <row r="18" spans="2:4" x14ac:dyDescent="0.15">
      <c r="B18" t="s">
        <v>54</v>
      </c>
      <c r="C18" t="s">
        <v>62</v>
      </c>
      <c r="D18" t="s">
        <v>0</v>
      </c>
    </row>
    <row r="19" spans="2:4" x14ac:dyDescent="0.15">
      <c r="B19" t="s">
        <v>55</v>
      </c>
      <c r="C19" t="s">
        <v>62</v>
      </c>
      <c r="D19" t="s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2018-02-12T15:46:42Z</dcterms:modified>
</cp:coreProperties>
</file>