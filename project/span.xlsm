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3" i="5" l="1"/>
  <c r="AE14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5" i="5" l="1"/>
  <c r="AE7" i="5"/>
  <c r="AE9" i="5"/>
  <c r="AE17" i="5"/>
  <c r="AE18" i="5"/>
  <c r="AE8" i="5"/>
  <c r="AE16" i="5"/>
  <c r="AE10" i="5"/>
  <c r="AE11" i="5"/>
  <c r="AE12" i="5"/>
  <c r="E18" i="6"/>
  <c r="E17" i="6" l="1"/>
  <c r="E16" i="6"/>
  <c r="AP19" i="5"/>
  <c r="AH22" i="5"/>
  <c r="AF9" i="5"/>
  <c r="AF27" i="5"/>
  <c r="AI12" i="5"/>
  <c r="AO16" i="5"/>
  <c r="AN32" i="5"/>
  <c r="AJ29" i="5"/>
  <c r="AR22" i="5"/>
  <c r="AR17" i="5"/>
  <c r="AJ14" i="5"/>
  <c r="AK13" i="5"/>
  <c r="AF25" i="5"/>
  <c r="AM11" i="5"/>
  <c r="AH11" i="5"/>
  <c r="AN24" i="5"/>
  <c r="AK28" i="5"/>
  <c r="AL32" i="5"/>
  <c r="AQ27" i="5"/>
  <c r="AF31" i="5"/>
  <c r="AQ9" i="5"/>
  <c r="AO7" i="5"/>
  <c r="AL25" i="5"/>
  <c r="AM15" i="5"/>
  <c r="AN21" i="5"/>
  <c r="AP15" i="5"/>
  <c r="AN23" i="5"/>
  <c r="AH7" i="5"/>
  <c r="AM29" i="5"/>
  <c r="AR16" i="5"/>
  <c r="AR10" i="5"/>
  <c r="AR12" i="5"/>
  <c r="AR14" i="5"/>
  <c r="AI28" i="5"/>
  <c r="AH21" i="5"/>
  <c r="AF32" i="5"/>
  <c r="AG21" i="5"/>
  <c r="AL13" i="5"/>
  <c r="AH24" i="5"/>
  <c r="AQ14" i="5"/>
  <c r="AG31" i="5"/>
  <c r="AG19" i="5"/>
  <c r="AP10" i="5"/>
  <c r="AN31" i="5"/>
  <c r="AQ30" i="5"/>
  <c r="AP22" i="5"/>
  <c r="AQ26" i="5"/>
  <c r="AO24" i="5"/>
  <c r="AG7" i="5"/>
  <c r="AI30" i="5"/>
  <c r="AJ30" i="5"/>
  <c r="AG16" i="5"/>
  <c r="AQ8" i="5"/>
  <c r="AL27" i="5"/>
  <c r="AQ10" i="5"/>
  <c r="AQ22" i="5"/>
  <c r="AQ12" i="5"/>
  <c r="AF23" i="5"/>
  <c r="AK10" i="5"/>
  <c r="AR27" i="5"/>
  <c r="AI18" i="5"/>
  <c r="AM20" i="5"/>
  <c r="AI15" i="5"/>
  <c r="AL7" i="5"/>
  <c r="AL9" i="5"/>
  <c r="AO15" i="5"/>
  <c r="AM16" i="5"/>
  <c r="AQ29" i="5"/>
  <c r="AI25" i="5"/>
  <c r="AI21" i="5"/>
  <c r="AO30" i="5"/>
  <c r="AJ15" i="5"/>
  <c r="AP28" i="5"/>
  <c r="AN10" i="5"/>
  <c r="AP24" i="5"/>
  <c r="AH10" i="5"/>
  <c r="AQ13" i="5"/>
  <c r="AO12" i="5"/>
  <c r="AN25" i="5"/>
  <c r="AP32" i="5"/>
  <c r="AJ26" i="5"/>
  <c r="AO8" i="5"/>
  <c r="AJ24" i="5"/>
  <c r="AG20" i="5"/>
  <c r="AR11" i="5"/>
  <c r="AK17" i="5"/>
  <c r="AN16" i="5"/>
  <c r="AK12" i="5"/>
  <c r="AN12" i="5"/>
  <c r="AL18" i="5"/>
  <c r="AR23" i="5"/>
  <c r="AO19" i="5"/>
  <c r="AK32" i="5"/>
  <c r="AF22" i="5"/>
  <c r="AP7" i="5"/>
  <c r="AL29" i="5"/>
  <c r="AJ20" i="5"/>
  <c r="AJ32" i="5"/>
  <c r="AI29" i="5"/>
  <c r="AL28" i="5"/>
  <c r="AR19" i="5"/>
  <c r="AL24" i="5"/>
  <c r="AR21" i="5"/>
  <c r="AM21" i="5"/>
  <c r="AJ18" i="5"/>
  <c r="AR29" i="5"/>
  <c r="AI20" i="5"/>
  <c r="AI17" i="5"/>
  <c r="AI16" i="5"/>
  <c r="AF28" i="5"/>
  <c r="AL21" i="5"/>
  <c r="AK7" i="5"/>
  <c r="AJ25" i="5"/>
  <c r="AF8" i="5"/>
  <c r="AM25" i="5"/>
  <c r="AK23" i="5"/>
  <c r="AF26" i="5"/>
  <c r="AP20" i="5"/>
  <c r="AP16" i="5"/>
  <c r="AL10" i="5"/>
  <c r="AJ31" i="5"/>
  <c r="AG29" i="5"/>
  <c r="AQ31" i="5"/>
  <c r="AH32" i="5"/>
  <c r="AI32" i="5"/>
  <c r="AL26" i="5"/>
  <c r="AR9" i="5"/>
  <c r="AK26" i="5"/>
  <c r="AQ17" i="5"/>
  <c r="AK22" i="5"/>
  <c r="AH18" i="5"/>
  <c r="AL11" i="5"/>
  <c r="AR24" i="5"/>
  <c r="AR26" i="5"/>
  <c r="AG15" i="5"/>
  <c r="AH28" i="5"/>
  <c r="AP18" i="5"/>
  <c r="AM32" i="5"/>
  <c r="AP11" i="5"/>
  <c r="AQ18" i="5"/>
  <c r="AF15" i="5"/>
  <c r="AI14" i="5"/>
  <c r="AP31" i="5"/>
  <c r="AI10" i="5"/>
  <c r="AQ28" i="5"/>
  <c r="AH19" i="5"/>
  <c r="AO21" i="5"/>
  <c r="AM28" i="5"/>
  <c r="AL19" i="5"/>
  <c r="AO14" i="5"/>
  <c r="AL12" i="5"/>
  <c r="AO32" i="5"/>
  <c r="AL22" i="5"/>
  <c r="AR15" i="5"/>
  <c r="AR18" i="5"/>
  <c r="AP29" i="5"/>
  <c r="AJ11" i="5"/>
  <c r="AH17" i="5"/>
  <c r="AI19" i="5"/>
  <c r="AK18" i="5"/>
  <c r="AK14" i="5"/>
  <c r="AI9" i="5"/>
  <c r="AG17" i="5"/>
  <c r="AM26" i="5"/>
  <c r="AN18" i="5"/>
  <c r="AN14" i="5"/>
  <c r="AL20" i="5"/>
  <c r="AK16" i="5"/>
  <c r="AM7" i="5"/>
  <c r="AH12" i="5"/>
  <c r="AO29" i="5"/>
  <c r="AH8" i="5"/>
  <c r="AI27" i="5"/>
  <c r="AJ23" i="5"/>
  <c r="AO10" i="5"/>
  <c r="AN26" i="5"/>
  <c r="AQ20" i="5"/>
  <c r="AH13" i="5"/>
  <c r="AG28" i="5"/>
  <c r="AN27" i="5"/>
  <c r="AP21" i="5"/>
  <c r="AJ28" i="5"/>
  <c r="AH29" i="5"/>
  <c r="AO17" i="5"/>
  <c r="AI7" i="5"/>
  <c r="AP17" i="5"/>
  <c r="AO11" i="5"/>
  <c r="AG26" i="5"/>
  <c r="AM17" i="5"/>
  <c r="AG22" i="5"/>
  <c r="AQ11" i="5"/>
  <c r="AN17" i="5"/>
  <c r="AJ19" i="5"/>
  <c r="AL23" i="5"/>
  <c r="AQ15" i="5"/>
  <c r="AJ12" i="5"/>
  <c r="AQ7" i="5"/>
  <c r="AN30" i="5"/>
  <c r="AM9" i="5"/>
  <c r="AP27" i="5"/>
  <c r="AL14" i="5"/>
  <c r="AK27" i="5"/>
  <c r="AH23" i="5"/>
  <c r="AG23" i="5"/>
  <c r="AN22" i="5"/>
  <c r="AF16" i="5"/>
  <c r="AF12" i="5"/>
  <c r="AM18" i="5"/>
  <c r="AG11" i="5"/>
  <c r="AP25" i="5"/>
  <c r="AO26" i="5"/>
  <c r="AF29" i="5"/>
  <c r="AQ23" i="5"/>
  <c r="AK15" i="5"/>
  <c r="AI31" i="5"/>
  <c r="AF24" i="5"/>
  <c r="AL15" i="5"/>
  <c r="AR13" i="5"/>
  <c r="AP9" i="5"/>
  <c r="AG9" i="5"/>
  <c r="AM22" i="5"/>
  <c r="AI24" i="5"/>
  <c r="AF18" i="5"/>
  <c r="AH14" i="5"/>
  <c r="AN15" i="5"/>
  <c r="AF11" i="5"/>
  <c r="AM8" i="5"/>
  <c r="AM19" i="5"/>
  <c r="AJ9" i="5"/>
  <c r="AP13" i="5"/>
  <c r="AK29" i="5"/>
  <c r="AL17" i="5"/>
  <c r="AG8" i="5"/>
  <c r="AQ24" i="5"/>
  <c r="AN28" i="5"/>
  <c r="AR20" i="5"/>
  <c r="AO28" i="5"/>
  <c r="AF10" i="5"/>
  <c r="AQ16" i="5"/>
  <c r="AK9" i="5"/>
  <c r="AF19" i="5"/>
  <c r="AM13" i="5"/>
  <c r="AG12" i="5"/>
  <c r="AF17" i="5"/>
  <c r="AP8" i="5"/>
  <c r="AJ22" i="5"/>
  <c r="AO9" i="5"/>
  <c r="AJ17" i="5"/>
  <c r="AF14" i="5"/>
  <c r="AQ19" i="5"/>
  <c r="AR32" i="5"/>
  <c r="AJ21" i="5"/>
  <c r="AG10" i="5"/>
  <c r="AH26" i="5"/>
  <c r="AQ32" i="5"/>
  <c r="AR31" i="5"/>
  <c r="AP14" i="5"/>
  <c r="AN9" i="5"/>
  <c r="AJ27" i="5"/>
  <c r="AH9" i="5"/>
  <c r="AG24" i="5"/>
  <c r="AR25" i="5"/>
  <c r="AJ8" i="5"/>
  <c r="AQ25" i="5"/>
  <c r="AF20" i="5"/>
  <c r="AL31" i="5"/>
  <c r="AG25" i="5"/>
  <c r="AL8" i="5"/>
  <c r="AN8" i="5"/>
  <c r="AM12" i="5"/>
  <c r="AR7" i="5"/>
  <c r="AM24" i="5"/>
  <c r="AK11" i="5"/>
  <c r="AH15" i="5"/>
  <c r="AK31" i="5"/>
  <c r="AJ13" i="5"/>
  <c r="AR8" i="5"/>
  <c r="AI26" i="5"/>
  <c r="AH16" i="5"/>
  <c r="AO18" i="5"/>
  <c r="AP26" i="5"/>
  <c r="AH30" i="5"/>
  <c r="AF7" i="5"/>
  <c r="AL16" i="5"/>
  <c r="AK25" i="5"/>
  <c r="AP12" i="5"/>
  <c r="AP30" i="5"/>
  <c r="AN20" i="5"/>
  <c r="AK24" i="5"/>
  <c r="AJ7" i="5"/>
  <c r="AO20" i="5"/>
  <c r="AG32" i="5"/>
  <c r="AN29" i="5"/>
  <c r="AJ16" i="5"/>
  <c r="AI11" i="5"/>
  <c r="AR30" i="5"/>
  <c r="AP23" i="5"/>
  <c r="AK20" i="5"/>
  <c r="AG13" i="5"/>
  <c r="AF30" i="5"/>
  <c r="AH25" i="5"/>
  <c r="AM14" i="5"/>
  <c r="AH20" i="5"/>
  <c r="AG27" i="5"/>
  <c r="AN19" i="5"/>
  <c r="AM10" i="5"/>
  <c r="AO31" i="5"/>
  <c r="AI13" i="5"/>
  <c r="AK30" i="5"/>
  <c r="AG14" i="5"/>
  <c r="AR28" i="5"/>
  <c r="AJ10" i="5"/>
  <c r="AO27" i="5"/>
  <c r="AQ21" i="5"/>
  <c r="AI8" i="5"/>
  <c r="AI23" i="5"/>
  <c r="AM31" i="5"/>
  <c r="AI22" i="5"/>
  <c r="AN11" i="5"/>
  <c r="AO13" i="5"/>
  <c r="AN13" i="5"/>
  <c r="AM27" i="5"/>
  <c r="AM23" i="5"/>
  <c r="AH31" i="5"/>
  <c r="AF13" i="5"/>
  <c r="AG30" i="5"/>
  <c r="AO22" i="5"/>
  <c r="AK8" i="5"/>
  <c r="AN7" i="5"/>
  <c r="AG18" i="5"/>
  <c r="AO23" i="5"/>
  <c r="AK19" i="5"/>
  <c r="AO25" i="5"/>
  <c r="AM30" i="5"/>
  <c r="AK21" i="5"/>
  <c r="AL30" i="5"/>
  <c r="AF21" i="5"/>
  <c r="AH27" i="5"/>
  <c r="E12" i="6" l="1"/>
  <c r="J12" i="6"/>
  <c r="J16" i="6"/>
  <c r="J17" i="6"/>
  <c r="J18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9" i="6"/>
  <c r="J7" i="6"/>
  <c r="J8" i="6"/>
</calcChain>
</file>

<file path=xl/sharedStrings.xml><?xml version="1.0" encoding="utf-8"?>
<sst xmlns="http://schemas.openxmlformats.org/spreadsheetml/2006/main" count="882" uniqueCount="344">
  <si>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</si>
  <si>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</si>
  <si>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</si>
  <si>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</si>
  <si>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</si>
  <si>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</si>
  <si>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</si>
  <si>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</si>
  <si>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</si>
  <si>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</si>
  <si>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</si>
  <si>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</si>
  <si>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</si>
  <si>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</si>
  <si>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</si>
  <si>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</si>
  <si>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</si>
  <si>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</si>
  <si>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</si>
  <si>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</si>
  <si>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</si>
  <si>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</si>
  <si>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</si>
  <si>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</si>
  <si>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</si>
  <si>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</si>
  <si>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</si>
  <si>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</si>
  <si>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</si>
  <si>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</si>
  <si>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</si>
  <si>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</si>
  <si>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</si>
  <si>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</si>
  <si>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</si>
  <si>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</si>
  <si>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</si>
  <si>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</si>
  <si>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</si>
  <si>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</si>
  <si>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</si>
  <si>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</si>
  <si>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</si>
  <si>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</si>
  <si>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</si>
  <si>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</si>
  <si>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</si>
  <si>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</si>
  <si>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</si>
  <si>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</si>
  <si>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</si>
  <si>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</si>
  <si>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</si>
  <si>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</si>
  <si>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</si>
  <si>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</si>
  <si>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</si>
  <si>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</si>
  <si>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</si>
  <si>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</si>
  <si>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</si>
  <si>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</si>
  <si>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</si>
  <si>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</si>
  <si>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</si>
  <si>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</si>
  <si>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</si>
  <si>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</si>
  <si>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</si>
  <si>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</si>
  <si>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</si>
  <si>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</si>
  <si>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</si>
  <si>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</si>
  <si>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</si>
  <si>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</si>
  <si>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</si>
  <si>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</si>
  <si>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</si>
  <si>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</si>
  <si>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</si>
  <si>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</si>
  <si>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</si>
  <si>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</si>
  <si>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</si>
  <si>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</si>
  <si>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</si>
  <si>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</si>
  <si>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</si>
  <si>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</si>
  <si>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</si>
  <si>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</si>
  <si>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</si>
  <si>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</si>
  <si>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</si>
  <si>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</si>
  <si>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</si>
  <si>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</si>
  <si>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</si>
  <si>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</si>
  <si>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</si>
  <si>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</si>
  <si>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</si>
  <si>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</si>
  <si>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</si>
  <si>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</si>
  <si>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</si>
  <si>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</si>
  <si>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</si>
  <si>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</si>
  <si>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</si>
  <si>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</si>
  <si>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</si>
  <si>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</si>
  <si>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</si>
  <si>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</si>
  <si>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</si>
  <si>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</si>
  <si>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</si>
  <si>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</si>
  <si>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</si>
  <si>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</si>
  <si>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</si>
  <si>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</si>
  <si>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</si>
  <si>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</si>
  <si>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</si>
  <si>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</si>
  <si>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</si>
  <si>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</si>
  <si>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</si>
  <si>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</si>
  <si>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</si>
  <si>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</si>
  <si>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</si>
  <si>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</si>
  <si>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</si>
  <si>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</si>
  <si>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</si>
  <si>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</si>
  <si>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</si>
  <si>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</si>
  <si>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</si>
  <si>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</si>
  <si>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</si>
  <si>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</si>
  <si>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</si>
  <si>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</si>
  <si>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</si>
  <si>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</si>
  <si>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</si>
  <si>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</si>
  <si>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</si>
  <si>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</si>
  <si>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</si>
  <si>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</si>
  <si>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</si>
  <si>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</si>
  <si>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</si>
  <si>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</si>
  <si>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</si>
  <si>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</si>
  <si>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</si>
  <si>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</si>
  <si>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</si>
  <si>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</si>
  <si>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</si>
  <si>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</si>
  <si>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</si>
  <si>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</si>
  <si>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</si>
  <si>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</si>
  <si>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</si>
  <si>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</si>
  <si>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</si>
  <si>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</si>
  <si>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</si>
  <si>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</si>
  <si>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</si>
  <si>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</si>
  <si>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</si>
  <si>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</si>
  <si>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</si>
  <si>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</si>
  <si>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</si>
  <si>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</si>
  <si>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</si>
  <si>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</si>
  <si>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</si>
  <si>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</si>
  <si>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</si>
  <si>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</si>
  <si>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</si>
  <si>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</si>
  <si>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</si>
  <si>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</si>
  <si>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</si>
  <si>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</si>
  <si>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</si>
  <si>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</si>
  <si>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</si>
  <si>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</si>
  <si>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</si>
  <si>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</si>
  <si>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</si>
  <si>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</si>
  <si>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</si>
  <si>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</si>
  <si>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</si>
  <si>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</si>
  <si>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</si>
  <si>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</si>
  <si>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</si>
  <si>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</si>
  <si>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</si>
  <si>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</si>
  <si>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</si>
  <si>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</si>
  <si>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</si>
  <si>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</si>
  <si>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</si>
  <si>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</si>
  <si>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</si>
  <si>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</si>
  <si>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</si>
  <si>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</si>
  <si>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</si>
  <si>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</si>
  <si>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</si>
  <si>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</si>
  <si>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</si>
  <si>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</si>
  <si>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</si>
  <si>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</si>
  <si>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</si>
  <si>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</si>
  <si>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</si>
  <si>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</si>
  <si>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</si>
  <si>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</si>
  <si>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</si>
  <si>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</si>
  <si>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gcz18e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</si>
  <si>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</si>
  <si>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</si>
  <si>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</si>
  <si>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</si>
  <si>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</si>
  <si>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</si>
  <si>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</si>
  <si>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</si>
  <si>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</si>
  <si>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</si>
  <si>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</si>
  <si>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</si>
  <si>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</si>
  <si>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</si>
  <si>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</si>
  <si>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</si>
  <si>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</si>
  <si>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</si>
  <si>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</si>
  <si>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</si>
  <si>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</si>
  <si>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</si>
  <si>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</si>
  <si>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</si>
  <si>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</si>
  <si>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</si>
  <si>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</si>
  <si>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</si>
  <si>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</si>
  <si>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</si>
  <si>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</si>
  <si>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</si>
  <si>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</si>
  <si>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</si>
  <si>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</si>
  <si>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</si>
  <si>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</si>
  <si>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</si>
  <si>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</si>
  <si>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</si>
  <si>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</si>
  <si>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</si>
  <si>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</si>
  <si>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</si>
  <si>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</si>
  <si>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</si>
  <si>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</si>
  <si>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</si>
  <si>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</si>
  <si>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</si>
  <si>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</si>
  <si>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</si>
  <si>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</si>
  <si>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</si>
  <si>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</si>
  <si>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</si>
  <si>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</si>
  <si>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</si>
  <si>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</si>
  <si>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</si>
  <si>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</si>
  <si>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</si>
  <si>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</si>
  <si>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</si>
  <si>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</si>
  <si>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</si>
  <si>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</si>
  <si>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</si>
  <si>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</si>
  <si>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</si>
  <si>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</si>
  <si>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</si>
  <si>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</si>
  <si>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</si>
  <si>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</si>
  <si>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</si>
  <si>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</si>
  <si>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</si>
  <si>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</si>
  <si>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</si>
  <si>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</si>
  <si>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</si>
  <si>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</si>
  <si>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</si>
  <si>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</si>
  <si>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</si>
  <si>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</si>
  <si>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</si>
  <si>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</si>
  <si>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</si>
  <si>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</si>
  <si>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</si>
  <si>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</si>
  <si>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</si>
  <si>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</si>
  <si>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</si>
  <si>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</si>
  <si>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</si>
  <si>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</si>
  <si>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</si>
  <si>
    <t>20171109-CICC-ZYXD-RB1805-VAN-P-155-UW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</si>
</sst>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180" fontId="3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2" totalsRowShown="0" headerRowDxfId="126" dataDxfId="125">
  <autoFilter ref="B6:AR32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6" totalsRowShown="0" headerRowDxfId="68" dataDxfId="67">
  <autoFilter ref="B8:N46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2"/>
  <sheetViews>
    <sheetView tabSelected="1" zoomScaleNormal="100" workbookViewId="0">
      <selection activeCell="I37" sqref="I37:I39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43199</v>
      </c>
      <c r="AE4" s="8"/>
    </row>
    <row r="6" spans="1:46">
      <c r="A6" s="6" t="s">
        <v>222</v>
      </c>
      <c r="B6" s="6" t="s">
        <v>204</v>
      </c>
      <c r="C6" s="6" t="s">
        <v>81</v>
      </c>
      <c r="D6" s="6" t="s">
        <v>165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111</v>
      </c>
      <c r="D7" s="9" t="s">
        <v>166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3408</v>
      </c>
      <c r="P7" s="9">
        <v>0.18</v>
      </c>
      <c r="Q7" s="9" t="s">
        <v>164</v>
      </c>
      <c r="R7" s="9" t="s">
        <v>261</v>
      </c>
      <c r="S7" s="9" t="s">
        <v>262</v>
      </c>
      <c r="T7" s="9" t="s">
        <v>263</v>
      </c>
      <c r="U7" s="9" t="s">
        <v>264</v>
      </c>
      <c r="V7" s="9" t="s">
        <v>265</v>
      </c>
      <c r="W7" s="9" t="s">
        <v>266</v>
      </c>
      <c r="X7" s="9" t="s">
        <v>267</v>
      </c>
      <c r="Y7" s="9" t="s">
        <v>268</v>
      </c>
      <c r="Z7" s="9" t="s">
        <v>269</v>
      </c>
      <c r="AA7" s="9" t="s">
        <v>270</v>
      </c>
      <c r="AB7" s="9" t="s">
        <v>271</v>
      </c>
      <c r="AC7" s="9" t="s">
        <v>272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0.16575353218210359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1188042.857765093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611427.82346638036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155477.84550179093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-128120.96471390733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1796344.9524063589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2391830.2626692783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3004571.5722060739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-101869.32246572312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-153735.96051738516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3004572.0134122991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3004571.5299978517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-274804.68432988797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1504319.9787020986</v>
      </c>
    </row>
    <row r="8" spans="1:46">
      <c r="B8" s="9" t="s">
        <v>67</v>
      </c>
      <c r="C8" s="9" t="s">
        <v>111</v>
      </c>
      <c r="D8" s="9" t="s">
        <v>166</v>
      </c>
      <c r="E8" s="9">
        <v>1000</v>
      </c>
      <c r="F8" s="9">
        <v>3720.0000015999999</v>
      </c>
      <c r="G8" s="7">
        <v>43140</v>
      </c>
      <c r="H8" s="7">
        <v>43205.625</v>
      </c>
      <c r="I8" s="7">
        <v>43205.625</v>
      </c>
      <c r="J8" s="9">
        <v>-499999.99575</v>
      </c>
      <c r="K8" s="9" t="s">
        <v>6</v>
      </c>
      <c r="L8" s="9" t="s">
        <v>64</v>
      </c>
      <c r="M8" s="9" t="s">
        <v>62</v>
      </c>
      <c r="N8" s="9">
        <v>10000</v>
      </c>
      <c r="O8" s="9">
        <v>3408</v>
      </c>
      <c r="P8" s="9">
        <v>0.18</v>
      </c>
      <c r="Q8" s="9" t="s">
        <v>164</v>
      </c>
      <c r="R8" s="9" t="s">
        <v>261</v>
      </c>
      <c r="S8" s="9" t="s">
        <v>262</v>
      </c>
      <c r="T8" s="9" t="s">
        <v>263</v>
      </c>
      <c r="U8" s="9" t="s">
        <v>264</v>
      </c>
      <c r="V8" s="9" t="s">
        <v>265</v>
      </c>
      <c r="W8" s="9" t="s">
        <v>266</v>
      </c>
      <c r="X8" s="9" t="s">
        <v>267</v>
      </c>
      <c r="Y8" s="9" t="s">
        <v>268</v>
      </c>
      <c r="Z8" s="9" t="s">
        <v>269</v>
      </c>
      <c r="AA8" s="9" t="s">
        <v>270</v>
      </c>
      <c r="AB8" s="9" t="s">
        <v>271</v>
      </c>
      <c r="AC8" s="9" t="s">
        <v>272</v>
      </c>
      <c r="AD8" s="9">
        <v>0.125</v>
      </c>
      <c r="AE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0.17444761904761905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2618886.9796201689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1396336.337542448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302547.93489084055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-351079.66390870139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3845302.3386910548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5037669.4054809799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6264104.112062715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-321236.96570403158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-379864.80617797165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6264104.1120627141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6264104.112062715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-499999.75936789822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3131345.5423788019</v>
      </c>
    </row>
    <row r="9" spans="1:46">
      <c r="B9" s="9" t="s">
        <v>95</v>
      </c>
      <c r="C9" s="9" t="s">
        <v>112</v>
      </c>
      <c r="D9" s="9" t="s">
        <v>166</v>
      </c>
      <c r="E9" s="9">
        <v>100</v>
      </c>
      <c r="F9" s="9">
        <v>524</v>
      </c>
      <c r="G9" s="7">
        <v>43139</v>
      </c>
      <c r="H9" s="7">
        <v>43201.625</v>
      </c>
      <c r="I9" s="7">
        <v>43201.625</v>
      </c>
      <c r="J9" s="9">
        <v>-235800</v>
      </c>
      <c r="K9" s="9" t="s">
        <v>6</v>
      </c>
      <c r="L9" s="9" t="s">
        <v>106</v>
      </c>
      <c r="M9" s="9" t="s">
        <v>135</v>
      </c>
      <c r="N9" s="9">
        <v>10000</v>
      </c>
      <c r="O9" s="9">
        <v>435.5</v>
      </c>
      <c r="P9" s="9">
        <v>0.36</v>
      </c>
      <c r="Q9" s="9" t="s">
        <v>164</v>
      </c>
      <c r="R9" s="9" t="s">
        <v>273</v>
      </c>
      <c r="S9" s="9" t="s">
        <v>274</v>
      </c>
      <c r="T9" s="9" t="s">
        <v>275</v>
      </c>
      <c r="U9" s="9" t="s">
        <v>276</v>
      </c>
      <c r="V9" s="9" t="s">
        <v>277</v>
      </c>
      <c r="W9" s="9" t="s">
        <v>278</v>
      </c>
      <c r="X9" s="9" t="s">
        <v>279</v>
      </c>
      <c r="Y9" s="9" t="s">
        <v>280</v>
      </c>
      <c r="Z9" s="9" t="s">
        <v>281</v>
      </c>
      <c r="AA9" s="9" t="s">
        <v>282</v>
      </c>
      <c r="AB9" s="9" t="s">
        <v>283</v>
      </c>
      <c r="AC9" s="9" t="s">
        <v>284</v>
      </c>
      <c r="AD9" s="9">
        <v>0.125</v>
      </c>
      <c r="AE9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0.35014970059880235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649072.7146388191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466189.03932485322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287666.91615748015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105388.5262051734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831956.40755314659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1010485.7268315987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1193369.4197509887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105977.80644808157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105034.95457001729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1193369.4197509887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1193369.4197509887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-233189.80168866881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454913.14370387746</v>
      </c>
    </row>
    <row r="10" spans="1:46">
      <c r="B10" s="9" t="s">
        <v>96</v>
      </c>
      <c r="C10" s="9" t="s">
        <v>112</v>
      </c>
      <c r="D10" s="9" t="s">
        <v>166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43</v>
      </c>
      <c r="L10" s="9" t="s">
        <v>106</v>
      </c>
      <c r="M10" s="9" t="s">
        <v>135</v>
      </c>
      <c r="N10" s="9">
        <v>10000</v>
      </c>
      <c r="O10" s="9">
        <v>435.5</v>
      </c>
      <c r="P10" s="9">
        <v>0.36</v>
      </c>
      <c r="Q10" s="9" t="s">
        <v>164</v>
      </c>
      <c r="R10" s="9" t="s">
        <v>273</v>
      </c>
      <c r="S10" s="9" t="s">
        <v>274</v>
      </c>
      <c r="T10" s="9" t="s">
        <v>275</v>
      </c>
      <c r="U10" s="9" t="s">
        <v>276</v>
      </c>
      <c r="V10" s="9" t="s">
        <v>277</v>
      </c>
      <c r="W10" s="9" t="s">
        <v>278</v>
      </c>
      <c r="X10" s="9" t="s">
        <v>279</v>
      </c>
      <c r="Y10" s="9" t="s">
        <v>280</v>
      </c>
      <c r="Z10" s="9" t="s">
        <v>281</v>
      </c>
      <c r="AA10" s="9" t="s">
        <v>282</v>
      </c>
      <c r="AB10" s="9" t="s">
        <v>283</v>
      </c>
      <c r="AC10" s="9" t="s">
        <v>284</v>
      </c>
      <c r="AD10" s="9">
        <v>0.125</v>
      </c>
      <c r="AE10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0.35014970059880235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-235799.99999493704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-235799.98238951253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-235792.78627843314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-235187.48331135025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-235799.99999999985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-235800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-235800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-234598.20306844215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-235541.05494650558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-235800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-235800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-161887.55822842056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1" spans="1:46">
      <c r="B11" s="9" t="s">
        <v>68</v>
      </c>
      <c r="C11" s="9" t="s">
        <v>111</v>
      </c>
      <c r="D11" s="9" t="s">
        <v>166</v>
      </c>
      <c r="E11" s="9">
        <v>1000</v>
      </c>
      <c r="F11" s="9">
        <v>3650.00000142</v>
      </c>
      <c r="G11" s="7">
        <v>43132</v>
      </c>
      <c r="H11" s="7">
        <v>43205.625</v>
      </c>
      <c r="I11" s="7">
        <v>43205.625</v>
      </c>
      <c r="J11" s="9">
        <v>-429999.99489999999</v>
      </c>
      <c r="K11" s="9" t="s">
        <v>6</v>
      </c>
      <c r="L11" s="9" t="s">
        <v>64</v>
      </c>
      <c r="M11" s="9" t="s">
        <v>62</v>
      </c>
      <c r="N11" s="9">
        <v>10000</v>
      </c>
      <c r="O11" s="9">
        <v>3408</v>
      </c>
      <c r="P11" s="9">
        <v>0.18</v>
      </c>
      <c r="Q11" s="9" t="s">
        <v>164</v>
      </c>
      <c r="R11" s="9" t="s">
        <v>261</v>
      </c>
      <c r="S11" s="9" t="s">
        <v>262</v>
      </c>
      <c r="T11" s="9" t="s">
        <v>263</v>
      </c>
      <c r="U11" s="9" t="s">
        <v>264</v>
      </c>
      <c r="V11" s="9" t="s">
        <v>265</v>
      </c>
      <c r="W11" s="9" t="s">
        <v>266</v>
      </c>
      <c r="X11" s="9" t="s">
        <v>267</v>
      </c>
      <c r="Y11" s="9" t="s">
        <v>268</v>
      </c>
      <c r="Z11" s="9" t="s">
        <v>269</v>
      </c>
      <c r="AA11" s="9" t="s">
        <v>270</v>
      </c>
      <c r="AB11" s="9" t="s">
        <v>271</v>
      </c>
      <c r="AC11" s="9" t="s">
        <v>272</v>
      </c>
      <c r="AD11" s="9">
        <v>0.125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0.17505093378607811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1989558.4931675063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793093.6802309514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-86563.384134326072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-398027.87898752908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3215557.0692889234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4407923.4681058107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5634358.1745853573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-383719.64342586638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-409773.05678108847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5634358.1745855035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5634358.1745853592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-429999.99119682697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2956434.4648142275</v>
      </c>
    </row>
    <row r="12" spans="1:46">
      <c r="B12" s="9" t="s">
        <v>8</v>
      </c>
      <c r="C12" s="9" t="s">
        <v>113</v>
      </c>
      <c r="D12" s="9" t="s">
        <v>166</v>
      </c>
      <c r="E12" s="9">
        <v>400</v>
      </c>
      <c r="F12" s="9">
        <v>14500.000004</v>
      </c>
      <c r="G12" s="7">
        <v>43118</v>
      </c>
      <c r="H12" s="7">
        <v>43200.625</v>
      </c>
      <c r="I12" s="7">
        <v>43200.625</v>
      </c>
      <c r="J12" s="9">
        <v>-400000</v>
      </c>
      <c r="K12" s="9" t="s">
        <v>6</v>
      </c>
      <c r="L12" s="9" t="s">
        <v>9</v>
      </c>
      <c r="M12" s="9" t="s">
        <v>10</v>
      </c>
      <c r="N12" s="9">
        <v>2000</v>
      </c>
      <c r="O12" s="9">
        <v>14200</v>
      </c>
      <c r="P12" s="9">
        <v>0.14000000000000001</v>
      </c>
      <c r="Q12" s="9" t="s">
        <v>164</v>
      </c>
      <c r="R12" s="9" t="s">
        <v>180</v>
      </c>
      <c r="S12" s="9" t="s">
        <v>196</v>
      </c>
      <c r="T12" s="9" t="s">
        <v>197</v>
      </c>
      <c r="U12" s="9" t="s">
        <v>181</v>
      </c>
      <c r="V12" s="9" t="s">
        <v>198</v>
      </c>
      <c r="W12" s="9" t="s">
        <v>199</v>
      </c>
      <c r="X12" s="9" t="s">
        <v>200</v>
      </c>
      <c r="Y12" s="9" t="s">
        <v>201</v>
      </c>
      <c r="Z12" s="9" t="s">
        <v>202</v>
      </c>
      <c r="AA12" s="9" t="s">
        <v>203</v>
      </c>
      <c r="AB12" s="9" t="s">
        <v>220</v>
      </c>
      <c r="AC12" s="9" t="s">
        <v>221</v>
      </c>
      <c r="AD12" s="9">
        <v>0.12</v>
      </c>
      <c r="AE12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0.13960665658093799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201096.95655653381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-259470.57629735174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-395697.03022703424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-399995.47964790423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739499.0130882042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1279050.496850461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1846999.9237565948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-399979.44018133491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-399999.38125355879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1846999.9237565938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1846999.9237565948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-400000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952979.52665664442</v>
      </c>
      <c r="AT12" s="29"/>
    </row>
    <row r="13" spans="1:46">
      <c r="B13" s="9" t="s">
        <v>101</v>
      </c>
      <c r="C13" s="9" t="s">
        <v>115</v>
      </c>
      <c r="D13" s="9" t="s">
        <v>166</v>
      </c>
      <c r="E13" s="9">
        <v>-500</v>
      </c>
      <c r="F13" s="9">
        <v>3599.9999997999998</v>
      </c>
      <c r="G13" s="7">
        <v>43048</v>
      </c>
      <c r="H13" s="7">
        <v>43203.625</v>
      </c>
      <c r="I13" s="7">
        <v>43048</v>
      </c>
      <c r="J13" s="9">
        <v>931199.99399999995</v>
      </c>
      <c r="K13" s="9" t="s">
        <v>6</v>
      </c>
      <c r="L13" s="9" t="s">
        <v>109</v>
      </c>
      <c r="M13" s="9" t="s">
        <v>62</v>
      </c>
      <c r="N13" s="9">
        <v>-5000</v>
      </c>
      <c r="O13" s="9">
        <v>3649</v>
      </c>
      <c r="P13" s="9">
        <v>0.18</v>
      </c>
      <c r="Q13" s="9" t="s">
        <v>164</v>
      </c>
      <c r="R13" s="9" t="s">
        <v>261</v>
      </c>
      <c r="S13" s="9" t="s">
        <v>262</v>
      </c>
      <c r="T13" s="9" t="s">
        <v>263</v>
      </c>
      <c r="U13" s="9" t="s">
        <v>264</v>
      </c>
      <c r="V13" s="9" t="s">
        <v>265</v>
      </c>
      <c r="W13" s="9" t="s">
        <v>266</v>
      </c>
      <c r="X13" s="9" t="s">
        <v>267</v>
      </c>
      <c r="Y13" s="9" t="s">
        <v>268</v>
      </c>
      <c r="Z13" s="9" t="s">
        <v>269</v>
      </c>
      <c r="AA13" s="9" t="s">
        <v>270</v>
      </c>
      <c r="AB13" s="9" t="s">
        <v>271</v>
      </c>
      <c r="AC13" s="9" t="s">
        <v>272</v>
      </c>
      <c r="AD13" s="9"/>
      <c r="AE1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-55422.106188629899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-978.15490689337605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-2.1479316267431607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-4.2239383354654837E-4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-434449.3814558225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-1050280.4295101569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-1706782.4321285808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-9.1331193956212375E-3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-7.0661951854780908E-6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-1706782.7086792265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-1706782.4046903746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-1.3895510725008855E-20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-1274091.822449099</v>
      </c>
    </row>
    <row r="14" spans="1:46">
      <c r="B14" s="9" t="s">
        <v>102</v>
      </c>
      <c r="C14" s="9" t="s">
        <v>115</v>
      </c>
      <c r="D14" s="9" t="s">
        <v>166</v>
      </c>
      <c r="E14" s="9">
        <v>-500</v>
      </c>
      <c r="F14" s="9">
        <v>4000.0000002000002</v>
      </c>
      <c r="G14" s="7">
        <v>43048</v>
      </c>
      <c r="H14" s="7">
        <v>43203.625</v>
      </c>
      <c r="I14" s="7">
        <v>43048</v>
      </c>
      <c r="J14" s="9">
        <v>1122200.0019999999</v>
      </c>
      <c r="K14" s="9" t="s">
        <v>43</v>
      </c>
      <c r="L14" s="9" t="s">
        <v>109</v>
      </c>
      <c r="M14" s="9" t="s">
        <v>62</v>
      </c>
      <c r="N14" s="9">
        <v>-5000</v>
      </c>
      <c r="O14" s="9">
        <v>3649</v>
      </c>
      <c r="P14" s="9">
        <v>0.18</v>
      </c>
      <c r="Q14" s="9" t="s">
        <v>164</v>
      </c>
      <c r="R14" s="9" t="s">
        <v>261</v>
      </c>
      <c r="S14" s="9" t="s">
        <v>262</v>
      </c>
      <c r="T14" s="9" t="s">
        <v>263</v>
      </c>
      <c r="U14" s="9" t="s">
        <v>264</v>
      </c>
      <c r="V14" s="9" t="s">
        <v>265</v>
      </c>
      <c r="W14" s="9" t="s">
        <v>266</v>
      </c>
      <c r="X14" s="9" t="s">
        <v>267</v>
      </c>
      <c r="Y14" s="9" t="s">
        <v>268</v>
      </c>
      <c r="Z14" s="9" t="s">
        <v>269</v>
      </c>
      <c r="AA14" s="9" t="s">
        <v>270</v>
      </c>
      <c r="AB14" s="9" t="s">
        <v>271</v>
      </c>
      <c r="AC14" s="9" t="s">
        <v>272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-0.22879084966790639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-312.89268130698912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-24999.777780964694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-279684.27486406465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-6.4831232941711843E-6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-6.993123262161475E-12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-8.155235531362543E-20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-294283.45901054819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-265426.52480870491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-7.7844010353876145E-16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-3.6475077798777246E-25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-745725.74850066076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-1.4806916838833847E-56</v>
      </c>
    </row>
    <row r="15" spans="1:46">
      <c r="B15" s="9" t="s">
        <v>103</v>
      </c>
      <c r="C15" s="9" t="s">
        <v>116</v>
      </c>
      <c r="D15" s="9" t="s">
        <v>166</v>
      </c>
      <c r="E15" s="9">
        <v>500</v>
      </c>
      <c r="F15" s="9">
        <v>450</v>
      </c>
      <c r="G15" s="7">
        <v>43048</v>
      </c>
      <c r="H15" s="7">
        <v>43203.625</v>
      </c>
      <c r="I15" s="7">
        <v>43203.625</v>
      </c>
      <c r="J15" s="9">
        <v>-760500</v>
      </c>
      <c r="K15" s="9" t="s">
        <v>6</v>
      </c>
      <c r="L15" s="9" t="s">
        <v>106</v>
      </c>
      <c r="M15" s="9" t="s">
        <v>135</v>
      </c>
      <c r="N15" s="9">
        <v>50000</v>
      </c>
      <c r="O15" s="9">
        <v>435.5</v>
      </c>
      <c r="P15" s="9">
        <v>0.36</v>
      </c>
      <c r="Q15" s="9" t="s">
        <v>164</v>
      </c>
      <c r="R15" s="9" t="s">
        <v>273</v>
      </c>
      <c r="S15" s="9" t="s">
        <v>274</v>
      </c>
      <c r="T15" s="9" t="s">
        <v>275</v>
      </c>
      <c r="U15" s="9" t="s">
        <v>276</v>
      </c>
      <c r="V15" s="9" t="s">
        <v>277</v>
      </c>
      <c r="W15" s="9" t="s">
        <v>278</v>
      </c>
      <c r="X15" s="9" t="s">
        <v>279</v>
      </c>
      <c r="Y15" s="9" t="s">
        <v>280</v>
      </c>
      <c r="Z15" s="9" t="s">
        <v>281</v>
      </c>
      <c r="AA15" s="9" t="s">
        <v>282</v>
      </c>
      <c r="AB15" s="9" t="s">
        <v>283</v>
      </c>
      <c r="AC15" s="9" t="s">
        <v>284</v>
      </c>
      <c r="AD15" s="9">
        <v>0.27</v>
      </c>
      <c r="AE15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0.35732530120481926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68631.884353807312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-484943.96603471355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-705041.34969106666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-754626.0413557468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888748.58693479351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1771547.204270883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2685504.8437359952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-749656.29590783827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-757806.76949673006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2685520.1880644811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2685501.9155003778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-760499.92479356984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1398015.4096513633</v>
      </c>
    </row>
    <row r="16" spans="1:46">
      <c r="B16" s="9" t="s">
        <v>104</v>
      </c>
      <c r="C16" s="9" t="s">
        <v>116</v>
      </c>
      <c r="D16" s="9" t="s">
        <v>166</v>
      </c>
      <c r="E16" s="9">
        <v>1500</v>
      </c>
      <c r="F16" s="9">
        <v>4000</v>
      </c>
      <c r="G16" s="7">
        <v>43048</v>
      </c>
      <c r="H16" s="7">
        <v>43203.625</v>
      </c>
      <c r="I16" s="7">
        <v>43203.625</v>
      </c>
      <c r="J16" s="9">
        <v>-2317950</v>
      </c>
      <c r="K16" s="9" t="s">
        <v>43</v>
      </c>
      <c r="L16" s="9" t="s">
        <v>109</v>
      </c>
      <c r="M16" s="9" t="s">
        <v>62</v>
      </c>
      <c r="N16" s="9">
        <v>15000</v>
      </c>
      <c r="O16" s="9">
        <v>3649</v>
      </c>
      <c r="P16" s="9">
        <v>0.18</v>
      </c>
      <c r="Q16" s="9" t="s">
        <v>164</v>
      </c>
      <c r="R16" s="9" t="s">
        <v>261</v>
      </c>
      <c r="S16" s="9" t="s">
        <v>262</v>
      </c>
      <c r="T16" s="9" t="s">
        <v>263</v>
      </c>
      <c r="U16" s="9" t="s">
        <v>264</v>
      </c>
      <c r="V16" s="9" t="s">
        <v>265</v>
      </c>
      <c r="W16" s="9" t="s">
        <v>266</v>
      </c>
      <c r="X16" s="9" t="s">
        <v>267</v>
      </c>
      <c r="Y16" s="9" t="s">
        <v>268</v>
      </c>
      <c r="Z16" s="9" t="s">
        <v>269</v>
      </c>
      <c r="AA16" s="9" t="s">
        <v>270</v>
      </c>
      <c r="AB16" s="9" t="s">
        <v>271</v>
      </c>
      <c r="AC16" s="9" t="s">
        <v>272</v>
      </c>
      <c r="AD16" s="9">
        <v>0.255</v>
      </c>
      <c r="AE16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0.18222891566265059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-2317949.0882852604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-2316885.4101349036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-2239853.1815925925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-1473523.6531973383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-2317949.9999671443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-2317950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-2317950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-1429068.7895352961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-1516963.8363054167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-2317950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-2317950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-80772.743684036192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</row>
    <row r="17" spans="2:46">
      <c r="B17" s="9" t="s">
        <v>105</v>
      </c>
      <c r="C17" s="9" t="s">
        <v>116</v>
      </c>
      <c r="D17" s="9" t="s">
        <v>166</v>
      </c>
      <c r="E17" s="9">
        <v>1500</v>
      </c>
      <c r="F17" s="9">
        <v>3600</v>
      </c>
      <c r="G17" s="7">
        <v>43048</v>
      </c>
      <c r="H17" s="7">
        <v>43203.625</v>
      </c>
      <c r="I17" s="7">
        <v>43203.625</v>
      </c>
      <c r="J17" s="9">
        <v>-2277450</v>
      </c>
      <c r="K17" s="9" t="s">
        <v>6</v>
      </c>
      <c r="L17" s="9" t="s">
        <v>109</v>
      </c>
      <c r="M17" s="9" t="s">
        <v>62</v>
      </c>
      <c r="N17" s="9">
        <v>15000</v>
      </c>
      <c r="O17" s="9">
        <v>3649</v>
      </c>
      <c r="P17" s="9">
        <v>0.18</v>
      </c>
      <c r="Q17" s="9" t="s">
        <v>164</v>
      </c>
      <c r="R17" s="9" t="s">
        <v>261</v>
      </c>
      <c r="S17" s="9" t="s">
        <v>262</v>
      </c>
      <c r="T17" s="9" t="s">
        <v>263</v>
      </c>
      <c r="U17" s="9" t="s">
        <v>264</v>
      </c>
      <c r="V17" s="9" t="s">
        <v>265</v>
      </c>
      <c r="W17" s="9" t="s">
        <v>266</v>
      </c>
      <c r="X17" s="9" t="s">
        <v>267</v>
      </c>
      <c r="Y17" s="9" t="s">
        <v>268</v>
      </c>
      <c r="Z17" s="9" t="s">
        <v>269</v>
      </c>
      <c r="AA17" s="9" t="s">
        <v>270</v>
      </c>
      <c r="AB17" s="9" t="s">
        <v>271</v>
      </c>
      <c r="AC17" s="9" t="s">
        <v>272</v>
      </c>
      <c r="AD17" s="9">
        <v>0.255</v>
      </c>
      <c r="AE1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0.18222891566265059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-2106817.3044025269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-2274203.0841287547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-2277441.8632223946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-2277449.9980563386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-971297.78474960802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873459.05821203021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2842897.3328552311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-2277449.9607559149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-2277449.9999643355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2842898.4214104023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2842897.2189018289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-2277450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1544825.4683970325</v>
      </c>
    </row>
    <row r="18" spans="2:46">
      <c r="B18" s="9" t="s">
        <v>342</v>
      </c>
      <c r="C18" s="9" t="s">
        <v>116</v>
      </c>
      <c r="D18" s="9" t="s">
        <v>166</v>
      </c>
      <c r="E18" s="9">
        <v>-1500</v>
      </c>
      <c r="F18" s="9">
        <v>3600</v>
      </c>
      <c r="G18" s="7">
        <v>43048</v>
      </c>
      <c r="H18" s="7">
        <v>43203.625</v>
      </c>
      <c r="I18" s="7">
        <v>43203.625</v>
      </c>
      <c r="J18" s="9">
        <v>930000</v>
      </c>
      <c r="K18" s="9" t="s">
        <v>6</v>
      </c>
      <c r="L18" s="9" t="s">
        <v>109</v>
      </c>
      <c r="M18" s="9" t="s">
        <v>62</v>
      </c>
      <c r="N18" s="9">
        <v>-15000</v>
      </c>
      <c r="O18" s="9">
        <v>3649</v>
      </c>
      <c r="P18" s="9">
        <v>0.18</v>
      </c>
      <c r="Q18" s="9" t="s">
        <v>164</v>
      </c>
      <c r="R18" s="9" t="s">
        <v>261</v>
      </c>
      <c r="S18" s="9" t="s">
        <v>262</v>
      </c>
      <c r="T18" s="9" t="s">
        <v>263</v>
      </c>
      <c r="U18" s="9" t="s">
        <v>264</v>
      </c>
      <c r="V18" s="9" t="s">
        <v>265</v>
      </c>
      <c r="W18" s="9" t="s">
        <v>266</v>
      </c>
      <c r="X18" s="9" t="s">
        <v>267</v>
      </c>
      <c r="Y18" s="9" t="s">
        <v>268</v>
      </c>
      <c r="Z18" s="9" t="s">
        <v>269</v>
      </c>
      <c r="AA18" s="9" t="s">
        <v>270</v>
      </c>
      <c r="AB18" s="9" t="s">
        <v>271</v>
      </c>
      <c r="AC18" s="9" t="s">
        <v>272</v>
      </c>
      <c r="AD18" s="9">
        <v>0.255</v>
      </c>
      <c r="AE1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0.18222891566265059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759367.30440252693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926753.08412875456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929991.86322239449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929999.99805633875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-376152.21525039198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-2220909.0582120302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-4190347.3328552311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929999.9607559148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929999.99996433523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-4190348.4214104023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-4190347.2189018289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930000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-2892275.4683970325</v>
      </c>
      <c r="AT18" s="29"/>
    </row>
    <row r="19" spans="2:46">
      <c r="B19" s="9" t="s">
        <v>285</v>
      </c>
      <c r="C19" s="9" t="s">
        <v>170</v>
      </c>
      <c r="D19" s="9" t="s">
        <v>247</v>
      </c>
      <c r="E19" s="9">
        <v>-64</v>
      </c>
      <c r="F19" s="9">
        <v>16.545999999999999</v>
      </c>
      <c r="G19" s="7">
        <v>43157</v>
      </c>
      <c r="H19" s="7">
        <v>43217</v>
      </c>
      <c r="I19" s="7">
        <v>43217</v>
      </c>
      <c r="J19" s="9">
        <v>751.95</v>
      </c>
      <c r="K19" s="9" t="s">
        <v>286</v>
      </c>
      <c r="L19" s="9" t="s">
        <v>287</v>
      </c>
      <c r="M19" s="9" t="s">
        <v>288</v>
      </c>
      <c r="N19" s="9">
        <v>-320000</v>
      </c>
      <c r="O19" s="9">
        <v>16.364999999999998</v>
      </c>
      <c r="P19" s="9">
        <v>0.12</v>
      </c>
      <c r="Q19" s="9" t="s">
        <v>164</v>
      </c>
      <c r="R19" s="9" t="s">
        <v>289</v>
      </c>
      <c r="S19" s="9" t="s">
        <v>290</v>
      </c>
      <c r="T19" s="9" t="s">
        <v>291</v>
      </c>
      <c r="U19" s="9" t="s">
        <v>292</v>
      </c>
      <c r="V19" s="9" t="s">
        <v>293</v>
      </c>
      <c r="W19" s="9" t="s">
        <v>294</v>
      </c>
      <c r="X19" s="9" t="s">
        <v>295</v>
      </c>
      <c r="Y19" s="9" t="s">
        <v>296</v>
      </c>
      <c r="Z19" s="9" t="s">
        <v>297</v>
      </c>
      <c r="AA19" s="9" t="s">
        <v>298</v>
      </c>
      <c r="AB19" s="9" t="s">
        <v>299</v>
      </c>
      <c r="AC19" s="9" t="s">
        <v>300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58671.950000000295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-72248.049999999552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-208404.84999999951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-339324.8500000005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189591.95000000016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325748.7500000007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456668.75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-339324.8500000005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-339324.8500000005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456668.75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456668.75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-257573.80999999965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299621.71000000008</v>
      </c>
    </row>
    <row r="20" spans="2:46">
      <c r="B20" s="9" t="s">
        <v>175</v>
      </c>
      <c r="C20" s="9" t="s">
        <v>170</v>
      </c>
      <c r="D20" s="9" t="s">
        <v>247</v>
      </c>
      <c r="E20" s="9">
        <v>-24</v>
      </c>
      <c r="F20" s="9">
        <v>2236</v>
      </c>
      <c r="G20" s="7">
        <v>43122</v>
      </c>
      <c r="H20" s="7">
        <v>43209</v>
      </c>
      <c r="I20" s="7">
        <v>43209</v>
      </c>
      <c r="J20" s="9">
        <v>402.48</v>
      </c>
      <c r="K20" s="9" t="s">
        <v>250</v>
      </c>
      <c r="L20" s="9" t="s">
        <v>301</v>
      </c>
      <c r="M20" s="9" t="s">
        <v>302</v>
      </c>
      <c r="N20" s="9">
        <v>-600</v>
      </c>
      <c r="O20" s="9">
        <v>2054</v>
      </c>
      <c r="P20" s="9">
        <v>0.12</v>
      </c>
      <c r="Q20" s="9" t="s">
        <v>164</v>
      </c>
      <c r="R20" s="9" t="s">
        <v>303</v>
      </c>
      <c r="S20" s="9" t="s">
        <v>304</v>
      </c>
      <c r="T20" s="9" t="s">
        <v>305</v>
      </c>
      <c r="U20" s="9" t="s">
        <v>306</v>
      </c>
      <c r="V20" s="9" t="s">
        <v>307</v>
      </c>
      <c r="W20" s="9" t="s">
        <v>308</v>
      </c>
      <c r="X20" s="9" t="s">
        <v>309</v>
      </c>
      <c r="Y20" s="9" t="s">
        <v>310</v>
      </c>
      <c r="Z20" s="9" t="s">
        <v>311</v>
      </c>
      <c r="AA20" s="9" t="s">
        <v>312</v>
      </c>
      <c r="AB20" s="9" t="s">
        <v>313</v>
      </c>
      <c r="AC20" s="9" t="s">
        <v>314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-108797.52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-89079.119999999981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-69360.719999999958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-49642.319999999942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-128515.92000000003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-148234.32000000004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-167952.72000000006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-49642.319999999942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-49642.319999999942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-167952.72000000006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-167952.72000000006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4022.4599999999637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-79657.500000000015</v>
      </c>
    </row>
    <row r="21" spans="2:46">
      <c r="B21" s="9" t="s">
        <v>315</v>
      </c>
      <c r="C21" s="9" t="s">
        <v>170</v>
      </c>
      <c r="D21" s="9" t="s">
        <v>247</v>
      </c>
      <c r="E21" s="9">
        <v>-30</v>
      </c>
      <c r="F21" s="9">
        <v>16.71</v>
      </c>
      <c r="G21" s="7">
        <v>43158</v>
      </c>
      <c r="H21" s="7">
        <v>43217</v>
      </c>
      <c r="I21" s="7">
        <v>43217</v>
      </c>
      <c r="J21" s="9">
        <v>751.95</v>
      </c>
      <c r="K21" s="9" t="s">
        <v>286</v>
      </c>
      <c r="L21" s="9" t="s">
        <v>287</v>
      </c>
      <c r="M21" s="9" t="s">
        <v>288</v>
      </c>
      <c r="N21" s="9">
        <v>-150000</v>
      </c>
      <c r="O21" s="9">
        <v>16.364999999999998</v>
      </c>
      <c r="P21" s="9">
        <v>0.12</v>
      </c>
      <c r="Q21" s="9" t="s">
        <v>164</v>
      </c>
      <c r="R21" s="9" t="s">
        <v>289</v>
      </c>
      <c r="S21" s="9" t="s">
        <v>290</v>
      </c>
      <c r="T21" s="9" t="s">
        <v>291</v>
      </c>
      <c r="U21" s="9" t="s">
        <v>292</v>
      </c>
      <c r="V21" s="9" t="s">
        <v>293</v>
      </c>
      <c r="W21" s="9" t="s">
        <v>294</v>
      </c>
      <c r="X21" s="9" t="s">
        <v>295</v>
      </c>
      <c r="Y21" s="9" t="s">
        <v>296</v>
      </c>
      <c r="Z21" s="9" t="s">
        <v>297</v>
      </c>
      <c r="AA21" s="9" t="s">
        <v>298</v>
      </c>
      <c r="AB21" s="9" t="s">
        <v>299</v>
      </c>
      <c r="AC21" s="9" t="s">
        <v>300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52501.950000000361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-8866.7999999995645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-72690.299999999552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-134059.04999999999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113870.70000000029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177694.20000000056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239062.95000000022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-134059.04999999999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-134059.04999999999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239062.95000000022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239062.95000000022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-111728.24999999975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149457.15000000011</v>
      </c>
    </row>
    <row r="22" spans="2:46">
      <c r="B22" s="9" t="s">
        <v>316</v>
      </c>
      <c r="C22" s="9" t="s">
        <v>170</v>
      </c>
      <c r="D22" s="9" t="s">
        <v>247</v>
      </c>
      <c r="E22" s="9">
        <v>-12</v>
      </c>
      <c r="F22" s="9">
        <v>6812.5</v>
      </c>
      <c r="G22" s="7">
        <v>43168.625</v>
      </c>
      <c r="H22" s="7">
        <v>43257.625</v>
      </c>
      <c r="I22" s="7">
        <v>43257</v>
      </c>
      <c r="J22" s="9">
        <v>1021.875</v>
      </c>
      <c r="K22" s="9" t="s">
        <v>286</v>
      </c>
      <c r="L22" s="9" t="s">
        <v>249</v>
      </c>
      <c r="M22" s="9" t="s">
        <v>317</v>
      </c>
      <c r="N22" s="9">
        <v>-300</v>
      </c>
      <c r="O22" s="9">
        <v>6754.5</v>
      </c>
      <c r="P22" s="9">
        <v>0.12</v>
      </c>
      <c r="Q22" s="9" t="s">
        <v>164</v>
      </c>
      <c r="R22" s="9" t="s">
        <v>180</v>
      </c>
      <c r="S22" s="9" t="s">
        <v>318</v>
      </c>
      <c r="T22" s="9" t="s">
        <v>197</v>
      </c>
      <c r="U22" s="9" t="s">
        <v>181</v>
      </c>
      <c r="V22" s="9" t="s">
        <v>319</v>
      </c>
      <c r="W22" s="9" t="s">
        <v>199</v>
      </c>
      <c r="X22" s="9" t="s">
        <v>200</v>
      </c>
      <c r="Y22" s="9" t="s">
        <v>201</v>
      </c>
      <c r="Z22" s="9" t="s">
        <v>202</v>
      </c>
      <c r="AA22" s="9" t="s">
        <v>203</v>
      </c>
      <c r="AB22" s="9" t="s">
        <v>320</v>
      </c>
      <c r="AC22" s="9" t="s">
        <v>321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18421.875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-20078.774999999769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-60605.774999999812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-99106.425000000134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56922.525000000038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97449.525000000081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135950.17500000013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-99106.425000000134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-99106.425000000134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135950.17500000013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135950.17500000013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-75867.157499999987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90090.907499999987</v>
      </c>
    </row>
    <row r="23" spans="2:46">
      <c r="B23" s="9" t="s">
        <v>322</v>
      </c>
      <c r="C23" s="9" t="s">
        <v>170</v>
      </c>
      <c r="D23" s="9" t="s">
        <v>247</v>
      </c>
      <c r="E23" s="9">
        <v>-30</v>
      </c>
      <c r="F23" s="9">
        <v>16.545000000000002</v>
      </c>
      <c r="G23" s="7">
        <v>43175</v>
      </c>
      <c r="H23" s="7">
        <v>43238</v>
      </c>
      <c r="I23" s="7">
        <v>43238</v>
      </c>
      <c r="J23" s="9">
        <v>1240.875</v>
      </c>
      <c r="K23" s="9" t="s">
        <v>286</v>
      </c>
      <c r="L23" s="9" t="s">
        <v>323</v>
      </c>
      <c r="M23" s="9" t="s">
        <v>288</v>
      </c>
      <c r="N23" s="9">
        <v>-150000</v>
      </c>
      <c r="O23" s="9">
        <v>16.440000000000001</v>
      </c>
      <c r="P23" s="9">
        <v>0.12</v>
      </c>
      <c r="Q23" s="9" t="s">
        <v>164</v>
      </c>
      <c r="R23" s="9" t="s">
        <v>289</v>
      </c>
      <c r="S23" s="9" t="s">
        <v>290</v>
      </c>
      <c r="T23" s="9" t="s">
        <v>291</v>
      </c>
      <c r="U23" s="9" t="s">
        <v>292</v>
      </c>
      <c r="V23" s="9" t="s">
        <v>293</v>
      </c>
      <c r="W23" s="9" t="s">
        <v>294</v>
      </c>
      <c r="X23" s="9" t="s">
        <v>295</v>
      </c>
      <c r="Y23" s="9" t="s">
        <v>296</v>
      </c>
      <c r="Z23" s="9" t="s">
        <v>297</v>
      </c>
      <c r="AA23" s="9" t="s">
        <v>298</v>
      </c>
      <c r="AB23" s="9" t="s">
        <v>299</v>
      </c>
      <c r="AC23" s="9" t="s">
        <v>300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16990.875000000065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-44659.124999999607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-108775.12499999971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-170425.12499999991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78640.875000000262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142756.87500000012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204406.87500000006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-170425.12499999991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-170425.12499999991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204406.87500000006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204406.87500000006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-124437.82499999995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137944.57500000001</v>
      </c>
    </row>
    <row r="24" spans="2:46">
      <c r="B24" s="9" t="s">
        <v>324</v>
      </c>
      <c r="C24" s="9" t="s">
        <v>170</v>
      </c>
      <c r="D24" s="9" t="s">
        <v>247</v>
      </c>
      <c r="E24" s="9">
        <v>-37</v>
      </c>
      <c r="F24" s="9">
        <v>6818.76</v>
      </c>
      <c r="G24" s="7">
        <v>43185</v>
      </c>
      <c r="H24" s="7">
        <v>43271</v>
      </c>
      <c r="I24" s="7">
        <v>43271</v>
      </c>
      <c r="J24" s="9">
        <v>3153.6765</v>
      </c>
      <c r="K24" s="9" t="s">
        <v>286</v>
      </c>
      <c r="L24" s="9" t="s">
        <v>249</v>
      </c>
      <c r="M24" s="9" t="s">
        <v>317</v>
      </c>
      <c r="N24" s="9">
        <v>-925</v>
      </c>
      <c r="O24" s="9">
        <v>6754.5</v>
      </c>
      <c r="P24" s="9">
        <v>0.12</v>
      </c>
      <c r="Q24" s="9" t="s">
        <v>164</v>
      </c>
      <c r="R24" s="9" t="s">
        <v>180</v>
      </c>
      <c r="S24" s="9" t="s">
        <v>318</v>
      </c>
      <c r="T24" s="9" t="s">
        <v>197</v>
      </c>
      <c r="U24" s="9" t="s">
        <v>181</v>
      </c>
      <c r="V24" s="9" t="s">
        <v>319</v>
      </c>
      <c r="W24" s="9" t="s">
        <v>199</v>
      </c>
      <c r="X24" s="9" t="s">
        <v>200</v>
      </c>
      <c r="Y24" s="9" t="s">
        <v>201</v>
      </c>
      <c r="Z24" s="9" t="s">
        <v>202</v>
      </c>
      <c r="AA24" s="9" t="s">
        <v>203</v>
      </c>
      <c r="AB24" s="9" t="s">
        <v>320</v>
      </c>
      <c r="AC24" s="9" t="s">
        <v>321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62594.176500000205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-56116.160999999083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-181074.41099999921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-299784.74850000016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181304.51400000034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306262.76400000049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424973.10150000057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-299784.74850000016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-299784.74850000016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424973.10150000057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424973.10150000057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-231894.16537499989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279809.86837500002</v>
      </c>
    </row>
    <row r="25" spans="2:46">
      <c r="B25" s="9" t="s">
        <v>325</v>
      </c>
      <c r="C25" s="9" t="s">
        <v>170</v>
      </c>
      <c r="D25" s="9" t="s">
        <v>247</v>
      </c>
      <c r="E25" s="9">
        <v>-30</v>
      </c>
      <c r="F25" s="9">
        <v>16.535</v>
      </c>
      <c r="G25" s="7">
        <v>43166</v>
      </c>
      <c r="H25" s="7">
        <v>43217</v>
      </c>
      <c r="I25" s="7">
        <v>43217</v>
      </c>
      <c r="J25" s="9">
        <v>-744.07499999999993</v>
      </c>
      <c r="K25" s="9" t="s">
        <v>286</v>
      </c>
      <c r="L25" s="9" t="s">
        <v>287</v>
      </c>
      <c r="M25" s="9" t="s">
        <v>288</v>
      </c>
      <c r="N25" s="9">
        <v>-150000</v>
      </c>
      <c r="O25" s="9">
        <v>16.364999999999998</v>
      </c>
      <c r="P25" s="9">
        <v>0.12</v>
      </c>
      <c r="Q25" s="9" t="s">
        <v>164</v>
      </c>
      <c r="R25" s="9" t="s">
        <v>289</v>
      </c>
      <c r="S25" s="9" t="s">
        <v>290</v>
      </c>
      <c r="T25" s="9" t="s">
        <v>291</v>
      </c>
      <c r="U25" s="9" t="s">
        <v>292</v>
      </c>
      <c r="V25" s="9" t="s">
        <v>293</v>
      </c>
      <c r="W25" s="9" t="s">
        <v>294</v>
      </c>
      <c r="X25" s="9" t="s">
        <v>295</v>
      </c>
      <c r="Y25" s="9" t="s">
        <v>296</v>
      </c>
      <c r="Z25" s="9" t="s">
        <v>297</v>
      </c>
      <c r="AA25" s="9" t="s">
        <v>298</v>
      </c>
      <c r="AB25" s="9" t="s">
        <v>299</v>
      </c>
      <c r="AC25" s="9" t="s">
        <v>300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24755.925000000254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-36612.82499999967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-100436.32499999966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-161805.07500000013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86124.675000000192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149948.17500000042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211316.92500000008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-161805.07500000013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-161805.07500000013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211316.92500000008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211316.92500000008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-122411.77499999979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138773.62500000006</v>
      </c>
    </row>
    <row r="26" spans="2:46">
      <c r="B26" s="9" t="s">
        <v>326</v>
      </c>
      <c r="C26" s="9" t="s">
        <v>170</v>
      </c>
      <c r="D26" s="9" t="s">
        <v>247</v>
      </c>
      <c r="E26" s="9">
        <v>0</v>
      </c>
      <c r="F26" s="9">
        <v>1366.7</v>
      </c>
      <c r="G26" s="7">
        <v>43187</v>
      </c>
      <c r="H26" s="7">
        <v>43279</v>
      </c>
      <c r="I26" s="7">
        <v>43279</v>
      </c>
      <c r="J26" s="9">
        <v>-1298.365</v>
      </c>
      <c r="K26" s="9" t="s">
        <v>250</v>
      </c>
      <c r="L26" s="9" t="s">
        <v>327</v>
      </c>
      <c r="M26" s="9" t="s">
        <v>328</v>
      </c>
      <c r="N26" s="9">
        <v>0</v>
      </c>
      <c r="O26" s="9">
        <v>1355.7</v>
      </c>
      <c r="P26" s="9">
        <v>0.12</v>
      </c>
      <c r="Q26" s="9" t="s">
        <v>164</v>
      </c>
      <c r="R26" s="9" t="s">
        <v>329</v>
      </c>
      <c r="S26" s="9" t="s">
        <v>330</v>
      </c>
      <c r="T26" s="9" t="s">
        <v>273</v>
      </c>
      <c r="U26" s="9" t="s">
        <v>331</v>
      </c>
      <c r="V26" s="9" t="s">
        <v>332</v>
      </c>
      <c r="W26" s="9" t="s">
        <v>276</v>
      </c>
      <c r="X26" s="9" t="s">
        <v>333</v>
      </c>
      <c r="Y26" s="9" t="s">
        <v>334</v>
      </c>
      <c r="Z26" s="9" t="s">
        <v>335</v>
      </c>
      <c r="AA26" s="9" t="s">
        <v>336</v>
      </c>
      <c r="AB26" s="9" t="s">
        <v>337</v>
      </c>
      <c r="AC26" s="9" t="s">
        <v>338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7" spans="2:46">
      <c r="B27" s="9" t="s">
        <v>339</v>
      </c>
      <c r="C27" s="9" t="s">
        <v>170</v>
      </c>
      <c r="D27" s="9" t="s">
        <v>247</v>
      </c>
      <c r="E27" s="9">
        <v>-30</v>
      </c>
      <c r="F27" s="9">
        <v>16.59</v>
      </c>
      <c r="G27" s="7">
        <v>43187</v>
      </c>
      <c r="H27" s="7">
        <v>43238</v>
      </c>
      <c r="I27" s="7">
        <v>43238</v>
      </c>
      <c r="J27" s="9">
        <v>-1244.25</v>
      </c>
      <c r="K27" s="9" t="s">
        <v>286</v>
      </c>
      <c r="L27" s="9" t="s">
        <v>323</v>
      </c>
      <c r="M27" s="9" t="s">
        <v>288</v>
      </c>
      <c r="N27" s="9">
        <v>-150000</v>
      </c>
      <c r="O27" s="9">
        <v>16.440000000000001</v>
      </c>
      <c r="P27" s="9">
        <v>0.12</v>
      </c>
      <c r="Q27" s="9" t="s">
        <v>164</v>
      </c>
      <c r="R27" s="9" t="s">
        <v>289</v>
      </c>
      <c r="S27" s="9" t="s">
        <v>290</v>
      </c>
      <c r="T27" s="9" t="s">
        <v>291</v>
      </c>
      <c r="U27" s="9" t="s">
        <v>292</v>
      </c>
      <c r="V27" s="9" t="s">
        <v>293</v>
      </c>
      <c r="W27" s="9" t="s">
        <v>294</v>
      </c>
      <c r="X27" s="9" t="s">
        <v>295</v>
      </c>
      <c r="Y27" s="9" t="s">
        <v>296</v>
      </c>
      <c r="Z27" s="9" t="s">
        <v>297</v>
      </c>
      <c r="AA27" s="9" t="s">
        <v>298</v>
      </c>
      <c r="AB27" s="9" t="s">
        <v>299</v>
      </c>
      <c r="AC27" s="9" t="s">
        <v>300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21255.749999999785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-40394.249999999884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-104510.24999999999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-166160.2500000002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82905.749999999985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147021.74999999983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208671.74999999977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-166160.2500000002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-166160.2500000002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208671.74999999977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208671.74999999977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-124560.45000000006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137821.9499999999</v>
      </c>
    </row>
    <row r="28" spans="2:46">
      <c r="B28" s="9" t="s">
        <v>340</v>
      </c>
      <c r="C28" s="9" t="s">
        <v>170</v>
      </c>
      <c r="D28" s="9" t="s">
        <v>247</v>
      </c>
      <c r="E28" s="9">
        <v>-24</v>
      </c>
      <c r="F28" s="9">
        <v>2051</v>
      </c>
      <c r="G28" s="7">
        <v>43187</v>
      </c>
      <c r="H28" s="7">
        <v>43209</v>
      </c>
      <c r="I28" s="7">
        <v>43209</v>
      </c>
      <c r="J28" s="9">
        <v>-615.30000000000007</v>
      </c>
      <c r="K28" s="9" t="s">
        <v>286</v>
      </c>
      <c r="L28" s="9" t="s">
        <v>301</v>
      </c>
      <c r="M28" s="9" t="s">
        <v>302</v>
      </c>
      <c r="N28" s="9">
        <v>-600</v>
      </c>
      <c r="O28" s="9">
        <v>2054</v>
      </c>
      <c r="P28" s="9">
        <v>0.12</v>
      </c>
      <c r="Q28" s="9" t="s">
        <v>164</v>
      </c>
      <c r="R28" s="9" t="s">
        <v>303</v>
      </c>
      <c r="S28" s="9" t="s">
        <v>304</v>
      </c>
      <c r="T28" s="9" t="s">
        <v>305</v>
      </c>
      <c r="U28" s="9" t="s">
        <v>306</v>
      </c>
      <c r="V28" s="9" t="s">
        <v>307</v>
      </c>
      <c r="W28" s="9" t="s">
        <v>308</v>
      </c>
      <c r="X28" s="9" t="s">
        <v>309</v>
      </c>
      <c r="Y28" s="9" t="s">
        <v>310</v>
      </c>
      <c r="Z28" s="9" t="s">
        <v>311</v>
      </c>
      <c r="AA28" s="9" t="s">
        <v>312</v>
      </c>
      <c r="AB28" s="9" t="s">
        <v>313</v>
      </c>
      <c r="AC28" s="9" t="s">
        <v>314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-2415.3000000000002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-22133.700000000019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-41852.100000000042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-61570.500000000058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17303.10000000002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37021.500000000036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56739.900000000052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-61570.500000000058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-61570.500000000058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56739.900000000052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56739.900000000052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-43085.279999999962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40594.680000000008</v>
      </c>
    </row>
    <row r="29" spans="2:46">
      <c r="B29" s="9" t="s">
        <v>341</v>
      </c>
      <c r="C29" s="9" t="s">
        <v>170</v>
      </c>
      <c r="D29" s="9" t="s">
        <v>247</v>
      </c>
      <c r="E29" s="9">
        <v>-52</v>
      </c>
      <c r="F29" s="9">
        <v>6631.92</v>
      </c>
      <c r="G29" s="7">
        <v>43186</v>
      </c>
      <c r="H29" s="7">
        <v>43273</v>
      </c>
      <c r="I29" s="7">
        <v>43273</v>
      </c>
      <c r="J29" s="9">
        <v>-4310.7479999999996</v>
      </c>
      <c r="K29" s="9" t="s">
        <v>286</v>
      </c>
      <c r="L29" s="9" t="s">
        <v>249</v>
      </c>
      <c r="M29" s="9" t="s">
        <v>317</v>
      </c>
      <c r="N29" s="9">
        <v>-1300</v>
      </c>
      <c r="O29" s="9">
        <v>6754.5</v>
      </c>
      <c r="P29" s="9">
        <v>0.12</v>
      </c>
      <c r="Q29" s="9" t="s">
        <v>164</v>
      </c>
      <c r="R29" s="9" t="s">
        <v>180</v>
      </c>
      <c r="S29" s="9" t="s">
        <v>318</v>
      </c>
      <c r="T29" s="9" t="s">
        <v>197</v>
      </c>
      <c r="U29" s="9" t="s">
        <v>181</v>
      </c>
      <c r="V29" s="9" t="s">
        <v>319</v>
      </c>
      <c r="W29" s="9" t="s">
        <v>199</v>
      </c>
      <c r="X29" s="9" t="s">
        <v>200</v>
      </c>
      <c r="Y29" s="9" t="s">
        <v>201</v>
      </c>
      <c r="Z29" s="9" t="s">
        <v>202</v>
      </c>
      <c r="AA29" s="9" t="s">
        <v>203</v>
      </c>
      <c r="AB29" s="9" t="s">
        <v>320</v>
      </c>
      <c r="AC29" s="9" t="s">
        <v>321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-163664.74799999991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-330500.89799999894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-506117.89799999911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-672954.04800000053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3171.4020000002747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178788.40200000047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345624.55200000061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-672954.04800000053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-672954.04800000053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345624.55200000061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345624.55200000061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-419660.45549999992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299491.15950000001</v>
      </c>
    </row>
    <row r="30" spans="2:46">
      <c r="B30" s="9" t="s">
        <v>245</v>
      </c>
      <c r="C30" s="9" t="s">
        <v>170</v>
      </c>
      <c r="D30" s="9" t="s">
        <v>247</v>
      </c>
      <c r="E30" s="9">
        <v>-37</v>
      </c>
      <c r="F30" s="9">
        <v>6662.89</v>
      </c>
      <c r="G30" s="7">
        <v>43188.625</v>
      </c>
      <c r="H30" s="7">
        <v>43313.625</v>
      </c>
      <c r="I30" s="7">
        <v>43313.625</v>
      </c>
      <c r="J30" s="9">
        <v>-3081.5866249999999</v>
      </c>
      <c r="K30" s="9" t="s">
        <v>250</v>
      </c>
      <c r="L30" s="9" t="s">
        <v>249</v>
      </c>
      <c r="M30" s="9" t="s">
        <v>317</v>
      </c>
      <c r="N30" s="9">
        <v>-925</v>
      </c>
      <c r="O30" s="9">
        <v>6754.5</v>
      </c>
      <c r="P30" s="9">
        <v>0.12</v>
      </c>
      <c r="Q30" s="9" t="s">
        <v>164</v>
      </c>
      <c r="R30" s="9" t="s">
        <v>180</v>
      </c>
      <c r="S30" s="9" t="s">
        <v>318</v>
      </c>
      <c r="T30" s="9" t="s">
        <v>197</v>
      </c>
      <c r="U30" s="9" t="s">
        <v>181</v>
      </c>
      <c r="V30" s="9" t="s">
        <v>319</v>
      </c>
      <c r="W30" s="9" t="s">
        <v>199</v>
      </c>
      <c r="X30" s="9" t="s">
        <v>200</v>
      </c>
      <c r="Y30" s="9" t="s">
        <v>201</v>
      </c>
      <c r="Z30" s="9" t="s">
        <v>202</v>
      </c>
      <c r="AA30" s="9" t="s">
        <v>203</v>
      </c>
      <c r="AB30" s="9" t="s">
        <v>320</v>
      </c>
      <c r="AC30" s="9" t="s">
        <v>321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81657.663374999698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200368.00087499898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325326.2508749991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444036.58837500011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-37052.674125000427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-162010.92412500057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-280721.26162500068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444036.58837500011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444036.58837500011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-280721.26162500068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-280721.26162500068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282429.16774999985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-229274.8660000001</v>
      </c>
    </row>
    <row r="31" spans="2:46">
      <c r="B31" s="9" t="s">
        <v>253</v>
      </c>
      <c r="C31" s="9" t="s">
        <v>259</v>
      </c>
      <c r="D31" s="9" t="s">
        <v>166</v>
      </c>
      <c r="E31" s="9">
        <v>-300</v>
      </c>
      <c r="F31" s="9">
        <v>3119.52</v>
      </c>
      <c r="G31" s="7">
        <v>43187</v>
      </c>
      <c r="H31" s="7">
        <v>43217.625</v>
      </c>
      <c r="I31" s="7">
        <v>43187</v>
      </c>
      <c r="J31" s="9">
        <v>0</v>
      </c>
      <c r="K31" s="9" t="s">
        <v>6</v>
      </c>
      <c r="L31" s="9" t="s">
        <v>64</v>
      </c>
      <c r="M31" s="9" t="s">
        <v>62</v>
      </c>
      <c r="N31" s="9">
        <v>-3000</v>
      </c>
      <c r="O31" s="9">
        <v>3408</v>
      </c>
      <c r="P31" s="9">
        <v>0.18</v>
      </c>
      <c r="Q31" s="9" t="s">
        <v>164</v>
      </c>
      <c r="R31" s="9" t="s">
        <v>261</v>
      </c>
      <c r="S31" s="9" t="s">
        <v>262</v>
      </c>
      <c r="T31" s="9" t="s">
        <v>263</v>
      </c>
      <c r="U31" s="9" t="s">
        <v>264</v>
      </c>
      <c r="V31" s="9" t="s">
        <v>265</v>
      </c>
      <c r="W31" s="9" t="s">
        <v>266</v>
      </c>
      <c r="X31" s="9" t="s">
        <v>267</v>
      </c>
      <c r="Y31" s="9" t="s">
        <v>268</v>
      </c>
      <c r="Z31" s="9" t="s">
        <v>269</v>
      </c>
      <c r="AA31" s="9" t="s">
        <v>270</v>
      </c>
      <c r="AB31" s="9" t="s">
        <v>271</v>
      </c>
      <c r="AC31" s="9" t="s">
        <v>272</v>
      </c>
      <c r="AD31" s="9"/>
      <c r="AE3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-2082.5903230399222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-131.67129553466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-5.3638869619419864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-0.12129293486769695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-18781.468479770461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-93084.153298569639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-290797.73856746667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-1.0526335114154231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-6.9527975454079325E-3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-303457.44948704721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-278601.10844831681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-4.6636855503995839E-8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-458829.7018258273</v>
      </c>
    </row>
    <row r="32" spans="2:46">
      <c r="B32" s="9" t="s">
        <v>254</v>
      </c>
      <c r="C32" s="9" t="s">
        <v>259</v>
      </c>
      <c r="D32" s="9" t="s">
        <v>166</v>
      </c>
      <c r="E32" s="9">
        <v>360</v>
      </c>
      <c r="F32" s="9">
        <v>3312.48</v>
      </c>
      <c r="G32" s="7">
        <v>43187</v>
      </c>
      <c r="H32" s="7">
        <v>43217.625</v>
      </c>
      <c r="I32" s="7">
        <v>43187</v>
      </c>
      <c r="J32" s="9">
        <v>0</v>
      </c>
      <c r="K32" s="9" t="s">
        <v>43</v>
      </c>
      <c r="L32" s="9" t="s">
        <v>64</v>
      </c>
      <c r="M32" s="9" t="s">
        <v>62</v>
      </c>
      <c r="N32" s="9">
        <v>3600</v>
      </c>
      <c r="O32" s="9">
        <v>3408</v>
      </c>
      <c r="P32" s="9">
        <v>0.18</v>
      </c>
      <c r="Q32" s="9" t="s">
        <v>164</v>
      </c>
      <c r="R32" s="9" t="s">
        <v>261</v>
      </c>
      <c r="S32" s="9" t="s">
        <v>262</v>
      </c>
      <c r="T32" s="9" t="s">
        <v>263</v>
      </c>
      <c r="U32" s="9" t="s">
        <v>264</v>
      </c>
      <c r="V32" s="9" t="s">
        <v>265</v>
      </c>
      <c r="W32" s="9" t="s">
        <v>266</v>
      </c>
      <c r="X32" s="9" t="s">
        <v>267</v>
      </c>
      <c r="Y32" s="9" t="s">
        <v>268</v>
      </c>
      <c r="Z32" s="9" t="s">
        <v>269</v>
      </c>
      <c r="AA32" s="9" t="s">
        <v>270</v>
      </c>
      <c r="AB32" s="9" t="s">
        <v>271</v>
      </c>
      <c r="AC32" s="9" t="s">
        <v>272</v>
      </c>
      <c r="AD32" s="9"/>
      <c r="AE3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413811.23810321675</v>
      </c>
      <c r="AG3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797245.77743212203</v>
      </c>
      <c r="AH3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1215159.4496169309</v>
      </c>
      <c r="AI3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1655039.8104708707</v>
      </c>
      <c r="AJ3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147514.85733921107</v>
      </c>
      <c r="AK3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31721.709988025043</v>
      </c>
      <c r="AL3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3137.2468536513948</v>
      </c>
      <c r="AM3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1655242.9641016766</v>
      </c>
      <c r="AN3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1654965.6444718326</v>
      </c>
      <c r="AO3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5723.8555144679131</v>
      </c>
      <c r="AP3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1461.1215456491989</v>
      </c>
      <c r="AQ3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1033938.5183874004</v>
      </c>
      <c r="AR3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2.8669886485273473E-3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1"/>
  <sheetViews>
    <sheetView topLeftCell="A7" zoomScale="85" zoomScaleNormal="85" workbookViewId="0">
      <selection activeCell="F50" sqref="F50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185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165</v>
      </c>
      <c r="L8" s="16" t="s">
        <v>4</v>
      </c>
      <c r="M8" s="16" t="s">
        <v>81</v>
      </c>
      <c r="N8" s="18" t="s">
        <v>91</v>
      </c>
    </row>
    <row r="9" spans="2:14">
      <c r="B9" s="18" t="s">
        <v>206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207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343</v>
      </c>
      <c r="C29" s="18">
        <v>-1500</v>
      </c>
      <c r="D29" s="19">
        <v>43048</v>
      </c>
      <c r="E29" s="19">
        <v>43203.625</v>
      </c>
      <c r="F29" s="19">
        <v>43203</v>
      </c>
      <c r="G29" s="19">
        <v>43203.625</v>
      </c>
      <c r="H29" s="18">
        <v>3600</v>
      </c>
      <c r="I29" s="18">
        <v>930000</v>
      </c>
      <c r="J29" s="18" t="s">
        <v>6</v>
      </c>
      <c r="K29" s="18" t="s">
        <v>94</v>
      </c>
      <c r="L29" s="18" t="s">
        <v>109</v>
      </c>
      <c r="M29" s="18" t="s">
        <v>117</v>
      </c>
      <c r="N29" s="18">
        <v>0.255</v>
      </c>
    </row>
    <row r="30" spans="2:14">
      <c r="B30" s="18" t="s">
        <v>5</v>
      </c>
      <c r="C30" s="18">
        <v>100</v>
      </c>
      <c r="D30" s="19">
        <v>43123</v>
      </c>
      <c r="E30" s="19">
        <v>43183.625</v>
      </c>
      <c r="F30" s="19">
        <v>43183</v>
      </c>
      <c r="G30" s="19">
        <v>43183.625</v>
      </c>
      <c r="H30" s="18">
        <v>50000.000004000001</v>
      </c>
      <c r="I30" s="18">
        <v>-50000.004000000001</v>
      </c>
      <c r="J30" s="18" t="s">
        <v>6</v>
      </c>
      <c r="K30" s="18" t="s">
        <v>94</v>
      </c>
      <c r="L30" s="18" t="s">
        <v>7</v>
      </c>
      <c r="M30" s="18" t="s">
        <v>127</v>
      </c>
      <c r="N30" s="18">
        <v>0.12</v>
      </c>
    </row>
    <row r="31" spans="2:14">
      <c r="B31" s="18" t="s">
        <v>162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3929.9999985759996</v>
      </c>
      <c r="I31" s="20">
        <v>-271800</v>
      </c>
      <c r="J31" s="18" t="s">
        <v>43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163</v>
      </c>
      <c r="C32" s="18">
        <v>1000</v>
      </c>
      <c r="D32" s="19">
        <v>43154</v>
      </c>
      <c r="E32" s="19">
        <v>43182.625</v>
      </c>
      <c r="F32" s="19">
        <v>43184</v>
      </c>
      <c r="G32" s="19">
        <v>43154</v>
      </c>
      <c r="H32" s="20">
        <v>3799.999998368</v>
      </c>
      <c r="I32" s="20">
        <v>-388800</v>
      </c>
      <c r="J32" s="18" t="s">
        <v>6</v>
      </c>
      <c r="K32" s="18" t="s">
        <v>94</v>
      </c>
      <c r="L32" s="18" t="s">
        <v>109</v>
      </c>
      <c r="M32" s="18" t="s">
        <v>116</v>
      </c>
      <c r="N32" s="18">
        <v>0.13500000000000001</v>
      </c>
    </row>
    <row r="33" spans="2:14">
      <c r="B33" s="18" t="s">
        <v>172</v>
      </c>
      <c r="C33" s="18">
        <v>-64</v>
      </c>
      <c r="D33" s="19">
        <v>43157</v>
      </c>
      <c r="E33" s="19">
        <v>43217</v>
      </c>
      <c r="F33" s="19">
        <v>43217</v>
      </c>
      <c r="G33" s="19">
        <v>43217</v>
      </c>
      <c r="H33" s="20">
        <v>16.545999999999999</v>
      </c>
      <c r="I33" s="20">
        <v>751.95</v>
      </c>
      <c r="J33" s="18" t="s">
        <v>182</v>
      </c>
      <c r="K33" s="18" t="s">
        <v>173</v>
      </c>
      <c r="L33" s="18" t="s">
        <v>174</v>
      </c>
      <c r="M33" s="18" t="s">
        <v>170</v>
      </c>
      <c r="N33" s="18"/>
    </row>
    <row r="34" spans="2:14">
      <c r="B34" s="18" t="s">
        <v>175</v>
      </c>
      <c r="C34" s="18">
        <v>-24</v>
      </c>
      <c r="D34" s="19">
        <v>43122</v>
      </c>
      <c r="E34" s="19">
        <v>43209</v>
      </c>
      <c r="F34" s="19">
        <v>43209</v>
      </c>
      <c r="G34" s="19">
        <v>43209</v>
      </c>
      <c r="H34" s="20">
        <v>2236</v>
      </c>
      <c r="I34" s="20">
        <v>402.48</v>
      </c>
      <c r="J34" s="18" t="s">
        <v>183</v>
      </c>
      <c r="K34" s="18" t="s">
        <v>248</v>
      </c>
      <c r="L34" s="18" t="s">
        <v>176</v>
      </c>
      <c r="M34" s="18" t="s">
        <v>170</v>
      </c>
      <c r="N34" s="18"/>
    </row>
    <row r="35" spans="2:14">
      <c r="B35" s="18" t="s">
        <v>184</v>
      </c>
      <c r="C35" s="18">
        <v>-30</v>
      </c>
      <c r="D35" s="19">
        <v>43158</v>
      </c>
      <c r="E35" s="19">
        <v>43217</v>
      </c>
      <c r="F35" s="19">
        <v>43217</v>
      </c>
      <c r="G35" s="19">
        <v>43217</v>
      </c>
      <c r="H35" s="20">
        <v>16.71</v>
      </c>
      <c r="I35" s="20">
        <v>751.95</v>
      </c>
      <c r="J35" s="18" t="s">
        <v>186</v>
      </c>
      <c r="K35" s="18" t="s">
        <v>187</v>
      </c>
      <c r="L35" s="18" t="s">
        <v>169</v>
      </c>
      <c r="M35" s="18" t="s">
        <v>170</v>
      </c>
      <c r="N35" s="18"/>
    </row>
    <row r="36" spans="2:14">
      <c r="B36" s="18" t="s">
        <v>213</v>
      </c>
      <c r="C36" s="18">
        <v>-12</v>
      </c>
      <c r="D36" s="19">
        <v>43168.625</v>
      </c>
      <c r="E36" s="19">
        <v>43257.625</v>
      </c>
      <c r="F36" s="19">
        <v>43259</v>
      </c>
      <c r="G36" s="19">
        <v>43257</v>
      </c>
      <c r="H36" s="20">
        <v>6812.5</v>
      </c>
      <c r="I36" s="20">
        <v>1021.875</v>
      </c>
      <c r="J36" s="18" t="s">
        <v>214</v>
      </c>
      <c r="K36" s="18" t="s">
        <v>215</v>
      </c>
      <c r="L36" s="18" t="s">
        <v>216</v>
      </c>
      <c r="M36" s="18" t="s">
        <v>170</v>
      </c>
      <c r="N36" s="18"/>
    </row>
    <row r="37" spans="2:14">
      <c r="B37" s="18" t="s">
        <v>224</v>
      </c>
      <c r="C37" s="18">
        <v>-30</v>
      </c>
      <c r="D37" s="19">
        <v>43175</v>
      </c>
      <c r="E37" s="19">
        <v>43238</v>
      </c>
      <c r="F37" s="19">
        <v>43238</v>
      </c>
      <c r="G37" s="19">
        <v>43238</v>
      </c>
      <c r="H37" s="27">
        <v>16.545000000000002</v>
      </c>
      <c r="I37" s="20">
        <v>1240.875</v>
      </c>
      <c r="J37" s="18" t="s">
        <v>186</v>
      </c>
      <c r="K37" s="18" t="s">
        <v>173</v>
      </c>
      <c r="L37" s="18" t="s">
        <v>223</v>
      </c>
      <c r="M37" s="18" t="s">
        <v>170</v>
      </c>
      <c r="N37" s="18"/>
    </row>
    <row r="38" spans="2:14">
      <c r="B38" s="18" t="s">
        <v>225</v>
      </c>
      <c r="C38" s="18">
        <v>-37</v>
      </c>
      <c r="D38" s="19">
        <v>43185</v>
      </c>
      <c r="E38" s="19">
        <v>43271</v>
      </c>
      <c r="F38" s="19">
        <v>43271</v>
      </c>
      <c r="G38" s="19">
        <v>43271</v>
      </c>
      <c r="H38" s="18">
        <v>6818.76</v>
      </c>
      <c r="I38" s="18">
        <v>3153.6765</v>
      </c>
      <c r="J38" s="18" t="s">
        <v>228</v>
      </c>
      <c r="K38" s="18" t="s">
        <v>226</v>
      </c>
      <c r="L38" s="18" t="s">
        <v>227</v>
      </c>
      <c r="M38" s="18" t="s">
        <v>170</v>
      </c>
      <c r="N38" s="18"/>
    </row>
    <row r="39" spans="2:14" ht="13.5">
      <c r="B39" s="18" t="s">
        <v>229</v>
      </c>
      <c r="C39" s="33">
        <v>-30</v>
      </c>
      <c r="D39" s="31">
        <v>43166</v>
      </c>
      <c r="E39" s="19">
        <v>43217</v>
      </c>
      <c r="F39" s="19">
        <v>43217.625</v>
      </c>
      <c r="G39" s="19">
        <v>43217</v>
      </c>
      <c r="H39" s="30">
        <v>16.535</v>
      </c>
      <c r="I39" s="18">
        <v>-744.07499999999993</v>
      </c>
      <c r="J39" t="s">
        <v>239</v>
      </c>
      <c r="K39" s="18" t="s">
        <v>173</v>
      </c>
      <c r="L39" s="18" t="s">
        <v>234</v>
      </c>
      <c r="M39" s="18" t="s">
        <v>170</v>
      </c>
      <c r="N39" s="18"/>
    </row>
    <row r="40" spans="2:14" ht="13.5">
      <c r="B40" s="18" t="s">
        <v>230</v>
      </c>
      <c r="C40" s="33">
        <v>0</v>
      </c>
      <c r="D40" s="31">
        <v>43187</v>
      </c>
      <c r="E40" s="19">
        <v>43279</v>
      </c>
      <c r="F40" s="19">
        <v>43279.625</v>
      </c>
      <c r="G40" s="19">
        <v>43279</v>
      </c>
      <c r="H40" s="30">
        <v>1366.7</v>
      </c>
      <c r="I40" s="18">
        <v>-1298.365</v>
      </c>
      <c r="J40" t="s">
        <v>240</v>
      </c>
      <c r="K40" s="18" t="s">
        <v>187</v>
      </c>
      <c r="L40" s="18" t="s">
        <v>235</v>
      </c>
      <c r="M40" s="18" t="s">
        <v>170</v>
      </c>
      <c r="N40" s="18"/>
    </row>
    <row r="41" spans="2:14" ht="13.5">
      <c r="B41" s="18" t="s">
        <v>231</v>
      </c>
      <c r="C41" s="33">
        <v>-30</v>
      </c>
      <c r="D41" s="31">
        <v>43187</v>
      </c>
      <c r="E41" s="19">
        <v>43238</v>
      </c>
      <c r="F41" s="19">
        <v>43238.625</v>
      </c>
      <c r="G41" s="19">
        <v>43238</v>
      </c>
      <c r="H41" s="30">
        <v>16.59</v>
      </c>
      <c r="I41" s="20">
        <v>-1244.25</v>
      </c>
      <c r="J41" t="s">
        <v>241</v>
      </c>
      <c r="K41" s="18" t="s">
        <v>215</v>
      </c>
      <c r="L41" s="18" t="s">
        <v>236</v>
      </c>
      <c r="M41" s="18" t="s">
        <v>170</v>
      </c>
      <c r="N41" s="18"/>
    </row>
    <row r="42" spans="2:14" ht="13.5">
      <c r="B42" s="18" t="s">
        <v>232</v>
      </c>
      <c r="C42" s="33">
        <v>-24</v>
      </c>
      <c r="D42" s="31">
        <v>43187</v>
      </c>
      <c r="E42" s="19">
        <v>43209</v>
      </c>
      <c r="F42" s="19">
        <v>43209.625</v>
      </c>
      <c r="G42" s="19">
        <v>43209</v>
      </c>
      <c r="H42" s="30">
        <v>2051</v>
      </c>
      <c r="I42" s="20">
        <v>-615.30000000000007</v>
      </c>
      <c r="J42" t="s">
        <v>241</v>
      </c>
      <c r="K42" s="18" t="s">
        <v>173</v>
      </c>
      <c r="L42" s="18" t="s">
        <v>237</v>
      </c>
      <c r="M42" s="18" t="s">
        <v>170</v>
      </c>
      <c r="N42" s="18"/>
    </row>
    <row r="43" spans="2:14" ht="13.5">
      <c r="B43" s="18" t="s">
        <v>233</v>
      </c>
      <c r="C43" s="33">
        <v>-52</v>
      </c>
      <c r="D43" s="31">
        <v>43186</v>
      </c>
      <c r="E43" s="19">
        <v>43273</v>
      </c>
      <c r="F43" s="19">
        <v>43273.625</v>
      </c>
      <c r="G43" s="19">
        <v>43273</v>
      </c>
      <c r="H43" s="30">
        <v>6631.92</v>
      </c>
      <c r="I43" s="20">
        <v>-4310.7479999999996</v>
      </c>
      <c r="J43" t="s">
        <v>241</v>
      </c>
      <c r="K43" s="18" t="s">
        <v>226</v>
      </c>
      <c r="L43" s="18" t="s">
        <v>238</v>
      </c>
      <c r="M43" s="18" t="s">
        <v>170</v>
      </c>
      <c r="N43" s="18"/>
    </row>
    <row r="44" spans="2:14">
      <c r="B44" s="18" t="s">
        <v>246</v>
      </c>
      <c r="C44" s="18">
        <v>-37</v>
      </c>
      <c r="D44" s="19">
        <v>43188.625</v>
      </c>
      <c r="E44" s="19">
        <v>43313.625</v>
      </c>
      <c r="F44" s="19">
        <v>43313.625</v>
      </c>
      <c r="G44" s="19">
        <v>43313.625</v>
      </c>
      <c r="H44" s="20">
        <v>6662.89</v>
      </c>
      <c r="I44" s="20">
        <v>-3081.5866249999999</v>
      </c>
      <c r="J44" s="18" t="s">
        <v>251</v>
      </c>
      <c r="K44" s="18" t="s">
        <v>248</v>
      </c>
      <c r="L44" s="18" t="s">
        <v>252</v>
      </c>
      <c r="M44" s="18" t="s">
        <v>170</v>
      </c>
      <c r="N44" s="18"/>
    </row>
    <row r="45" spans="2:14" ht="12">
      <c r="B45" s="18" t="s">
        <v>253</v>
      </c>
      <c r="C45" s="35">
        <v>-300</v>
      </c>
      <c r="D45" s="36">
        <v>43187</v>
      </c>
      <c r="E45" s="36">
        <v>43217.625</v>
      </c>
      <c r="F45" s="36">
        <v>43217</v>
      </c>
      <c r="G45" s="36">
        <v>43187</v>
      </c>
      <c r="H45" s="35">
        <v>3119.52</v>
      </c>
      <c r="I45" s="20">
        <v>0</v>
      </c>
      <c r="J45" s="18" t="s">
        <v>255</v>
      </c>
      <c r="K45" s="18" t="s">
        <v>257</v>
      </c>
      <c r="L45" s="18" t="s">
        <v>258</v>
      </c>
      <c r="M45" s="35" t="s">
        <v>259</v>
      </c>
      <c r="N45" s="18"/>
    </row>
    <row r="46" spans="2:14" ht="12">
      <c r="B46" s="18" t="s">
        <v>254</v>
      </c>
      <c r="C46" s="35">
        <v>360</v>
      </c>
      <c r="D46" s="36">
        <v>43187</v>
      </c>
      <c r="E46" s="36">
        <v>43217.625</v>
      </c>
      <c r="F46" s="36">
        <v>43217</v>
      </c>
      <c r="G46" s="36">
        <v>43187</v>
      </c>
      <c r="H46" s="35">
        <v>3312.48</v>
      </c>
      <c r="I46" s="18">
        <v>0</v>
      </c>
      <c r="J46" s="18" t="s">
        <v>256</v>
      </c>
      <c r="K46" s="18" t="s">
        <v>94</v>
      </c>
      <c r="L46" s="18" t="s">
        <v>258</v>
      </c>
      <c r="M46" s="35" t="s">
        <v>259</v>
      </c>
      <c r="N46" s="18"/>
    </row>
    <row r="47" spans="2:14">
      <c r="G47" s="32"/>
      <c r="I47" s="32"/>
    </row>
    <row r="48" spans="2:14">
      <c r="G48" s="32"/>
      <c r="I48" s="32"/>
    </row>
    <row r="49" spans="7:9">
      <c r="G49" s="32"/>
      <c r="I49" s="32"/>
    </row>
    <row r="50" spans="7:9">
      <c r="G50" s="32"/>
      <c r="I50" s="32"/>
    </row>
    <row r="51" spans="7:9">
      <c r="I51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I26" sqref="I26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179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43199</v>
      </c>
      <c r="J7" s="14">
        <f ca="1">[1]!s_dq_close(E7,I7,1)</f>
        <v>50610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43199</v>
      </c>
      <c r="J8" s="14">
        <f ca="1">[1]!s_dq_close(E8,I8,1)</f>
        <v>14200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43199</v>
      </c>
      <c r="J9" s="14">
        <f ca="1">[1]!s_dq_close(E9,I9,1)</f>
        <v>3636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43199</v>
      </c>
      <c r="J10" s="14">
        <f ca="1">[1]!s_dq_close(E10,I10,1)</f>
        <v>9295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43199</v>
      </c>
      <c r="J11" s="14">
        <f ca="1">[1]!s_dq_close(E11,I11,1)</f>
        <v>3408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43199</v>
      </c>
      <c r="J12" s="14">
        <f ca="1">[1]!s_dq_close(E12,I12,1)</f>
        <v>3649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43199</v>
      </c>
      <c r="J13" s="14">
        <f ca="1">[1]!s_dq_close(E13,I13,1)</f>
        <v>435.5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43199</v>
      </c>
      <c r="J14" s="14">
        <f ca="1">[1]!s_dq_close(E14,I14,1)</f>
        <v>11070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43199</v>
      </c>
      <c r="J15" s="14">
        <f ca="1">[1]!s_dq_close(E15,I15,1)</f>
        <v>1291</v>
      </c>
    </row>
    <row r="16" spans="2:10">
      <c r="B16" s="1" t="s">
        <v>168</v>
      </c>
      <c r="C16" s="1" t="s">
        <v>195</v>
      </c>
      <c r="D16" s="1" t="s">
        <v>167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43199</v>
      </c>
      <c r="J16" s="14">
        <f ca="1">[1]!s_dq_close(E16,I16,1)</f>
        <v>0</v>
      </c>
    </row>
    <row r="17" spans="2:10">
      <c r="B17" s="1" t="s">
        <v>169</v>
      </c>
      <c r="C17" s="1" t="s">
        <v>195</v>
      </c>
      <c r="D17" s="1" t="s">
        <v>167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43199</v>
      </c>
      <c r="J17" s="14">
        <f ca="1">[1]!s_dq_close(E17,I17,1)</f>
        <v>16.364999999999998</v>
      </c>
    </row>
    <row r="18" spans="2:10">
      <c r="B18" s="1" t="s">
        <v>177</v>
      </c>
      <c r="C18" s="1" t="s">
        <v>194</v>
      </c>
      <c r="D18" s="1" t="s">
        <v>178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43199</v>
      </c>
      <c r="J18" s="14">
        <f ca="1">[1]!s_dq_close(E18,I18,1)</f>
        <v>2054</v>
      </c>
    </row>
    <row r="19" spans="2:10">
      <c r="B19" s="1" t="s">
        <v>217</v>
      </c>
      <c r="C19" s="1" t="s">
        <v>218</v>
      </c>
      <c r="D19" s="1" t="s">
        <v>219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43199</v>
      </c>
      <c r="J19" s="14">
        <f ca="1">[1]!s_dq_close(E19,I19,1)</f>
        <v>6754.5</v>
      </c>
    </row>
    <row r="20" spans="2:10">
      <c r="B20" s="1" t="s">
        <v>223</v>
      </c>
      <c r="C20" s="1" t="s">
        <v>193</v>
      </c>
      <c r="D20" s="1" t="s">
        <v>167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43199</v>
      </c>
      <c r="J20" s="28">
        <f ca="1">[1]!s_dq_close(E20,I20,1)</f>
        <v>16.440000000000001</v>
      </c>
    </row>
    <row r="21" spans="2:10">
      <c r="B21" s="1" t="s">
        <v>242</v>
      </c>
      <c r="C21" s="1" t="s">
        <v>243</v>
      </c>
      <c r="D21" s="1" t="s">
        <v>244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">
        <f ca="1">TODAY()</f>
        <v>43199</v>
      </c>
      <c r="J21" s="34">
        <f ca="1">[1]!s_dq_close(E21,I21,1)</f>
        <v>1355.7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171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188</v>
      </c>
      <c r="AK6" s="9" t="s">
        <v>189</v>
      </c>
      <c r="AL6" s="9" t="s">
        <v>190</v>
      </c>
      <c r="AM6" s="9" t="s">
        <v>191</v>
      </c>
      <c r="AN6" s="9" t="s">
        <v>192</v>
      </c>
      <c r="AO6" s="9" t="s">
        <v>193</v>
      </c>
      <c r="AP6" s="9" t="s">
        <v>212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205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170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260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208</v>
      </c>
      <c r="D17" s="23" t="s">
        <v>209</v>
      </c>
      <c r="E17" s="24">
        <v>1</v>
      </c>
    </row>
    <row r="18" spans="2:5">
      <c r="B18" t="s">
        <v>30</v>
      </c>
      <c r="C18" s="25" t="s">
        <v>210</v>
      </c>
      <c r="D18" s="25">
        <v>1</v>
      </c>
      <c r="E18" s="26">
        <v>0.35</v>
      </c>
    </row>
    <row r="19" spans="2:5">
      <c r="B19" t="s">
        <v>31</v>
      </c>
      <c r="C19" s="23" t="s">
        <v>211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2018-04-09T14:54:13Z</dcterms:modified>
</cp:coreProperties>
</file>