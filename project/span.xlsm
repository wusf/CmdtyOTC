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3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AE29" i="5"/>
  <c r="AE30" i="5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23" i="5"/>
  <c r="AE12" i="5"/>
  <c r="AE8" i="5"/>
  <c r="AE24" i="5"/>
  <c r="AE9" i="5"/>
  <c r="AE17" i="5"/>
  <c r="AE25" i="5"/>
  <c r="AE26" i="5"/>
  <c r="AE10" i="5"/>
  <c r="AE18" i="5"/>
  <c r="AE11" i="5"/>
  <c r="AE21" i="5"/>
  <c r="AE14" i="5"/>
  <c r="AE22" i="5"/>
  <c r="AE13" i="5"/>
  <c r="E18" i="6"/>
  <c r="AR16" i="5"/>
  <c r="AL13" i="5"/>
  <c r="AK28" i="5"/>
  <c r="AJ13" i="5"/>
  <c r="AI15" i="5"/>
  <c r="AI23" i="5"/>
  <c r="AF23" i="5"/>
  <c r="AR15" i="5"/>
  <c r="AR24" i="5"/>
  <c r="AK29" i="5"/>
  <c r="AI20" i="5"/>
  <c r="AF20" i="5"/>
  <c r="AO13" i="5"/>
  <c r="AN10" i="5"/>
  <c r="AI26" i="5"/>
  <c r="AP10" i="5"/>
  <c r="AG15" i="5"/>
  <c r="AG24" i="5"/>
  <c r="AI25" i="5"/>
  <c r="AJ26" i="5"/>
  <c r="AK22" i="5"/>
  <c r="AN11" i="5"/>
  <c r="AQ26" i="5"/>
  <c r="AM12" i="5"/>
  <c r="AG23" i="5"/>
  <c r="AF8" i="5"/>
  <c r="AH9" i="5"/>
  <c r="AI10" i="5"/>
  <c r="AK13" i="5"/>
  <c r="AN15" i="5"/>
  <c r="AN23" i="5"/>
  <c r="AP15" i="5"/>
  <c r="AJ8" i="5"/>
  <c r="AJ25" i="5"/>
  <c r="AH18" i="5"/>
  <c r="AG30" i="5"/>
  <c r="AP27" i="5"/>
  <c r="AN18" i="5"/>
  <c r="AJ30" i="5"/>
  <c r="AM24" i="5"/>
  <c r="AP26" i="5"/>
  <c r="AN14" i="5"/>
  <c r="AL28" i="5"/>
  <c r="AM23" i="5"/>
  <c r="AN9" i="5"/>
  <c r="AQ30" i="5"/>
  <c r="AJ14" i="5"/>
  <c r="AR30" i="5"/>
  <c r="AO12" i="5"/>
  <c r="AQ11" i="5"/>
  <c r="AP29" i="5"/>
  <c r="AL14" i="5"/>
  <c r="AO28" i="5"/>
  <c r="AP19" i="5"/>
  <c r="AH8" i="5"/>
  <c r="AK23" i="5"/>
  <c r="AI11" i="5"/>
  <c r="AF12" i="5"/>
  <c r="AJ22" i="5"/>
  <c r="AL16" i="5"/>
  <c r="AJ12" i="5"/>
  <c r="AI18" i="5"/>
  <c r="AM10" i="5"/>
  <c r="AN26" i="5"/>
  <c r="AH27" i="5"/>
  <c r="AO29" i="5"/>
  <c r="AH17" i="5"/>
  <c r="AL10" i="5"/>
  <c r="AJ17" i="5"/>
  <c r="AH22" i="5"/>
  <c r="AK26" i="5"/>
  <c r="AR7" i="5"/>
  <c r="AO8" i="5"/>
  <c r="AQ9" i="5"/>
  <c r="AR10" i="5"/>
  <c r="AQ22" i="5"/>
  <c r="AN16" i="5"/>
  <c r="AP8" i="5"/>
  <c r="AP16" i="5"/>
  <c r="AO7" i="5"/>
  <c r="AO16" i="5"/>
  <c r="AQ17" i="5"/>
  <c r="AR18" i="5"/>
  <c r="AI29" i="5"/>
  <c r="AN28" i="5"/>
  <c r="AR28" i="5"/>
  <c r="AR22" i="5"/>
  <c r="AM11" i="5"/>
  <c r="AO19" i="5"/>
  <c r="AL19" i="5"/>
  <c r="AF17" i="5"/>
  <c r="AG18" i="5"/>
  <c r="AH14" i="5"/>
  <c r="AL26" i="5"/>
  <c r="AO27" i="5"/>
  <c r="AH10" i="5"/>
  <c r="AN27" i="5"/>
  <c r="AK27" i="5"/>
  <c r="AF25" i="5"/>
  <c r="AG26" i="5"/>
  <c r="AL23" i="5"/>
  <c r="AH21" i="5"/>
  <c r="AG20" i="5"/>
  <c r="AM7" i="5"/>
  <c r="AH24" i="5"/>
  <c r="AG17" i="5"/>
  <c r="AL27" i="5"/>
  <c r="AH11" i="5"/>
  <c r="AM22" i="5"/>
  <c r="AN20" i="5"/>
  <c r="AP23" i="5"/>
  <c r="AO25" i="5"/>
  <c r="AM20" i="5"/>
  <c r="AF19" i="5"/>
  <c r="AL8" i="5"/>
  <c r="AO10" i="5"/>
  <c r="AM13" i="5"/>
  <c r="AM19" i="5"/>
  <c r="AN12" i="5"/>
  <c r="AP11" i="5"/>
  <c r="AF30" i="5"/>
  <c r="AM30" i="5"/>
  <c r="AM28" i="5"/>
  <c r="AO11" i="5"/>
  <c r="AI13" i="5"/>
  <c r="AH16" i="5"/>
  <c r="AR20" i="5"/>
  <c r="AJ20" i="5"/>
  <c r="AJ21" i="5"/>
  <c r="AR17" i="5"/>
  <c r="AO18" i="5"/>
  <c r="AL15" i="5"/>
  <c r="AK30" i="5"/>
  <c r="AO17" i="5"/>
  <c r="AH20" i="5"/>
  <c r="AG21" i="5"/>
  <c r="AQ28" i="5"/>
  <c r="AK9" i="5"/>
  <c r="AI7" i="5"/>
  <c r="AR14" i="5"/>
  <c r="AL9" i="5"/>
  <c r="AJ23" i="5"/>
  <c r="AI14" i="5"/>
  <c r="AM15" i="5"/>
  <c r="AJ16" i="5"/>
  <c r="AL17" i="5"/>
  <c r="AM18" i="5"/>
  <c r="AL30" i="5"/>
  <c r="AK25" i="5"/>
  <c r="AJ9" i="5"/>
  <c r="AM25" i="5"/>
  <c r="AJ15" i="5"/>
  <c r="AJ24" i="5"/>
  <c r="AL25" i="5"/>
  <c r="AM26" i="5"/>
  <c r="AN22" i="5"/>
  <c r="AQ15" i="5"/>
  <c r="AQ23" i="5"/>
  <c r="AK15" i="5"/>
  <c r="AJ19" i="5"/>
  <c r="AM29" i="5"/>
  <c r="AR13" i="5"/>
  <c r="AR12" i="5"/>
  <c r="AG19" i="5"/>
  <c r="AK12" i="5"/>
  <c r="AH30" i="5"/>
  <c r="AH13" i="5"/>
  <c r="AH28" i="5"/>
  <c r="AK21" i="5"/>
  <c r="AR29" i="5"/>
  <c r="AQ20" i="5"/>
  <c r="AP13" i="5"/>
  <c r="AI19" i="5"/>
  <c r="AR9" i="5"/>
  <c r="AO9" i="5"/>
  <c r="AH15" i="5"/>
  <c r="AI28" i="5"/>
  <c r="AL20" i="5"/>
  <c r="AL21" i="5"/>
  <c r="AF7" i="5"/>
  <c r="AF15" i="5"/>
  <c r="AP7" i="5"/>
  <c r="AG25" i="5"/>
  <c r="AF10" i="5"/>
  <c r="AQ19" i="5"/>
  <c r="AF9" i="5"/>
  <c r="AI30" i="5"/>
  <c r="AN24" i="5"/>
  <c r="AO15" i="5"/>
  <c r="AQ25" i="5"/>
  <c r="AG29" i="5"/>
  <c r="AK16" i="5"/>
  <c r="AO23" i="5"/>
  <c r="AQ10" i="5"/>
  <c r="AP28" i="5"/>
  <c r="AK18" i="5"/>
  <c r="AR25" i="5"/>
  <c r="AO30" i="5"/>
  <c r="AF24" i="5"/>
  <c r="AP14" i="5"/>
  <c r="AL24" i="5"/>
  <c r="AN21" i="5"/>
  <c r="AL22" i="5"/>
  <c r="AQ13" i="5"/>
  <c r="AI12" i="5"/>
  <c r="AI27" i="5"/>
  <c r="AI8" i="5"/>
  <c r="AP17" i="5"/>
  <c r="AL18" i="5"/>
  <c r="AM16" i="5"/>
  <c r="AO20" i="5"/>
  <c r="AJ7" i="5"/>
  <c r="AG8" i="5"/>
  <c r="AI9" i="5"/>
  <c r="AJ10" i="5"/>
  <c r="AI22" i="5"/>
  <c r="AL29" i="5"/>
  <c r="AJ29" i="5"/>
  <c r="AG13" i="5"/>
  <c r="AG7" i="5"/>
  <c r="AG16" i="5"/>
  <c r="AI17" i="5"/>
  <c r="AJ18" i="5"/>
  <c r="AK14" i="5"/>
  <c r="AK20" i="5"/>
  <c r="AK11" i="5"/>
  <c r="AJ27" i="5"/>
  <c r="AR23" i="5"/>
  <c r="AQ8" i="5"/>
  <c r="AI21" i="5"/>
  <c r="AG28" i="5"/>
  <c r="AR21" i="5"/>
  <c r="AN7" i="5"/>
  <c r="AK7" i="5"/>
  <c r="AH7" i="5"/>
  <c r="AQ7" i="5"/>
  <c r="AQ16" i="5"/>
  <c r="AH29" i="5"/>
  <c r="AN13" i="5"/>
  <c r="AP22" i="5"/>
  <c r="AM9" i="5"/>
  <c r="AM27" i="5"/>
  <c r="AK19" i="5"/>
  <c r="AH19" i="5"/>
  <c r="AN29" i="5"/>
  <c r="AF29" i="5"/>
  <c r="AQ14" i="5"/>
  <c r="AQ24" i="5"/>
  <c r="AH12" i="5"/>
  <c r="AF13" i="5"/>
  <c r="AH23" i="5"/>
  <c r="AQ27" i="5"/>
  <c r="AH26" i="5"/>
  <c r="AF14" i="5"/>
  <c r="AF18" i="5"/>
  <c r="AF26" i="5"/>
  <c r="AN19" i="5"/>
  <c r="AG10" i="5"/>
  <c r="AI24" i="5"/>
  <c r="AK24" i="5"/>
  <c r="AO24" i="5"/>
  <c r="AR26" i="5"/>
  <c r="AL11" i="5"/>
  <c r="AM8" i="5"/>
  <c r="AN8" i="5"/>
  <c r="AP9" i="5"/>
  <c r="AM14" i="5"/>
  <c r="AK10" i="5"/>
  <c r="AR8" i="5"/>
  <c r="AP18" i="5"/>
  <c r="AF16" i="5"/>
  <c r="AL7" i="5"/>
  <c r="AK8" i="5"/>
  <c r="AO26" i="5"/>
  <c r="AP24" i="5"/>
  <c r="AP25" i="5"/>
  <c r="AG12" i="5"/>
  <c r="AQ21" i="5"/>
  <c r="AF28" i="5"/>
  <c r="AM17" i="5"/>
  <c r="AN30" i="5"/>
  <c r="AI16" i="5"/>
  <c r="AG14" i="5"/>
  <c r="AQ18" i="5"/>
  <c r="AF11" i="5"/>
  <c r="AQ12" i="5"/>
  <c r="AR11" i="5"/>
  <c r="AJ11" i="5"/>
  <c r="AG27" i="5"/>
  <c r="AP30" i="5"/>
  <c r="AO14" i="5"/>
  <c r="AO22" i="5"/>
  <c r="AP12" i="5"/>
  <c r="AP20" i="5"/>
  <c r="AR27" i="5"/>
  <c r="AR19" i="5"/>
  <c r="AF22" i="5"/>
  <c r="AQ29" i="5"/>
  <c r="AG11" i="5"/>
  <c r="AO21" i="5"/>
  <c r="AN17" i="5"/>
  <c r="AP21" i="5"/>
  <c r="AN25" i="5"/>
  <c r="AM21" i="5"/>
  <c r="AF21" i="5"/>
  <c r="AJ28" i="5"/>
  <c r="AF27" i="5"/>
  <c r="AG9" i="5"/>
  <c r="AH25" i="5"/>
  <c r="AK17" i="5"/>
  <c r="AG22" i="5"/>
  <c r="AL12" i="5"/>
  <c r="E17" i="6" l="1"/>
  <c r="E16" i="6"/>
  <c r="E12" i="6" l="1"/>
  <c r="J12" i="6"/>
  <c r="J16" i="6"/>
  <c r="J18" i="6"/>
  <c r="J17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8" i="6"/>
  <c r="J9" i="6"/>
  <c r="J7" i="6"/>
</calcChain>
</file>

<file path=xl/sharedStrings.xml><?xml version="1.0" encoding="utf-8"?>
<sst xmlns="http://schemas.openxmlformats.org/spreadsheetml/2006/main" count="781" uniqueCount="320">
  <si>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</si>
  <si>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</si>
  <si>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</si>
  <si>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</si>
  <si>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</si>
  <si>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</si>
  <si>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</si>
  <si>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</si>
  <si>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</si>
  <si>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</si>
  <si>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</si>
  <si>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</si>
  <si>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</si>
  <si>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</si>
  <si>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</si>
  <si>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</si>
  <si>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</si>
  <si>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</si>
  <si>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</si>
  <si>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</si>
  <si>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</si>
  <si>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</si>
  <si>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</si>
  <si>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</si>
  <si>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</si>
  <si>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</si>
  <si>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</si>
  <si>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</si>
  <si>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</si>
  <si>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</si>
  <si>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</si>
  <si>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</si>
  <si>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</si>
  <si>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</si>
  <si>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</si>
  <si>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</si>
  <si>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</si>
  <si>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</si>
  <si>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</si>
  <si>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</si>
  <si>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</si>
  <si>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</si>
  <si>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</si>
  <si>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</si>
  <si>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</si>
  <si>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</si>
  <si>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</si>
  <si>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</si>
  <si>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</si>
  <si>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</si>
  <si>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</si>
  <si>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</si>
  <si>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</si>
  <si>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</si>
  <si>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</si>
  <si>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</si>
  <si>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</si>
  <si>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</si>
  <si>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</si>
  <si>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</si>
  <si>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</si>
  <si>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</si>
  <si>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</si>
  <si>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</si>
  <si>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</si>
  <si>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</si>
  <si>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</si>
  <si>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</si>
  <si>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</si>
  <si>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</si>
  <si>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</si>
  <si>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</si>
  <si>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</si>
  <si>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</si>
  <si>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</si>
  <si>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</si>
  <si>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</si>
  <si>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</si>
  <si>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</si>
  <si>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</si>
  <si>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</si>
  <si>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</si>
  <si>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</si>
  <si>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</si>
  <si>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</si>
  <si>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</si>
  <si>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</si>
  <si>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</si>
  <si>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</si>
  <si>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</si>
  <si>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</si>
  <si>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</si>
  <si>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</si>
  <si>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</si>
  <si>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</si>
  <si>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</si>
  <si>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</si>
  <si>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</si>
  <si>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</si>
  <si>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</si>
  <si>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</si>
  <si>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</si>
  <si>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</si>
  <si>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</si>
  <si>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</si>
  <si>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</si>
  <si>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</si>
  <si>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</si>
  <si>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</si>
  <si>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</si>
  <si>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</si>
  <si>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</si>
  <si>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</si>
  <si>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</si>
  <si>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</si>
  <si>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</si>
  <si>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</si>
  <si>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</si>
  <si>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</si>
  <si>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</si>
  <si>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</si>
  <si>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</si>
  <si>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</si>
  <si>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</si>
  <si>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</si>
  <si>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</si>
  <si>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</si>
  <si>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</si>
  <si>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</si>
  <si>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</si>
  <si>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</si>
  <si>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</si>
  <si>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</si>
  <si>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</si>
  <si>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</si>
  <si>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</si>
  <si>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</si>
  <si>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</si>
  <si>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</si>
  <si>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</si>
  <si>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</si>
  <si>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</si>
  <si>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</si>
  <si>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</si>
  <si>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</si>
  <si>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</si>
  <si>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</si>
  <si>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</si>
  <si>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</si>
  <si>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</si>
  <si>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</si>
  <si>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</si>
  <si>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</si>
  <si>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</si>
  <si>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</si>
  <si>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</si>
  <si>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</si>
  <si>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</si>
  <si>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</si>
  <si>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</si>
  <si>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</si>
  <si>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</si>
  <si>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</si>
  <si>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</si>
  <si>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</si>
  <si>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</si>
  <si>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</si>
  <si>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</si>
  <si>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</si>
  <si>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</si>
  <si>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</si>
  <si>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</si>
  <si>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</si>
  <si>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</si>
  <si>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</si>
  <si>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</si>
  <si>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</si>
  <si>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</si>
  <si>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</si>
  <si>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</si>
  <si>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</si>
  <si>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</si>
  <si>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</si>
  <si>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</si>
  <si>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</si>
  <si>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</si>
  <si>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</si>
  <si>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</si>
  <si>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</si>
  <si>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</si>
  <si>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</si>
  <si>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</si>
  <si>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</si>
  <si>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</si>
  <si>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</si>
  <si>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</si>
  <si>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</si>
  <si>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</si>
  <si>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</si>
  <si>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</si>
  <si>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</si>
  <si>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</si>
  <si>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</si>
  <si>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</si>
  <si>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</si>
  <si>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</si>
  <si>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</si>
  <si>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</si>
  <si>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</si>
  <si>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</si>
  <si>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</si>
  <si>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</si>
  <si>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</si>
  <si>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</si>
  <si>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</si>
  <si>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</si>
  <si>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</si>
  <si>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</si>
  <si>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</si>
  <si>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</si>
  <si>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</si>
  <si>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</si>
  <si>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</si>
  <si>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</si>
  <si>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</si>
  <si>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</si>
  <si>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</si>
  <si>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</si>
  <si>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</si>
  <si>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</si>
  <si>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</si>
  <si>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</si>
  <si>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</si>
  <si>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</si>
  <si>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</si>
  <si>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</si>
  <si>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</si>
  <si>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</si>
  <si>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</si>
  <si>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</si>
  <si>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</si>
  <si>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</si>
  <si>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</si>
  <si>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</si>
  <si>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</si>
  <si>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</si>
  <si>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</si>
  <si>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</si>
  <si>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</si>
  <si>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</si>
  <si>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</si>
  <si>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</si>
  <si>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</si>
  <si>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</si>
  <si>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</si>
  <si>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</si>
  <si>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</si>
  <si>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1.043|1|1</t>
  </si>
  <si>
    <t>.957|1|1</t>
  </si>
  <si>
    <t>1.064|1.1|1</t>
  </si>
  <si>
    <t>1.064|.9|1</t>
  </si>
  <si>
    <t>.936|1.1|1</t>
  </si>
  <si>
    <t>.936|.9|1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</si>
  <si>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</si>
  <si>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</si>
  <si>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</si>
  <si>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</si>
  <si>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</si>
  <si>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</si>
  <si>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</si>
  <si>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</si>
  <si>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</si>
  <si>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</si>
  <si>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</si>
  <si>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</si>
  <si>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</si>
  <si>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</si>
  <si>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</si>
  <si>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</si>
  <si>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</si>
  <si>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</si>
  <si>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</si>
  <si>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</si>
  <si>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</si>
  <si>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</si>
  <si>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</si>
  <si>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</si>
  <si>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</si>
  <si>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</si>
  <si>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</si>
  <si>
    <t>ca</t>
    <phoneticPr fontId="1" type="noConversion"/>
  </si>
  <si>
    <t>20180309-CICC-MRJH-LMECA-SWP-89</t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</si>
  <si>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</si>
  <si>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</si>
  <si>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</si>
  <si>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</si>
  <si>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lmca</t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</si>
  <si>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</si>
  <si>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</si>
  <si>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</si>
  <si>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</si>
  <si>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</si>
  <si>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1.213|1|.35</t>
  </si>
  <si>
    <t>.787|1|.35</t>
  </si>
  <si>
    <t>1.25|1|.35</t>
  </si>
  <si>
    <t>.75|1|.35</t>
  </si>
  <si>
    <t>1.218|1|.35</t>
  </si>
  <si>
    <t>.782|1|.35</t>
  </si>
  <si>
    <t>1.197|1|.35</t>
  </si>
  <si>
    <t>.803|1|.35</t>
  </si>
  <si>
    <t>1.128|1|.35</t>
  </si>
  <si>
    <t>.872|1|.35</t>
  </si>
  <si>
    <t>1.152|1|.35</t>
  </si>
  <si>
    <t>.848|1|.35</t>
  </si>
  <si>
    <t>1.097|1|.35</t>
  </si>
  <si>
    <t>.903|1|.35</t>
  </si>
  <si>
    <t>1.039|1|1</t>
  </si>
  <si>
    <t>.961|1|1</t>
  </si>
  <si>
    <t>1.117|1|.35</t>
  </si>
  <si>
    <t>.883|1|.35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</si>
</sst>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409]d\-mmm\-yy;@"/>
    <numFmt numFmtId="177" formatCode="0.000"/>
    <numFmt numFmtId="178" formatCode="###,###,##0.00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9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0" totalsRowShown="0" headerRowDxfId="126" dataDxfId="125"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5" totalsRowShown="0" headerRowDxfId="68" dataDxfId="67">
  <autoFilter ref="B8:N35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19" totalsRowShown="0" headerRowDxfId="53" dataDxfId="52">
  <autoFilter ref="B6:J19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27" sqref="C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30"/>
  <sheetViews>
    <sheetView topLeftCell="I1" zoomScaleNormal="100" workbookViewId="0">
      <selection activeCell="AL7" sqref="AL7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2:44">
      <c r="B3" s="6" t="s">
        <v>36</v>
      </c>
    </row>
    <row r="4" spans="2:44">
      <c r="B4" s="7">
        <f ca="1">TODAY()</f>
        <v>43173</v>
      </c>
      <c r="AE4" s="8"/>
    </row>
    <row r="6" spans="2:44">
      <c r="B6" s="6" t="s">
        <v>281</v>
      </c>
      <c r="C6" s="6" t="s">
        <v>81</v>
      </c>
      <c r="D6" s="6" t="s">
        <v>167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2:44" ht="15" customHeight="1">
      <c r="B7" s="9" t="s">
        <v>283</v>
      </c>
      <c r="C7" s="9" t="s">
        <v>284</v>
      </c>
      <c r="D7" s="9" t="s">
        <v>168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13960</v>
      </c>
      <c r="P7" s="9">
        <v>0.14000000000000001</v>
      </c>
      <c r="Q7" s="9" t="s">
        <v>164</v>
      </c>
      <c r="R7" s="9" t="s">
        <v>186</v>
      </c>
      <c r="S7" s="9" t="s">
        <v>231</v>
      </c>
      <c r="T7" s="9" t="s">
        <v>232</v>
      </c>
      <c r="U7" s="9" t="s">
        <v>187</v>
      </c>
      <c r="V7" s="9" t="s">
        <v>233</v>
      </c>
      <c r="W7" s="9" t="s">
        <v>234</v>
      </c>
      <c r="X7" s="9" t="s">
        <v>235</v>
      </c>
      <c r="Y7" s="9" t="s">
        <v>236</v>
      </c>
      <c r="Z7" s="9" t="s">
        <v>237</v>
      </c>
      <c r="AA7" s="9" t="s">
        <v>238</v>
      </c>
      <c r="AB7" s="9" t="s">
        <v>300</v>
      </c>
      <c r="AC7" s="9" t="s">
        <v>301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0.13542857142857143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307167.82946706668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-4214.9393722105015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-142385.76902559798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-193072.51757765515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876178.40001720353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1733215.473725819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2891137.8125217739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-179209.90468011098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-202084.2949175291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2934272.8548959373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2854689.6553584323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-209965.41133638585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2228996.2734409799</v>
      </c>
    </row>
    <row r="8" spans="2:44">
      <c r="B8" s="9" t="s">
        <v>66</v>
      </c>
      <c r="C8" s="9" t="s">
        <v>111</v>
      </c>
      <c r="D8" s="9" t="s">
        <v>168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3621</v>
      </c>
      <c r="P8" s="9">
        <v>0.18</v>
      </c>
      <c r="Q8" s="9" t="s">
        <v>164</v>
      </c>
      <c r="R8" s="9" t="s">
        <v>165</v>
      </c>
      <c r="S8" s="9" t="s">
        <v>215</v>
      </c>
      <c r="T8" s="9" t="s">
        <v>216</v>
      </c>
      <c r="U8" s="9" t="s">
        <v>166</v>
      </c>
      <c r="V8" s="9" t="s">
        <v>217</v>
      </c>
      <c r="W8" s="9" t="s">
        <v>218</v>
      </c>
      <c r="X8" s="9" t="s">
        <v>219</v>
      </c>
      <c r="Y8" s="9" t="s">
        <v>220</v>
      </c>
      <c r="Z8" s="9" t="s">
        <v>221</v>
      </c>
      <c r="AA8" s="9" t="s">
        <v>222</v>
      </c>
      <c r="AB8" s="9" t="s">
        <v>302</v>
      </c>
      <c r="AC8" s="9" t="s">
        <v>303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0.15720565149136578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360958.88765283395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25841.768564595142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-155477.95387431257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-237577.08664597868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847294.4742735367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1419467.7348500313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2053933.7355115325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-220459.31245841173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-251535.97065967368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2056792.4892491698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2052321.0612513409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-274874.72612508602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1209181.2216496547</v>
      </c>
    </row>
    <row r="9" spans="2:44">
      <c r="B9" s="9" t="s">
        <v>67</v>
      </c>
      <c r="C9" s="9" t="s">
        <v>111</v>
      </c>
      <c r="D9" s="9" t="s">
        <v>168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3621</v>
      </c>
      <c r="P9" s="9">
        <v>0.18</v>
      </c>
      <c r="Q9" s="9" t="s">
        <v>164</v>
      </c>
      <c r="R9" s="9" t="s">
        <v>165</v>
      </c>
      <c r="S9" s="9" t="s">
        <v>215</v>
      </c>
      <c r="T9" s="9" t="s">
        <v>216</v>
      </c>
      <c r="U9" s="9" t="s">
        <v>166</v>
      </c>
      <c r="V9" s="9" t="s">
        <v>217</v>
      </c>
      <c r="W9" s="9" t="s">
        <v>218</v>
      </c>
      <c r="X9" s="9" t="s">
        <v>219</v>
      </c>
      <c r="Y9" s="9" t="s">
        <v>220</v>
      </c>
      <c r="Z9" s="9" t="s">
        <v>221</v>
      </c>
      <c r="AA9" s="9" t="s">
        <v>222</v>
      </c>
      <c r="AB9" s="9" t="s">
        <v>302</v>
      </c>
      <c r="AC9" s="9" t="s">
        <v>303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0.15234285714285714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773220.43861141941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32481.912242335151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-330935.60216613731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-462868.677152608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1849896.7274027963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3062205.0336611541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4356239.6203640765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-442192.37628035713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-478657.97116417659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4357113.894005836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4355895.9848227873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-499979.27377096377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2540515.207206185</v>
      </c>
    </row>
    <row r="10" spans="2:44">
      <c r="B10" s="9" t="s">
        <v>95</v>
      </c>
      <c r="C10" s="9" t="s">
        <v>112</v>
      </c>
      <c r="D10" s="9" t="s">
        <v>168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490</v>
      </c>
      <c r="P10" s="9">
        <v>0.36</v>
      </c>
      <c r="Q10" s="9" t="s">
        <v>164</v>
      </c>
      <c r="R10" s="9" t="s">
        <v>193</v>
      </c>
      <c r="S10" s="9" t="s">
        <v>223</v>
      </c>
      <c r="T10" s="9" t="s">
        <v>224</v>
      </c>
      <c r="U10" s="9" t="s">
        <v>195</v>
      </c>
      <c r="V10" s="9" t="s">
        <v>225</v>
      </c>
      <c r="W10" s="9" t="s">
        <v>226</v>
      </c>
      <c r="X10" s="9" t="s">
        <v>227</v>
      </c>
      <c r="Y10" s="9" t="s">
        <v>228</v>
      </c>
      <c r="Z10" s="9" t="s">
        <v>229</v>
      </c>
      <c r="AA10" s="9" t="s">
        <v>230</v>
      </c>
      <c r="AB10" s="9" t="s">
        <v>304</v>
      </c>
      <c r="AC10" s="9" t="s">
        <v>305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0.23241516966067863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129525.00495415722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-24211.918637104885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-129837.90161890734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-192246.98237061105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315181.97615110723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510690.6189423016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715294.88658897276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-181676.66922776299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-202190.95701541385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715463.08940641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715228.98184088687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-235447.16829280145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311091.5317362179</v>
      </c>
    </row>
    <row r="11" spans="2:44">
      <c r="B11" s="9" t="s">
        <v>96</v>
      </c>
      <c r="C11" s="9" t="s">
        <v>112</v>
      </c>
      <c r="D11" s="9" t="s">
        <v>168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490</v>
      </c>
      <c r="P11" s="9">
        <v>0.36</v>
      </c>
      <c r="Q11" s="9" t="s">
        <v>164</v>
      </c>
      <c r="R11" s="9" t="s">
        <v>193</v>
      </c>
      <c r="S11" s="9" t="s">
        <v>223</v>
      </c>
      <c r="T11" s="9" t="s">
        <v>224</v>
      </c>
      <c r="U11" s="9" t="s">
        <v>195</v>
      </c>
      <c r="V11" s="9" t="s">
        <v>225</v>
      </c>
      <c r="W11" s="9" t="s">
        <v>226</v>
      </c>
      <c r="X11" s="9" t="s">
        <v>227</v>
      </c>
      <c r="Y11" s="9" t="s">
        <v>228</v>
      </c>
      <c r="Z11" s="9" t="s">
        <v>229</v>
      </c>
      <c r="AA11" s="9" t="s">
        <v>230</v>
      </c>
      <c r="AB11" s="9" t="s">
        <v>304</v>
      </c>
      <c r="AC11" s="9" t="s">
        <v>305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0.23241516966067863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-209942.12538506227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-158201.59184746729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-63242.438108243223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79825.938268910628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-229762.61131696962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-234839.10524680183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-235712.29472898776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90396.251411758596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69881.963624107535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-235544.09191155093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-235778.19947707374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73817.371773590508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-235799.99956762762</v>
      </c>
    </row>
    <row r="12" spans="2:44">
      <c r="B12" s="9" t="s">
        <v>68</v>
      </c>
      <c r="C12" s="9" t="s">
        <v>111</v>
      </c>
      <c r="D12" s="9" t="s">
        <v>168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3621</v>
      </c>
      <c r="P12" s="9">
        <v>0.18</v>
      </c>
      <c r="Q12" s="9" t="s">
        <v>164</v>
      </c>
      <c r="R12" s="9" t="s">
        <v>165</v>
      </c>
      <c r="S12" s="9" t="s">
        <v>215</v>
      </c>
      <c r="T12" s="9" t="s">
        <v>216</v>
      </c>
      <c r="U12" s="9" t="s">
        <v>166</v>
      </c>
      <c r="V12" s="9" t="s">
        <v>217</v>
      </c>
      <c r="W12" s="9" t="s">
        <v>218</v>
      </c>
      <c r="X12" s="9" t="s">
        <v>219</v>
      </c>
      <c r="Y12" s="9" t="s">
        <v>220</v>
      </c>
      <c r="Z12" s="9" t="s">
        <v>221</v>
      </c>
      <c r="AA12" s="9" t="s">
        <v>222</v>
      </c>
      <c r="AB12" s="9" t="s">
        <v>302</v>
      </c>
      <c r="AC12" s="9" t="s">
        <v>303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0.14937181663837013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371511.60773002141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-157789.04320764012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-362502.13930516288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-418901.31020251481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1293358.5724460294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2446584.2243387126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3728588.723096638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-409642.72103308293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-424867.39697707986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3730778.8526273044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3727532.8494345699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-429997.67375661008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2365952.7967048646</v>
      </c>
    </row>
    <row r="13" spans="2:44">
      <c r="B13" s="9" t="s">
        <v>69</v>
      </c>
      <c r="C13" s="9" t="s">
        <v>111</v>
      </c>
      <c r="D13" s="9" t="s">
        <v>168</v>
      </c>
      <c r="E13" s="9">
        <v>1000</v>
      </c>
      <c r="F13" s="9">
        <v>3650.0000014560001</v>
      </c>
      <c r="G13" s="7">
        <v>43129</v>
      </c>
      <c r="H13" s="7">
        <v>43189.625</v>
      </c>
      <c r="I13" s="7">
        <v>43189.625</v>
      </c>
      <c r="J13" s="9">
        <v>-470000.00880000001</v>
      </c>
      <c r="K13" s="9" t="s">
        <v>6</v>
      </c>
      <c r="L13" s="9" t="s">
        <v>64</v>
      </c>
      <c r="M13" s="9" t="s">
        <v>62</v>
      </c>
      <c r="N13" s="9">
        <v>10000</v>
      </c>
      <c r="O13" s="9">
        <v>3621</v>
      </c>
      <c r="P13" s="9">
        <v>0.18</v>
      </c>
      <c r="Q13" s="9" t="s">
        <v>164</v>
      </c>
      <c r="R13" s="9" t="s">
        <v>165</v>
      </c>
      <c r="S13" s="9" t="s">
        <v>215</v>
      </c>
      <c r="T13" s="9" t="s">
        <v>216</v>
      </c>
      <c r="U13" s="9" t="s">
        <v>166</v>
      </c>
      <c r="V13" s="9" t="s">
        <v>217</v>
      </c>
      <c r="W13" s="9" t="s">
        <v>218</v>
      </c>
      <c r="X13" s="9" t="s">
        <v>219</v>
      </c>
      <c r="Y13" s="9" t="s">
        <v>220</v>
      </c>
      <c r="Z13" s="9" t="s">
        <v>221</v>
      </c>
      <c r="AA13" s="9" t="s">
        <v>222</v>
      </c>
      <c r="AB13" s="9" t="s">
        <v>302</v>
      </c>
      <c r="AC13" s="9" t="s">
        <v>303</v>
      </c>
      <c r="AD13" s="9">
        <v>0.125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0.14008247422680412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123388.15583330783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-362256.94688153977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-461140.51953740872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-469729.59724975936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1153840.4260504281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2389309.6646332857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3690683.882157878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-469188.24361511465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-469935.30809511337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3690709.3616906577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3690678.7056181901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-470000.00878086104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2328405.1027668347</v>
      </c>
    </row>
    <row r="14" spans="2:44">
      <c r="B14" s="9" t="s">
        <v>8</v>
      </c>
      <c r="C14" s="9" t="s">
        <v>113</v>
      </c>
      <c r="D14" s="9" t="s">
        <v>168</v>
      </c>
      <c r="E14" s="9">
        <v>400</v>
      </c>
      <c r="F14" s="9">
        <v>14500.000004</v>
      </c>
      <c r="G14" s="7">
        <v>43118</v>
      </c>
      <c r="H14" s="7">
        <v>43200.625</v>
      </c>
      <c r="I14" s="7">
        <v>43200.625</v>
      </c>
      <c r="J14" s="9">
        <v>-400000</v>
      </c>
      <c r="K14" s="9" t="s">
        <v>6</v>
      </c>
      <c r="L14" s="9" t="s">
        <v>9</v>
      </c>
      <c r="M14" s="9" t="s">
        <v>10</v>
      </c>
      <c r="N14" s="9">
        <v>2000</v>
      </c>
      <c r="O14" s="9">
        <v>13960</v>
      </c>
      <c r="P14" s="9">
        <v>0.14000000000000001</v>
      </c>
      <c r="Q14" s="9" t="s">
        <v>164</v>
      </c>
      <c r="R14" s="9" t="s">
        <v>186</v>
      </c>
      <c r="S14" s="9" t="s">
        <v>231</v>
      </c>
      <c r="T14" s="9" t="s">
        <v>232</v>
      </c>
      <c r="U14" s="9" t="s">
        <v>187</v>
      </c>
      <c r="V14" s="9" t="s">
        <v>233</v>
      </c>
      <c r="W14" s="9" t="s">
        <v>234</v>
      </c>
      <c r="X14" s="9" t="s">
        <v>235</v>
      </c>
      <c r="Y14" s="9" t="s">
        <v>236</v>
      </c>
      <c r="Z14" s="9" t="s">
        <v>237</v>
      </c>
      <c r="AA14" s="9" t="s">
        <v>238</v>
      </c>
      <c r="AB14" s="9" t="s">
        <v>300</v>
      </c>
      <c r="AC14" s="9" t="s">
        <v>301</v>
      </c>
      <c r="AD14" s="9">
        <v>0.12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0.12668683812405446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747807.34604421002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331724.64548645075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12036.668145765201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-207433.75027265455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1228805.0097520752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1742460.7627206035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2296000.3904744531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-171653.82331811663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-242219.20347964441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2297098.3563106055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2295496.1564051639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-397167.47203974368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1099508.6222311351</v>
      </c>
    </row>
    <row r="15" spans="2:44">
      <c r="B15" s="9" t="s">
        <v>97</v>
      </c>
      <c r="C15" s="9" t="s">
        <v>115</v>
      </c>
      <c r="D15" s="9" t="s">
        <v>168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6</v>
      </c>
      <c r="L15" s="9" t="s">
        <v>107</v>
      </c>
      <c r="M15" s="9" t="s">
        <v>122</v>
      </c>
      <c r="N15" s="9">
        <v>-3000</v>
      </c>
      <c r="O15" s="9">
        <v>1294.5</v>
      </c>
      <c r="P15" s="9">
        <v>0.36</v>
      </c>
      <c r="Q15" s="9" t="s">
        <v>164</v>
      </c>
      <c r="R15" s="9" t="s">
        <v>165</v>
      </c>
      <c r="S15" s="9" t="s">
        <v>239</v>
      </c>
      <c r="T15" s="9" t="s">
        <v>240</v>
      </c>
      <c r="U15" s="9" t="s">
        <v>166</v>
      </c>
      <c r="V15" s="9" t="s">
        <v>241</v>
      </c>
      <c r="W15" s="9" t="s">
        <v>242</v>
      </c>
      <c r="X15" s="9" t="s">
        <v>243</v>
      </c>
      <c r="Y15" s="9" t="s">
        <v>244</v>
      </c>
      <c r="Z15" s="9" t="s">
        <v>245</v>
      </c>
      <c r="AA15" s="9" t="s">
        <v>246</v>
      </c>
      <c r="AB15" s="9" t="s">
        <v>306</v>
      </c>
      <c r="AC15" s="9" t="s">
        <v>307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-70544.812143552626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-33921.110198931827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-14169.488813557064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-5401.8512429025168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-130851.77490473099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-220439.58242123114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-331443.88609026541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-8631.3855411730492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-2999.8503958714355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-337636.26219101192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-325997.59314197622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-53.6756769461416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-257814.03685787937</v>
      </c>
    </row>
    <row r="16" spans="2:44">
      <c r="B16" s="9" t="s">
        <v>98</v>
      </c>
      <c r="C16" s="9" t="s">
        <v>115</v>
      </c>
      <c r="D16" s="9" t="s">
        <v>168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43</v>
      </c>
      <c r="L16" s="9" t="s">
        <v>107</v>
      </c>
      <c r="M16" s="9" t="s">
        <v>122</v>
      </c>
      <c r="N16" s="9">
        <v>-3000</v>
      </c>
      <c r="O16" s="9">
        <v>1294.5</v>
      </c>
      <c r="P16" s="9">
        <v>0.36</v>
      </c>
      <c r="Q16" s="9" t="s">
        <v>164</v>
      </c>
      <c r="R16" s="9" t="s">
        <v>165</v>
      </c>
      <c r="S16" s="9" t="s">
        <v>239</v>
      </c>
      <c r="T16" s="9" t="s">
        <v>240</v>
      </c>
      <c r="U16" s="9" t="s">
        <v>166</v>
      </c>
      <c r="V16" s="9" t="s">
        <v>241</v>
      </c>
      <c r="W16" s="9" t="s">
        <v>242</v>
      </c>
      <c r="X16" s="9" t="s">
        <v>243</v>
      </c>
      <c r="Y16" s="9" t="s">
        <v>244</v>
      </c>
      <c r="Z16" s="9" t="s">
        <v>245</v>
      </c>
      <c r="AA16" s="9" t="s">
        <v>246</v>
      </c>
      <c r="AB16" s="9" t="s">
        <v>306</v>
      </c>
      <c r="AC16" s="9" t="s">
        <v>307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-179945.10756383449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-283000.10608978948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-406807.14907694998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-537718.21197687055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-100573.36985443761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-46602.512998403021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-17928.116196861312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-540947.7462751416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-535316.21112983965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-24120.492297608122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-12481.823248572709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-334385.02479362517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-62.894535398139759</v>
      </c>
    </row>
    <row r="17" spans="2:44">
      <c r="B17" s="9" t="s">
        <v>99</v>
      </c>
      <c r="C17" s="9" t="s">
        <v>116</v>
      </c>
      <c r="D17" s="9" t="s">
        <v>168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v>43189.625</v>
      </c>
      <c r="J17" s="9">
        <v>-5999999.9280000003</v>
      </c>
      <c r="K17" s="9" t="s">
        <v>6</v>
      </c>
      <c r="L17" s="9" t="s">
        <v>107</v>
      </c>
      <c r="M17" s="9" t="s">
        <v>122</v>
      </c>
      <c r="N17" s="9">
        <v>120000</v>
      </c>
      <c r="O17" s="9">
        <v>1294.5</v>
      </c>
      <c r="P17" s="9">
        <v>0.36</v>
      </c>
      <c r="Q17" s="9" t="s">
        <v>164</v>
      </c>
      <c r="R17" s="9" t="s">
        <v>165</v>
      </c>
      <c r="S17" s="9" t="s">
        <v>239</v>
      </c>
      <c r="T17" s="9" t="s">
        <v>240</v>
      </c>
      <c r="U17" s="9" t="s">
        <v>166</v>
      </c>
      <c r="V17" s="9" t="s">
        <v>241</v>
      </c>
      <c r="W17" s="9" t="s">
        <v>242</v>
      </c>
      <c r="X17" s="9" t="s">
        <v>243</v>
      </c>
      <c r="Y17" s="9" t="s">
        <v>244</v>
      </c>
      <c r="Z17" s="9" t="s">
        <v>245</v>
      </c>
      <c r="AA17" s="9" t="s">
        <v>246</v>
      </c>
      <c r="AB17" s="9" t="s">
        <v>306</v>
      </c>
      <c r="AC17" s="9" t="s">
        <v>307</v>
      </c>
      <c r="AD17" s="9">
        <v>0.32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0.32542303771661568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-5276035.973580692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-5754997.6387458043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-5931631.6787289344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-5983020.162740808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-4177755.2864506533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-2014683.4257811303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1319988.0470303902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-5961638.4993809732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-5994054.0588516379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1656872.1978069302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993943.21877506375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-5999961.1399875944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1883787.6560727963</v>
      </c>
    </row>
    <row r="18" spans="2:44">
      <c r="B18" s="9" t="s">
        <v>100</v>
      </c>
      <c r="C18" s="9" t="s">
        <v>116</v>
      </c>
      <c r="D18" s="9" t="s">
        <v>168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v>43189.625</v>
      </c>
      <c r="J18" s="9">
        <v>-1791000.0179999999</v>
      </c>
      <c r="K18" s="9" t="s">
        <v>6</v>
      </c>
      <c r="L18" s="9" t="s">
        <v>108</v>
      </c>
      <c r="M18" s="9" t="s">
        <v>120</v>
      </c>
      <c r="N18" s="9">
        <v>3000</v>
      </c>
      <c r="O18" s="9">
        <v>12775</v>
      </c>
      <c r="P18" s="9">
        <v>0.36</v>
      </c>
      <c r="Q18" s="9" t="s">
        <v>164</v>
      </c>
      <c r="R18" s="9" t="s">
        <v>247</v>
      </c>
      <c r="S18" s="9" t="s">
        <v>248</v>
      </c>
      <c r="T18" s="9" t="s">
        <v>249</v>
      </c>
      <c r="U18" s="9" t="s">
        <v>250</v>
      </c>
      <c r="V18" s="9" t="s">
        <v>251</v>
      </c>
      <c r="W18" s="9" t="s">
        <v>252</v>
      </c>
      <c r="X18" s="9" t="s">
        <v>253</v>
      </c>
      <c r="Y18" s="9" t="s">
        <v>254</v>
      </c>
      <c r="Z18" s="9" t="s">
        <v>255</v>
      </c>
      <c r="AA18" s="9" t="s">
        <v>256</v>
      </c>
      <c r="AB18" s="9" t="s">
        <v>308</v>
      </c>
      <c r="AC18" s="9" t="s">
        <v>309</v>
      </c>
      <c r="AD18" s="9">
        <v>0.26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0.27225806451612905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-518426.6648214343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-1145496.5886693725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-1512265.9221110232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-1689299.323348111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377635.75839296984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1477704.852639585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2688086.3546239669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-1646976.3499334685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-1724783.6536857744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2699718.1225398546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2680581.3916483093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-1790333.3711057005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1085141.0762571974</v>
      </c>
    </row>
    <row r="19" spans="2:44">
      <c r="B19" s="9" t="s">
        <v>101</v>
      </c>
      <c r="C19" s="9" t="s">
        <v>115</v>
      </c>
      <c r="D19" s="9" t="s">
        <v>168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6</v>
      </c>
      <c r="L19" s="9" t="s">
        <v>109</v>
      </c>
      <c r="M19" s="9" t="s">
        <v>62</v>
      </c>
      <c r="N19" s="9">
        <v>-5000</v>
      </c>
      <c r="O19" s="9">
        <v>3735</v>
      </c>
      <c r="P19" s="9">
        <v>0.18</v>
      </c>
      <c r="Q19" s="9" t="s">
        <v>164</v>
      </c>
      <c r="R19" s="9" t="s">
        <v>165</v>
      </c>
      <c r="S19" s="9" t="s">
        <v>215</v>
      </c>
      <c r="T19" s="9" t="s">
        <v>216</v>
      </c>
      <c r="U19" s="9" t="s">
        <v>166</v>
      </c>
      <c r="V19" s="9" t="s">
        <v>217</v>
      </c>
      <c r="W19" s="9" t="s">
        <v>218</v>
      </c>
      <c r="X19" s="9" t="s">
        <v>219</v>
      </c>
      <c r="Y19" s="9" t="s">
        <v>220</v>
      </c>
      <c r="Z19" s="9" t="s">
        <v>221</v>
      </c>
      <c r="AA19" s="9" t="s">
        <v>222</v>
      </c>
      <c r="AB19" s="9" t="s">
        <v>302</v>
      </c>
      <c r="AC19" s="9" t="s">
        <v>303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-134932.65845040255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-36851.359929487822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-7909.6259164981484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-1228.8759942315407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-372421.09855284414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-779809.25306133041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-1349646.9055139513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-2876.7874410300283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-410.34484392511359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-1363234.5093865518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-1338692.0332715807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-0.39595884837735307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-1154036.5200957619</v>
      </c>
    </row>
    <row r="20" spans="2:44">
      <c r="B20" s="9" t="s">
        <v>102</v>
      </c>
      <c r="C20" s="9" t="s">
        <v>115</v>
      </c>
      <c r="D20" s="9" t="s">
        <v>168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43</v>
      </c>
      <c r="L20" s="9" t="s">
        <v>109</v>
      </c>
      <c r="M20" s="9" t="s">
        <v>62</v>
      </c>
      <c r="N20" s="9">
        <v>-5000</v>
      </c>
      <c r="O20" s="9">
        <v>3735</v>
      </c>
      <c r="P20" s="9">
        <v>0.18</v>
      </c>
      <c r="Q20" s="9" t="s">
        <v>164</v>
      </c>
      <c r="R20" s="9" t="s">
        <v>165</v>
      </c>
      <c r="S20" s="9" t="s">
        <v>215</v>
      </c>
      <c r="T20" s="9" t="s">
        <v>216</v>
      </c>
      <c r="U20" s="9" t="s">
        <v>166</v>
      </c>
      <c r="V20" s="9" t="s">
        <v>217</v>
      </c>
      <c r="W20" s="9" t="s">
        <v>218</v>
      </c>
      <c r="X20" s="9" t="s">
        <v>219</v>
      </c>
      <c r="Y20" s="9" t="s">
        <v>220</v>
      </c>
      <c r="Z20" s="9" t="s">
        <v>221</v>
      </c>
      <c r="AA20" s="9" t="s">
        <v>222</v>
      </c>
      <c r="AB20" s="9" t="s">
        <v>302</v>
      </c>
      <c r="AC20" s="9" t="s">
        <v>303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-44377.399136565873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-162687.91665307619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-415737.33365165466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-840651.63434200746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-7990.6984074009461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-939.8624777557352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-58.941451761146638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-875793.95974674658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-806908.07803583366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-217.65565984057173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-10.677656503699803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-928005.26828449231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-8.6523943373990319E-5</v>
      </c>
    </row>
    <row r="21" spans="2:44">
      <c r="B21" s="9" t="s">
        <v>103</v>
      </c>
      <c r="C21" s="9" t="s">
        <v>116</v>
      </c>
      <c r="D21" s="9" t="s">
        <v>168</v>
      </c>
      <c r="E21" s="9">
        <v>500</v>
      </c>
      <c r="F21" s="9">
        <v>450</v>
      </c>
      <c r="G21" s="7">
        <v>43048</v>
      </c>
      <c r="H21" s="7">
        <v>43203.625</v>
      </c>
      <c r="I21" s="7">
        <v>43203.625</v>
      </c>
      <c r="J21" s="9">
        <v>-760500</v>
      </c>
      <c r="K21" s="9" t="s">
        <v>6</v>
      </c>
      <c r="L21" s="9" t="s">
        <v>106</v>
      </c>
      <c r="M21" s="9" t="s">
        <v>135</v>
      </c>
      <c r="N21" s="9">
        <v>50000</v>
      </c>
      <c r="O21" s="9">
        <v>490</v>
      </c>
      <c r="P21" s="9">
        <v>0.36</v>
      </c>
      <c r="Q21" s="9" t="s">
        <v>164</v>
      </c>
      <c r="R21" s="9" t="s">
        <v>193</v>
      </c>
      <c r="S21" s="9" t="s">
        <v>223</v>
      </c>
      <c r="T21" s="9" t="s">
        <v>224</v>
      </c>
      <c r="U21" s="9" t="s">
        <v>195</v>
      </c>
      <c r="V21" s="9" t="s">
        <v>225</v>
      </c>
      <c r="W21" s="9" t="s">
        <v>226</v>
      </c>
      <c r="X21" s="9" t="s">
        <v>227</v>
      </c>
      <c r="Y21" s="9" t="s">
        <v>228</v>
      </c>
      <c r="Z21" s="9" t="s">
        <v>229</v>
      </c>
      <c r="AA21" s="9" t="s">
        <v>230</v>
      </c>
      <c r="AB21" s="9" t="s">
        <v>304</v>
      </c>
      <c r="AC21" s="9" t="s">
        <v>305</v>
      </c>
      <c r="AD21" s="9">
        <v>0.27</v>
      </c>
      <c r="AE2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0.28771084337349401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-604489.64561548107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-704130.93930081639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-742235.88763982267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-755435.91674367338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-386584.63934380823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2381.8364900884917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618195.064349544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-749799.31800781237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-758560.87697790144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680683.17250827304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557785.51016353955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-760480.14938469662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682298.64980764035</v>
      </c>
    </row>
    <row r="22" spans="2:44">
      <c r="B22" s="9" t="s">
        <v>104</v>
      </c>
      <c r="C22" s="9" t="s">
        <v>116</v>
      </c>
      <c r="D22" s="9" t="s">
        <v>168</v>
      </c>
      <c r="E22" s="9">
        <v>1500</v>
      </c>
      <c r="F22" s="9">
        <v>4000</v>
      </c>
      <c r="G22" s="7">
        <v>43048</v>
      </c>
      <c r="H22" s="7">
        <v>43203.625</v>
      </c>
      <c r="I22" s="7">
        <v>43203.625</v>
      </c>
      <c r="J22" s="9">
        <v>-2317950</v>
      </c>
      <c r="K22" s="9" t="s">
        <v>43</v>
      </c>
      <c r="L22" s="9" t="s">
        <v>109</v>
      </c>
      <c r="M22" s="9" t="s">
        <v>62</v>
      </c>
      <c r="N22" s="9">
        <v>15000</v>
      </c>
      <c r="O22" s="9">
        <v>3735</v>
      </c>
      <c r="P22" s="9">
        <v>0.18</v>
      </c>
      <c r="Q22" s="9" t="s">
        <v>164</v>
      </c>
      <c r="R22" s="9" t="s">
        <v>165</v>
      </c>
      <c r="S22" s="9" t="s">
        <v>215</v>
      </c>
      <c r="T22" s="9" t="s">
        <v>216</v>
      </c>
      <c r="U22" s="9" t="s">
        <v>166</v>
      </c>
      <c r="V22" s="9" t="s">
        <v>217</v>
      </c>
      <c r="W22" s="9" t="s">
        <v>218</v>
      </c>
      <c r="X22" s="9" t="s">
        <v>219</v>
      </c>
      <c r="Y22" s="9" t="s">
        <v>220</v>
      </c>
      <c r="Z22" s="9" t="s">
        <v>221</v>
      </c>
      <c r="AA22" s="9" t="s">
        <v>222</v>
      </c>
      <c r="AB22" s="9" t="s">
        <v>302</v>
      </c>
      <c r="AC22" s="9" t="s">
        <v>303</v>
      </c>
      <c r="AD22" s="9">
        <v>0.255</v>
      </c>
      <c r="AE2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0.24024096385542168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-1972817.2404555725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-1477546.1515009759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-653942.03789782827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568457.94038686901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-2205205.1996252905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-2288637.2347218199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-2312577.568183186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720896.81803644681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419444.70377670228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-2305638.2084506489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-2316104.2231343179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485523.32606751984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-2317948.7630881961</v>
      </c>
    </row>
    <row r="23" spans="2:44">
      <c r="B23" s="9" t="s">
        <v>105</v>
      </c>
      <c r="C23" s="9" t="s">
        <v>116</v>
      </c>
      <c r="D23" s="9" t="s">
        <v>168</v>
      </c>
      <c r="E23" s="9">
        <v>1500</v>
      </c>
      <c r="F23" s="9">
        <v>3600</v>
      </c>
      <c r="G23" s="7">
        <v>43048</v>
      </c>
      <c r="H23" s="7">
        <v>43203.625</v>
      </c>
      <c r="I23" s="7">
        <v>43203.625</v>
      </c>
      <c r="J23" s="9">
        <v>-2277450</v>
      </c>
      <c r="K23" s="9" t="s">
        <v>6</v>
      </c>
      <c r="L23" s="9" t="s">
        <v>109</v>
      </c>
      <c r="M23" s="9" t="s">
        <v>62</v>
      </c>
      <c r="N23" s="9">
        <v>15000</v>
      </c>
      <c r="O23" s="9">
        <v>3735</v>
      </c>
      <c r="P23" s="9">
        <v>0.18</v>
      </c>
      <c r="Q23" s="9" t="s">
        <v>164</v>
      </c>
      <c r="R23" s="9" t="s">
        <v>165</v>
      </c>
      <c r="S23" s="9" t="s">
        <v>215</v>
      </c>
      <c r="T23" s="9" t="s">
        <v>216</v>
      </c>
      <c r="U23" s="9" t="s">
        <v>166</v>
      </c>
      <c r="V23" s="9" t="s">
        <v>217</v>
      </c>
      <c r="W23" s="9" t="s">
        <v>218</v>
      </c>
      <c r="X23" s="9" t="s">
        <v>219</v>
      </c>
      <c r="Y23" s="9" t="s">
        <v>220</v>
      </c>
      <c r="Z23" s="9" t="s">
        <v>221</v>
      </c>
      <c r="AA23" s="9" t="s">
        <v>222</v>
      </c>
      <c r="AB23" s="9" t="s">
        <v>302</v>
      </c>
      <c r="AC23" s="9" t="s">
        <v>303</v>
      </c>
      <c r="AD23" s="9">
        <v>0.255</v>
      </c>
      <c r="AE2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0.24024096385542168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-1555512.8804854127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-1975866.824360772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-2165436.7431577267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-2242386.2203321471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-785051.9337662824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367593.82409018883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1934613.7608408714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-2215753.2880826849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-2260314.0216225632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2017939.6204148578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1860792.529742612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-2277265.3565582423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1185263.3147123931</v>
      </c>
    </row>
    <row r="24" spans="2:44">
      <c r="B24" s="9" t="s">
        <v>5</v>
      </c>
      <c r="C24" s="9" t="s">
        <v>127</v>
      </c>
      <c r="D24" s="9" t="s">
        <v>168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6</v>
      </c>
      <c r="L24" s="9" t="s">
        <v>7</v>
      </c>
      <c r="M24" s="9" t="s">
        <v>1</v>
      </c>
      <c r="N24" s="9">
        <v>500</v>
      </c>
      <c r="O24" s="9">
        <v>52330</v>
      </c>
      <c r="P24" s="9">
        <v>0.14000000000000001</v>
      </c>
      <c r="Q24" s="9" t="s">
        <v>164</v>
      </c>
      <c r="R24" s="9" t="s">
        <v>192</v>
      </c>
      <c r="S24" s="9" t="s">
        <v>257</v>
      </c>
      <c r="T24" s="9" t="s">
        <v>189</v>
      </c>
      <c r="U24" s="9" t="s">
        <v>194</v>
      </c>
      <c r="V24" s="9" t="s">
        <v>258</v>
      </c>
      <c r="W24" s="9" t="s">
        <v>191</v>
      </c>
      <c r="X24" s="9" t="s">
        <v>259</v>
      </c>
      <c r="Y24" s="9" t="s">
        <v>260</v>
      </c>
      <c r="Z24" s="9" t="s">
        <v>261</v>
      </c>
      <c r="AA24" s="9" t="s">
        <v>262</v>
      </c>
      <c r="AB24" s="9" t="s">
        <v>310</v>
      </c>
      <c r="AC24" s="9" t="s">
        <v>311</v>
      </c>
      <c r="AD24" s="9">
        <v>0.12</v>
      </c>
      <c r="AE2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0.12350515463917526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-47065.010839851908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-49877.784671667418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-49998.088199431913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-49999.987217507842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-17189.575834879943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140863.86388960684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504588.97520133556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-49999.793566337743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-50000.003414336366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518059.67002919764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492354.08261304285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-50000.003999999957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713997.3405859808</v>
      </c>
    </row>
    <row r="25" spans="2:44">
      <c r="B25" s="9" t="s">
        <v>162</v>
      </c>
      <c r="C25" s="9" t="s">
        <v>116</v>
      </c>
      <c r="D25" s="9" t="s">
        <v>168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v>43154</v>
      </c>
      <c r="J25" s="9">
        <v>-271800</v>
      </c>
      <c r="K25" s="9" t="s">
        <v>43</v>
      </c>
      <c r="L25" s="9" t="s">
        <v>109</v>
      </c>
      <c r="M25" s="9" t="s">
        <v>62</v>
      </c>
      <c r="N25" s="9">
        <v>10000</v>
      </c>
      <c r="O25" s="9">
        <v>3735</v>
      </c>
      <c r="P25" s="9">
        <v>0.18</v>
      </c>
      <c r="Q25" s="9" t="s">
        <v>164</v>
      </c>
      <c r="R25" s="9" t="s">
        <v>165</v>
      </c>
      <c r="S25" s="9" t="s">
        <v>215</v>
      </c>
      <c r="T25" s="9" t="s">
        <v>216</v>
      </c>
      <c r="U25" s="9" t="s">
        <v>166</v>
      </c>
      <c r="V25" s="9" t="s">
        <v>217</v>
      </c>
      <c r="W25" s="9" t="s">
        <v>218</v>
      </c>
      <c r="X25" s="9" t="s">
        <v>219</v>
      </c>
      <c r="Y25" s="9" t="s">
        <v>220</v>
      </c>
      <c r="Z25" s="9" t="s">
        <v>221</v>
      </c>
      <c r="AA25" s="9" t="s">
        <v>222</v>
      </c>
      <c r="AB25" s="9" t="s">
        <v>302</v>
      </c>
      <c r="AC25" s="9" t="s">
        <v>303</v>
      </c>
      <c r="AD25" s="9">
        <v>0.13500000000000001</v>
      </c>
      <c r="AE25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0.15013100436681223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6250.2004904531823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150894.11249330122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833520.92789567297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2052043.8825243504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37.126728718310282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2.6762464001756237E-2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1.0716740518242887E-6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2057536.6456198287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2048481.8423743111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7.1728194486323234E-5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3.8991694743895173E-9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2100834.2386989188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1.2236033474588261E-28</v>
      </c>
    </row>
    <row r="26" spans="2:44">
      <c r="B26" s="9" t="s">
        <v>163</v>
      </c>
      <c r="C26" s="9" t="s">
        <v>116</v>
      </c>
      <c r="D26" s="9" t="s">
        <v>168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v>43154</v>
      </c>
      <c r="J26" s="9">
        <v>-388800</v>
      </c>
      <c r="K26" s="9" t="s">
        <v>6</v>
      </c>
      <c r="L26" s="9" t="s">
        <v>109</v>
      </c>
      <c r="M26" s="9" t="s">
        <v>62</v>
      </c>
      <c r="N26" s="9">
        <v>10000</v>
      </c>
      <c r="O26" s="9">
        <v>3735</v>
      </c>
      <c r="P26" s="9">
        <v>0.18</v>
      </c>
      <c r="Q26" s="9" t="s">
        <v>164</v>
      </c>
      <c r="R26" s="9" t="s">
        <v>165</v>
      </c>
      <c r="S26" s="9" t="s">
        <v>215</v>
      </c>
      <c r="T26" s="9" t="s">
        <v>216</v>
      </c>
      <c r="U26" s="9" t="s">
        <v>166</v>
      </c>
      <c r="V26" s="9" t="s">
        <v>217</v>
      </c>
      <c r="W26" s="9" t="s">
        <v>218</v>
      </c>
      <c r="X26" s="9" t="s">
        <v>219</v>
      </c>
      <c r="Y26" s="9" t="s">
        <v>220</v>
      </c>
      <c r="Z26" s="9" t="s">
        <v>221</v>
      </c>
      <c r="AA26" s="9" t="s">
        <v>222</v>
      </c>
      <c r="AB26" s="9" t="s">
        <v>302</v>
      </c>
      <c r="AC26" s="9" t="s">
        <v>303</v>
      </c>
      <c r="AD26" s="9">
        <v>0.13500000000000001</v>
      </c>
      <c r="AE2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0.15013100436681223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779111.1023317416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124040.8778023284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6045.9986444428596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65.667482547641313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1997809.7113390686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3300129.4155269475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4644000.1114899134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239.05522349292897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12.126889422474099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4644000.2099955771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4644000.1049485691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1.2974962541776811E-8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3010354.4228774742</v>
      </c>
    </row>
    <row r="27" spans="2:44">
      <c r="B27" s="9" t="s">
        <v>182</v>
      </c>
      <c r="C27" s="9" t="s">
        <v>172</v>
      </c>
      <c r="D27" s="9" t="s">
        <v>175</v>
      </c>
      <c r="E27" s="9">
        <v>-64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196</v>
      </c>
      <c r="L27" s="9" t="s">
        <v>177</v>
      </c>
      <c r="M27" s="9" t="s">
        <v>211</v>
      </c>
      <c r="N27" s="9">
        <v>-320000</v>
      </c>
      <c r="O27" s="9">
        <v>16.594999999999999</v>
      </c>
      <c r="P27" s="9">
        <v>0.12</v>
      </c>
      <c r="Q27" s="9" t="s">
        <v>164</v>
      </c>
      <c r="R27" s="9" t="s">
        <v>263</v>
      </c>
      <c r="S27" s="9" t="s">
        <v>264</v>
      </c>
      <c r="T27" s="9" t="s">
        <v>265</v>
      </c>
      <c r="U27" s="9" t="s">
        <v>266</v>
      </c>
      <c r="V27" s="9" t="s">
        <v>267</v>
      </c>
      <c r="W27" s="9" t="s">
        <v>268</v>
      </c>
      <c r="X27" s="9" t="s">
        <v>269</v>
      </c>
      <c r="Y27" s="9" t="s">
        <v>270</v>
      </c>
      <c r="Z27" s="9" t="s">
        <v>271</v>
      </c>
      <c r="AA27" s="9" t="s">
        <v>272</v>
      </c>
      <c r="AB27" s="9" t="s">
        <v>312</v>
      </c>
      <c r="AC27" s="9" t="s">
        <v>313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-14928.049999999836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-147688.04999999935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-285758.44999999966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-418518.4500000003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117831.95000000084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255902.35000000056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388662.35000000009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-418518.4500000003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-418518.4500000003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388662.35000000009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388662.35000000009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-287249.32999999984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277777.23</v>
      </c>
    </row>
    <row r="28" spans="2:44">
      <c r="B28" s="9" t="s">
        <v>179</v>
      </c>
      <c r="C28" s="9" t="s">
        <v>172</v>
      </c>
      <c r="D28" s="9" t="s">
        <v>175</v>
      </c>
      <c r="E28" s="9">
        <v>-24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198</v>
      </c>
      <c r="L28" s="9" t="s">
        <v>180</v>
      </c>
      <c r="M28" s="9" t="s">
        <v>206</v>
      </c>
      <c r="N28" s="9">
        <v>-600</v>
      </c>
      <c r="O28" s="9">
        <v>2103</v>
      </c>
      <c r="P28" s="9">
        <v>0.12</v>
      </c>
      <c r="Q28" s="9" t="s">
        <v>164</v>
      </c>
      <c r="R28" s="9" t="s">
        <v>273</v>
      </c>
      <c r="S28" s="9" t="s">
        <v>188</v>
      </c>
      <c r="T28" s="9" t="s">
        <v>274</v>
      </c>
      <c r="U28" s="9" t="s">
        <v>275</v>
      </c>
      <c r="V28" s="9" t="s">
        <v>190</v>
      </c>
      <c r="W28" s="9" t="s">
        <v>276</v>
      </c>
      <c r="X28" s="9" t="s">
        <v>277</v>
      </c>
      <c r="Y28" s="9" t="s">
        <v>278</v>
      </c>
      <c r="Z28" s="9" t="s">
        <v>279</v>
      </c>
      <c r="AA28" s="9" t="s">
        <v>280</v>
      </c>
      <c r="AB28" s="9" t="s">
        <v>314</v>
      </c>
      <c r="AC28" s="9" t="s">
        <v>315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-79397.52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-59208.719999999914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-39019.919999999831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-18831.120000000024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-99586.32000000008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-119775.12000000004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-139963.9200000001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-18831.120000000024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-18831.120000000024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-139963.9200000001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-139963.9200000001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15310.589999999995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-70365.62999999999</v>
      </c>
    </row>
    <row r="29" spans="2:44">
      <c r="B29" s="9" t="s">
        <v>202</v>
      </c>
      <c r="C29" s="9" t="s">
        <v>172</v>
      </c>
      <c r="D29" s="9" t="s">
        <v>175</v>
      </c>
      <c r="E29" s="9">
        <v>-30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196</v>
      </c>
      <c r="L29" s="9" t="s">
        <v>177</v>
      </c>
      <c r="M29" s="9" t="s">
        <v>211</v>
      </c>
      <c r="N29" s="9">
        <v>-150000</v>
      </c>
      <c r="O29" s="9">
        <v>16.594999999999999</v>
      </c>
      <c r="P29" s="9">
        <v>0.12</v>
      </c>
      <c r="Q29" s="9" t="s">
        <v>164</v>
      </c>
      <c r="R29" s="9" t="s">
        <v>263</v>
      </c>
      <c r="S29" s="9" t="s">
        <v>264</v>
      </c>
      <c r="T29" s="9" t="s">
        <v>265</v>
      </c>
      <c r="U29" s="9" t="s">
        <v>266</v>
      </c>
      <c r="V29" s="9" t="s">
        <v>267</v>
      </c>
      <c r="W29" s="9" t="s">
        <v>268</v>
      </c>
      <c r="X29" s="9" t="s">
        <v>269</v>
      </c>
      <c r="Y29" s="9" t="s">
        <v>270</v>
      </c>
      <c r="Z29" s="9" t="s">
        <v>271</v>
      </c>
      <c r="AA29" s="9" t="s">
        <v>272</v>
      </c>
      <c r="AB29" s="9" t="s">
        <v>312</v>
      </c>
      <c r="AC29" s="9" t="s">
        <v>313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18001.950000000299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-44229.299999999486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-108949.79999999962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-171181.04999999993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80233.200000000608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144953.70000000051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207184.95000000027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-171181.04999999993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-171181.04999999993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207184.95000000027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207184.95000000027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-125638.64999999988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139217.55000000008</v>
      </c>
    </row>
    <row r="30" spans="2:44">
      <c r="B30" s="9" t="s">
        <v>291</v>
      </c>
      <c r="C30" s="9" t="s">
        <v>172</v>
      </c>
      <c r="D30" s="9" t="s">
        <v>175</v>
      </c>
      <c r="E30" s="9">
        <v>-12</v>
      </c>
      <c r="F30" s="9">
        <v>6812.5</v>
      </c>
      <c r="G30" s="7">
        <v>43168.625</v>
      </c>
      <c r="H30" s="7">
        <v>43257.625</v>
      </c>
      <c r="I30" s="7">
        <v>43257</v>
      </c>
      <c r="J30" s="9">
        <v>1021.875</v>
      </c>
      <c r="K30" s="9" t="s">
        <v>196</v>
      </c>
      <c r="L30" s="9" t="s">
        <v>289</v>
      </c>
      <c r="M30" s="9" t="s">
        <v>296</v>
      </c>
      <c r="N30" s="9">
        <v>-300</v>
      </c>
      <c r="O30" s="9">
        <v>6952.5</v>
      </c>
      <c r="P30" s="9">
        <v>0.12</v>
      </c>
      <c r="Q30" s="9" t="s">
        <v>164</v>
      </c>
      <c r="R30" s="9" t="s">
        <v>186</v>
      </c>
      <c r="S30" s="9" t="s">
        <v>316</v>
      </c>
      <c r="T30" s="9" t="s">
        <v>232</v>
      </c>
      <c r="U30" s="9" t="s">
        <v>187</v>
      </c>
      <c r="V30" s="9" t="s">
        <v>317</v>
      </c>
      <c r="W30" s="9" t="s">
        <v>234</v>
      </c>
      <c r="X30" s="9" t="s">
        <v>235</v>
      </c>
      <c r="Y30" s="9" t="s">
        <v>236</v>
      </c>
      <c r="Z30" s="9" t="s">
        <v>237</v>
      </c>
      <c r="AA30" s="9" t="s">
        <v>238</v>
      </c>
      <c r="AB30" s="9" t="s">
        <v>318</v>
      </c>
      <c r="AC30" s="9" t="s">
        <v>319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-40978.125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-80607.37499999968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-122322.37499999974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-161951.62500000023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-1348.8750000000437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40366.125000000015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79995.375000000233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-161951.62500000023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-161951.62500000023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79995.375000000233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79995.375000000233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-99089.587500000009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71733.337500000009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5"/>
  <sheetViews>
    <sheetView workbookViewId="0">
      <selection activeCell="J30" sqref="J30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201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167</v>
      </c>
      <c r="L8" s="16" t="s">
        <v>4</v>
      </c>
      <c r="M8" s="16" t="s">
        <v>81</v>
      </c>
      <c r="N8" s="18" t="s">
        <v>91</v>
      </c>
    </row>
    <row r="9" spans="2:14">
      <c r="B9" s="18" t="s">
        <v>283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284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174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197</v>
      </c>
      <c r="K32" s="18" t="s">
        <v>176</v>
      </c>
      <c r="L32" s="18" t="s">
        <v>178</v>
      </c>
      <c r="M32" s="18" t="s">
        <v>172</v>
      </c>
      <c r="N32" s="18"/>
    </row>
    <row r="33" spans="2:14">
      <c r="B33" s="18" t="s">
        <v>179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199</v>
      </c>
      <c r="K33" s="18" t="s">
        <v>176</v>
      </c>
      <c r="L33" s="18" t="s">
        <v>181</v>
      </c>
      <c r="M33" s="18" t="s">
        <v>172</v>
      </c>
      <c r="N33" s="18"/>
    </row>
    <row r="34" spans="2:14">
      <c r="B34" s="18" t="s">
        <v>200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203</v>
      </c>
      <c r="K34" s="18" t="s">
        <v>204</v>
      </c>
      <c r="L34" s="18" t="s">
        <v>171</v>
      </c>
      <c r="M34" s="18" t="s">
        <v>172</v>
      </c>
      <c r="N34" s="18"/>
    </row>
    <row r="35" spans="2:14">
      <c r="B35" s="18" t="s">
        <v>292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293</v>
      </c>
      <c r="K35" s="18" t="s">
        <v>294</v>
      </c>
      <c r="L35" s="18" t="s">
        <v>295</v>
      </c>
      <c r="M35" s="18" t="s">
        <v>172</v>
      </c>
      <c r="N35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19"/>
  <sheetViews>
    <sheetView tabSelected="1" workbookViewId="0">
      <selection activeCell="E31" sqref="E31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27" t="s">
        <v>17</v>
      </c>
      <c r="C5" s="27"/>
      <c r="D5" s="27"/>
      <c r="E5" s="27"/>
      <c r="F5" s="27"/>
      <c r="G5" s="27"/>
      <c r="H5" s="2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185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43173</v>
      </c>
      <c r="J7" s="14">
        <f ca="1">[1]!s_dq_close(E7,I7,1)</f>
        <v>52330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18" ca="1" si="0">TODAY()</f>
        <v>43173</v>
      </c>
      <c r="J8" s="14">
        <f ca="1">[1]!s_dq_close(E8,I8,1)</f>
        <v>13960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43173</v>
      </c>
      <c r="J9" s="14">
        <f ca="1">[1]!s_dq_close(E9,I9,1)</f>
        <v>3693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43173</v>
      </c>
      <c r="J10" s="14">
        <f ca="1">[1]!s_dq_close(E10,I10,1)</f>
        <v>9350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43173</v>
      </c>
      <c r="J11" s="14">
        <f ca="1">[1]!s_dq_close(E11,I11,1)</f>
        <v>3621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43173</v>
      </c>
      <c r="J12" s="14">
        <f ca="1">[1]!s_dq_close(E12,I12,1)</f>
        <v>3735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43173</v>
      </c>
      <c r="J13" s="14">
        <f ca="1">[1]!s_dq_close(E13,I13,1)</f>
        <v>490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43173</v>
      </c>
      <c r="J14" s="14">
        <f ca="1">[1]!s_dq_close(E14,I14,1)</f>
        <v>12775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43173</v>
      </c>
      <c r="J15" s="14">
        <f ca="1">[1]!s_dq_close(E15,I15,1)</f>
        <v>1294.5</v>
      </c>
    </row>
    <row r="16" spans="2:10">
      <c r="B16" s="1" t="s">
        <v>170</v>
      </c>
      <c r="C16" s="1" t="s">
        <v>214</v>
      </c>
      <c r="D16" s="1" t="s">
        <v>169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43173</v>
      </c>
      <c r="J16" s="14">
        <f ca="1">[1]!s_dq_close(E16,I16,1)</f>
        <v>16.52</v>
      </c>
    </row>
    <row r="17" spans="2:10">
      <c r="B17" s="1" t="s">
        <v>171</v>
      </c>
      <c r="C17" s="1" t="s">
        <v>214</v>
      </c>
      <c r="D17" s="1" t="s">
        <v>169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43173</v>
      </c>
      <c r="J17" s="14">
        <f ca="1">[1]!s_dq_close(E17,I17,1)</f>
        <v>16.594999999999999</v>
      </c>
    </row>
    <row r="18" spans="2:10">
      <c r="B18" s="1" t="s">
        <v>183</v>
      </c>
      <c r="C18" s="1" t="s">
        <v>213</v>
      </c>
      <c r="D18" s="1" t="s">
        <v>184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43173</v>
      </c>
      <c r="J18" s="14">
        <f ca="1">[1]!s_dq_close(E18,I18,1)</f>
        <v>2103</v>
      </c>
    </row>
    <row r="19" spans="2:10">
      <c r="B19" s="1" t="s">
        <v>297</v>
      </c>
      <c r="C19" s="1" t="s">
        <v>298</v>
      </c>
      <c r="D19" s="1" t="s">
        <v>299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43173</v>
      </c>
      <c r="J19" s="14">
        <f ca="1">[1]!s_dq_close(E19,I19,1)</f>
        <v>6952.5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28" t="s">
        <v>12</v>
      </c>
      <c r="C5" s="28"/>
      <c r="D5" s="28"/>
      <c r="E5" s="28"/>
      <c r="F5" s="28"/>
    </row>
    <row r="6" spans="2:42">
      <c r="B6" s="9" t="s">
        <v>173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205</v>
      </c>
      <c r="AK6" s="9" t="s">
        <v>207</v>
      </c>
      <c r="AL6" s="9" t="s">
        <v>208</v>
      </c>
      <c r="AM6" s="9" t="s">
        <v>209</v>
      </c>
      <c r="AN6" s="9" t="s">
        <v>210</v>
      </c>
      <c r="AO6" s="9" t="s">
        <v>212</v>
      </c>
      <c r="AP6" s="9" t="s">
        <v>290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282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172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285</v>
      </c>
      <c r="D17" s="23" t="s">
        <v>286</v>
      </c>
      <c r="E17" s="24">
        <v>1</v>
      </c>
    </row>
    <row r="18" spans="2:5">
      <c r="B18" t="s">
        <v>30</v>
      </c>
      <c r="C18" s="25" t="s">
        <v>287</v>
      </c>
      <c r="D18" s="25">
        <v>1</v>
      </c>
      <c r="E18" s="26">
        <v>0.35</v>
      </c>
    </row>
    <row r="19" spans="2:5">
      <c r="B19" t="s">
        <v>31</v>
      </c>
      <c r="C19" s="23" t="s">
        <v>288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2018-03-14T12:10:21Z</dcterms:modified>
</cp:coreProperties>
</file>