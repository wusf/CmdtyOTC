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I21" i="6" l="1"/>
  <c r="E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E18" i="6"/>
  <c r="AL7" i="5"/>
  <c r="AO7" i="5"/>
  <c r="AK7" i="5"/>
  <c r="AG7" i="5"/>
  <c r="AQ7" i="5"/>
  <c r="AR7" i="5"/>
  <c r="AN7" i="5"/>
  <c r="AM7" i="5"/>
  <c r="AJ7" i="5"/>
  <c r="AF7" i="5"/>
  <c r="AI7" i="5"/>
  <c r="AP7" i="5"/>
  <c r="AH7" i="5"/>
  <c r="AT7" i="5" l="1"/>
  <c r="AI4" i="5"/>
  <c r="AM4" i="5"/>
  <c r="AL4" i="5"/>
  <c r="AO4" i="5"/>
  <c r="AP4" i="5"/>
  <c r="AH4" i="5"/>
  <c r="AJ4" i="5"/>
  <c r="AG4" i="5"/>
  <c r="AN4" i="5"/>
  <c r="AQ4" i="5"/>
  <c r="AF4" i="5"/>
  <c r="AK4" i="5"/>
  <c r="AR4" i="5"/>
  <c r="E17" i="6"/>
  <c r="E16" i="6"/>
  <c r="E12" i="6" l="1"/>
  <c r="J12" i="6"/>
  <c r="J17" i="6"/>
  <c r="J16" i="6"/>
  <c r="J18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7" i="6"/>
  <c r="J9" i="6"/>
  <c r="J8" i="6"/>
</calcChain>
</file>

<file path=xl/sharedStrings.xml><?xml version="1.0" encoding="utf-8"?>
<sst xmlns="http://schemas.openxmlformats.org/spreadsheetml/2006/main" count="223" uniqueCount="182">
  <si>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</si>
  <si>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</si>
  <si>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</si>
  <si>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</si>
  <si>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</si>
  <si>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p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</si>
  <si>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</si>
  <si>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</si>
  <si>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</si>
  <si>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</si>
  <si>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</si>
  <si>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</si>
  <si>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</si>
  <si>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</si>
  <si>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</si>
  <si>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</si>
  <si>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</si>
  <si>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</si>
  <si>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</si>
  <si>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</si>
  <si>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</si>
  <si>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</si>
  <si>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</si>
  <si>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</si>
  <si>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</si>
  <si>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</si>
  <si>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</si>
  <si>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</si>
  <si>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</si>
  <si>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</si>
  <si>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</si>
  <si>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</si>
  <si>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</si>
  <si>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</si>
  <si>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</si>
  <si>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</si>
  <si>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c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</si>
  <si>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</si>
  <si>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</si>
  <si>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</si>
  <si>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</si>
  <si>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</si>
  <si>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</si>
  <si>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</si>
  <si>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</si>
  <si>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</si>
  <si>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</si>
  <si>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</si>
  <si>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</si>
  <si>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</si>
  <si>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</si>
  <si>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</si>
  <si>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</si>
  <si>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</si>
  <si>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</si>
  <si>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</si>
  <si>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  <phoneticPr fontId="1" type="noConversion"/>
  </si>
  <si>
    <t>20180209-CICC-TWGJ-RB1810-VAN-P-65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</si>
  <si>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</si>
  <si>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</si>
  <si>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</si>
  <si>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</si>
  <si>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</si>
  <si>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</si>
  <si>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</si>
  <si>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</si>
  <si>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</si>
  <si>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</si>
  <si>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</si>
  <si>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</si>
  <si>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</si>
  <si>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</si>
  <si>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</si>
  <si>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</si>
  <si>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</si>
  <si>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</si>
  <si>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</si>
  <si>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</si>
  <si>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</si>
  <si>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</si>
  <si>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</si>
  <si>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</si>
  <si>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</si>
  <si>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</si>
  <si>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</si>
  <si>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</si>
  <si>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</si>
  <si>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</si>
  <si>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</si>
  <si>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</si>
  <si>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</si>
  <si>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</si>
  <si>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</si>
  <si>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</si>
  <si>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</si>
  <si>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</si>
  <si>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</si>
  <si>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</si>
  <si>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</si>
  <si>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</si>
  <si>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</si>
  <si>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</si>
  <si>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</si>
  <si>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</si>
  <si>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</si>
  <si>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</si>
  <si>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</si>
  <si>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</si>
  <si>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</si>
  <si>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</si>
  <si>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</si>
  <si>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</si>
  <si>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</si>
  <si>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</si>
  <si>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</si>
  <si>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</si>
  <si>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</si>
  <si>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</si>
  <si>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</si>
  <si>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</si>
  <si>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</si>
  <si>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</si>
  <si>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</si>
  <si>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</si>
  <si>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</si>
  <si>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</si>
  <si>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</si>
  <si>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</si>
  <si>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</si>
  <si>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</si>
  <si>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</si>
  <si>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</si>
  <si>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</si>
  <si>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</si>
  <si>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</si>
  <si>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</si>
  <si>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</si>
  <si>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</si>
  <si>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</si>
  <si>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</si>
  <si>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</si>
  <si>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</si>
  <si>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</si>
  <si>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ID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</si>
  <si>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</si>
  <si>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</si>
  <si>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</si>
  <si>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</si>
  <si>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</si>
  <si>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</si>
  <si>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</si>
  <si>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</si>
  <si>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ID</t>
    <phoneticPr fontId="1" type="noConversion"/>
  </si>
  <si>
    <t>江铜国际贸易有限公司</t>
    <phoneticPr fontId="9" type="noConversion"/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</si>
  <si>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</si>
  <si>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</si>
  <si>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</si>
  <si>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</si>
  <si>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</si>
  <si>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</si>
  <si>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</si>
  <si>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</si>
  <si>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</si>
  <si>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</si>
  <si>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p</t>
    <phoneticPr fontId="1" type="noConversion"/>
  </si>
  <si>
    <t>i1809</t>
    <phoneticPr fontId="1" type="noConversion"/>
  </si>
  <si>
    <t>al1809</t>
  </si>
  <si>
    <t>al1809</t>
    <phoneticPr fontId="1" type="noConversion"/>
  </si>
  <si>
    <t>1.016|1|1</t>
  </si>
  <si>
    <t>1.031|1|1</t>
  </si>
  <si>
    <t>1.047|1|1</t>
  </si>
  <si>
    <t>.984|1|1</t>
  </si>
  <si>
    <t>.969|1|1</t>
  </si>
  <si>
    <t>.953|1|1</t>
  </si>
  <si>
    <t>1.047|1.1|1</t>
  </si>
  <si>
    <t>1.047|.9|1</t>
  </si>
  <si>
    <t>.953|1.1|1</t>
  </si>
  <si>
    <t>.953|.9|1</t>
  </si>
  <si>
    <t>1.094|1|.35</t>
  </si>
  <si>
    <t>.906|1|.35</t>
  </si>
  <si>
    <t>senario14</t>
    <phoneticPr fontId="1" type="noConversion"/>
  </si>
  <si>
    <t>senario15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</si>
</sst>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9" fontId="3" fillId="0" borderId="0" xfId="0" applyNumberFormat="1" applyFont="1"/>
    <xf numFmtId="1" fontId="7" fillId="0" borderId="0" xfId="0" applyNumberFormat="1" applyFont="1"/>
    <xf numFmtId="180" fontId="3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T7" totalsRowShown="0" headerRowDxfId="130" dataDxfId="129">
  <autoFilter ref="B6:AT7"/>
  <tableColumns count="45">
    <tableColumn id="1" name="ID" dataDxfId="128"/>
    <tableColumn id="2" name="cpty" dataDxfId="127"/>
    <tableColumn id="43" name="prd_type" dataDxfId="126"/>
    <tableColumn id="3" name="volume" dataDxfId="125"/>
    <tableColumn id="4" name="k" dataDxfId="124"/>
    <tableColumn id="41" name="trade_date" dataDxfId="123"/>
    <tableColumn id="5" name="exp_date" dataDxfId="122"/>
    <tableColumn id="42" name="prem_date" dataDxfId="121"/>
    <tableColumn id="6" name="prem" dataDxfId="120"/>
    <tableColumn id="7" name="type" dataDxfId="119"/>
    <tableColumn id="8" name="underlying" dataDxfId="118"/>
    <tableColumn id="9" name="prod" dataDxfId="117"/>
    <tableColumn id="38" name="qty" dataDxfId="116"/>
    <tableColumn id="10" name="price_st" dataDxfId="115"/>
    <tableColumn id="11" name="vol" dataDxfId="114"/>
    <tableColumn id="12" name="param_senario1" dataDxfId="113"/>
    <tableColumn id="13" name="param_senario2" dataDxfId="112"/>
    <tableColumn id="14" name="param_senario3" dataDxfId="111"/>
    <tableColumn id="15" name="param_senario4" dataDxfId="110"/>
    <tableColumn id="16" name="param_senario5" dataDxfId="109"/>
    <tableColumn id="17" name="param_senario6" dataDxfId="108"/>
    <tableColumn id="18" name="param_senario7" dataDxfId="107"/>
    <tableColumn id="19" name="param_senario8" dataDxfId="106"/>
    <tableColumn id="20" name="param_senario9" dataDxfId="105"/>
    <tableColumn id="21" name="param_senario10" dataDxfId="104"/>
    <tableColumn id="22" name="param_senario11" dataDxfId="103"/>
    <tableColumn id="23" name="param_senario12" dataDxfId="102"/>
    <tableColumn id="24" name="param_senario13" dataDxfId="101"/>
    <tableColumn id="39" name="vol_ref" dataDxfId="100"/>
    <tableColumn id="40" name="vol_adj" dataDxfId="99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8" totalsRowDxfId="97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6" totalsRowDxfId="95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  <tableColumn id="44" name="senario14" dataDxfId="72" totalsRowDxfId="71"/>
    <tableColumn id="45" name="senario15" dataDxfId="1" totalsRowDxfId="0">
      <calculatedColumnFormula>MAX(tbl_senario[[senario1]:[senario13]])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9" totalsRowShown="0" headerRowDxfId="70" dataDxfId="69">
  <autoFilter ref="B8:N9"/>
  <tableColumns count="13">
    <tableColumn id="1" name="ID" dataDxfId="68"/>
    <tableColumn id="2" name="volume" dataDxfId="67"/>
    <tableColumn id="3" name="trade_date" dataDxfId="66"/>
    <tableColumn id="4" name="exp_date" dataDxfId="65"/>
    <tableColumn id="5" name="settle_date" dataDxfId="64"/>
    <tableColumn id="6" name="prem_date" dataDxfId="63"/>
    <tableColumn id="7" name="k" dataDxfId="62"/>
    <tableColumn id="10" name="prem" dataDxfId="61"/>
    <tableColumn id="11" name="type" dataDxfId="60"/>
    <tableColumn id="12" name="prd_type" dataDxfId="59"/>
    <tableColumn id="13" name="underlying" dataDxfId="58"/>
    <tableColumn id="14" name="cpty" dataDxfId="57"/>
    <tableColumn id="8" name="vol_ref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5" dataDxfId="54">
  <autoFilter ref="B6:J21"/>
  <tableColumns count="9">
    <tableColumn id="1" name="ticker" dataDxfId="53"/>
    <tableColumn id="2" name="prod" dataDxfId="52"/>
    <tableColumn id="6" name="exchange" dataDxfId="51"/>
    <tableColumn id="7" name="w_ticker" dataDxfId="50">
      <calculatedColumnFormula>tbl_ticker[[#This Row],[ticker]]&amp;"."&amp;tbl_ticker[[#This Row],[exchange]]</calculatedColumnFormula>
    </tableColumn>
    <tableColumn id="9" name="multiplier" dataDxfId="49"/>
    <tableColumn id="3" name="vol" dataDxfId="48"/>
    <tableColumn id="4" name="carry" dataDxfId="47"/>
    <tableColumn id="8" name="date" dataDxfId="46">
      <calculatedColumnFormula>TODAY()</calculatedColumnFormula>
    </tableColumn>
    <tableColumn id="5" name="price_st" dataDxfId="45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4" dataDxfId="43">
  <autoFilter ref="B6:AP15"/>
  <tableColumns count="41">
    <tableColumn id="1" name="client" dataDxfId="42"/>
    <tableColumn id="7" name="x" dataDxfId="41"/>
    <tableColumn id="6" name="k" dataDxfId="40"/>
    <tableColumn id="2" name="zn" dataDxfId="39"/>
    <tableColumn id="3" name="al" dataDxfId="38"/>
    <tableColumn id="4" name="sn" dataDxfId="37"/>
    <tableColumn id="8" name="ni" dataDxfId="36"/>
    <tableColumn id="5" name="cu" dataDxfId="35"/>
    <tableColumn id="9" name="jm" dataDxfId="34"/>
    <tableColumn id="10" name="j" dataDxfId="33"/>
    <tableColumn id="11" name="hc" dataDxfId="32"/>
    <tableColumn id="12" name="i" dataDxfId="31"/>
    <tableColumn id="13" name="rb" dataDxfId="30"/>
    <tableColumn id="14" name="au" dataDxfId="29"/>
    <tableColumn id="15" name="ag" dataDxfId="28"/>
    <tableColumn id="16" name="cs" dataDxfId="27"/>
    <tableColumn id="17" name="jd" dataDxfId="26"/>
    <tableColumn id="18" name="p" dataDxfId="25"/>
    <tableColumn id="19" name="oi" dataDxfId="24"/>
    <tableColumn id="20" name="rm" dataDxfId="23"/>
    <tableColumn id="21" name="cf" dataDxfId="22"/>
    <tableColumn id="22" name="a" dataDxfId="21"/>
    <tableColumn id="23" name="y" dataDxfId="20"/>
    <tableColumn id="24" name="m" dataDxfId="19"/>
    <tableColumn id="25" name="c" dataDxfId="18"/>
    <tableColumn id="26" name="sr" dataDxfId="17"/>
    <tableColumn id="27" name="zc" dataDxfId="16"/>
    <tableColumn id="28" name="bu" dataDxfId="15"/>
    <tableColumn id="29" name="ma" dataDxfId="14"/>
    <tableColumn id="30" name="pp" dataDxfId="13"/>
    <tableColumn id="31" name="l" dataDxfId="12"/>
    <tableColumn id="32" name="fg" dataDxfId="11"/>
    <tableColumn id="33" name="ru" dataDxfId="10"/>
    <tableColumn id="34" name="ta" dataDxfId="9"/>
    <tableColumn id="35" name="lmca" dataDxfId="8"/>
    <tableColumn id="36" name="lmah" dataDxfId="7"/>
    <tableColumn id="37" name="lmpb" dataDxfId="6"/>
    <tableColumn id="38" name="lmni" dataDxfId="5"/>
    <tableColumn id="39" name="gc" dataDxfId="4"/>
    <tableColumn id="40" name="si" dataDxfId="3"/>
    <tableColumn id="41" name="ca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D27" sqref="D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4"/>
  <sheetViews>
    <sheetView tabSelected="1" topLeftCell="L1" zoomScaleNormal="100" workbookViewId="0">
      <selection activeCell="AO18" sqref="AO18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32" width="14.75" style="6" customWidth="1"/>
    <col min="33" max="40" width="8.5" style="6" bestFit="1" customWidth="1"/>
    <col min="41" max="44" width="9.375" style="6" bestFit="1" customWidth="1"/>
    <col min="45" max="45" width="9" style="6"/>
    <col min="46" max="46" width="10.5" style="6" bestFit="1" customWidth="1"/>
    <col min="47" max="16384" width="9" style="6"/>
  </cols>
  <sheetData>
    <row r="3" spans="1:46">
      <c r="B3" s="6" t="s">
        <v>31</v>
      </c>
    </row>
    <row r="4" spans="1:46">
      <c r="B4" s="7">
        <f ca="1">TODAY()</f>
        <v>43235</v>
      </c>
      <c r="AE4" s="8"/>
      <c r="AF4" s="28" t="e">
        <f>#REF!+#REF!</f>
        <v>#REF!</v>
      </c>
      <c r="AG4" s="28" t="e">
        <f>#REF!+#REF!</f>
        <v>#REF!</v>
      </c>
      <c r="AH4" s="28" t="e">
        <f>#REF!+#REF!</f>
        <v>#REF!</v>
      </c>
      <c r="AI4" s="28" t="e">
        <f>#REF!+#REF!</f>
        <v>#REF!</v>
      </c>
      <c r="AJ4" s="28" t="e">
        <f>#REF!+#REF!</f>
        <v>#REF!</v>
      </c>
      <c r="AK4" s="28" t="e">
        <f>#REF!+#REF!</f>
        <v>#REF!</v>
      </c>
      <c r="AL4" s="28" t="e">
        <f>#REF!+#REF!</f>
        <v>#REF!</v>
      </c>
      <c r="AM4" s="28" t="e">
        <f>#REF!+#REF!</f>
        <v>#REF!</v>
      </c>
      <c r="AN4" s="28" t="e">
        <f>#REF!+#REF!</f>
        <v>#REF!</v>
      </c>
      <c r="AO4" s="28" t="e">
        <f>#REF!+#REF!</f>
        <v>#REF!</v>
      </c>
      <c r="AP4" s="28" t="e">
        <f>#REF!+#REF!</f>
        <v>#REF!</v>
      </c>
      <c r="AQ4" s="28" t="e">
        <f>#REF!+#REF!</f>
        <v>#REF!</v>
      </c>
      <c r="AR4" s="28" t="e">
        <f>#REF!+#REF!</f>
        <v>#REF!</v>
      </c>
    </row>
    <row r="6" spans="1:46">
      <c r="A6" s="6" t="s">
        <v>162</v>
      </c>
      <c r="B6" s="6" t="s">
        <v>152</v>
      </c>
      <c r="C6" s="6" t="s">
        <v>68</v>
      </c>
      <c r="D6" s="6" t="s">
        <v>133</v>
      </c>
      <c r="E6" s="6" t="s">
        <v>60</v>
      </c>
      <c r="F6" s="6" t="s">
        <v>9</v>
      </c>
      <c r="G6" s="6" t="s">
        <v>80</v>
      </c>
      <c r="H6" s="6" t="s">
        <v>62</v>
      </c>
      <c r="I6" s="6" t="s">
        <v>76</v>
      </c>
      <c r="J6" s="6" t="s">
        <v>66</v>
      </c>
      <c r="K6" s="6" t="s">
        <v>67</v>
      </c>
      <c r="L6" s="6" t="s">
        <v>4</v>
      </c>
      <c r="M6" s="6" t="s">
        <v>69</v>
      </c>
      <c r="N6" s="6" t="s">
        <v>59</v>
      </c>
      <c r="O6" s="6" t="s">
        <v>70</v>
      </c>
      <c r="P6" s="6" t="s">
        <v>0</v>
      </c>
      <c r="Q6" s="6" t="s">
        <v>41</v>
      </c>
      <c r="R6" s="6" t="s">
        <v>42</v>
      </c>
      <c r="S6" s="6" t="s">
        <v>43</v>
      </c>
      <c r="T6" s="6" t="s">
        <v>44</v>
      </c>
      <c r="U6" s="6" t="s">
        <v>45</v>
      </c>
      <c r="V6" s="6" t="s">
        <v>46</v>
      </c>
      <c r="W6" s="6" t="s">
        <v>47</v>
      </c>
      <c r="X6" s="6" t="s">
        <v>48</v>
      </c>
      <c r="Y6" s="6" t="s">
        <v>49</v>
      </c>
      <c r="Z6" s="6" t="s">
        <v>50</v>
      </c>
      <c r="AA6" s="6" t="s">
        <v>51</v>
      </c>
      <c r="AB6" s="6" t="s">
        <v>52</v>
      </c>
      <c r="AC6" s="6" t="s">
        <v>53</v>
      </c>
      <c r="AD6" s="6" t="s">
        <v>78</v>
      </c>
      <c r="AE6" s="6" t="s">
        <v>79</v>
      </c>
      <c r="AF6" s="6" t="s">
        <v>32</v>
      </c>
      <c r="AG6" s="6" t="s">
        <v>15</v>
      </c>
      <c r="AH6" s="6" t="s">
        <v>17</v>
      </c>
      <c r="AI6" s="6" t="s">
        <v>18</v>
      </c>
      <c r="AJ6" s="6" t="s">
        <v>19</v>
      </c>
      <c r="AK6" s="6" t="s">
        <v>20</v>
      </c>
      <c r="AL6" s="6" t="s">
        <v>21</v>
      </c>
      <c r="AM6" s="6" t="s">
        <v>22</v>
      </c>
      <c r="AN6" s="6" t="s">
        <v>23</v>
      </c>
      <c r="AO6" s="6" t="s">
        <v>24</v>
      </c>
      <c r="AP6" s="6" t="s">
        <v>25</v>
      </c>
      <c r="AQ6" s="6" t="s">
        <v>26</v>
      </c>
      <c r="AR6" s="6" t="s">
        <v>27</v>
      </c>
      <c r="AS6" s="9" t="s">
        <v>180</v>
      </c>
      <c r="AT6" s="9" t="s">
        <v>181</v>
      </c>
    </row>
    <row r="7" spans="1:46" ht="15" customHeight="1">
      <c r="B7" s="9" t="s">
        <v>57</v>
      </c>
      <c r="C7" s="9" t="s">
        <v>82</v>
      </c>
      <c r="D7" s="9" t="s">
        <v>134</v>
      </c>
      <c r="E7" s="9">
        <v>400</v>
      </c>
      <c r="F7" s="9">
        <v>14100</v>
      </c>
      <c r="G7" s="7">
        <v>43235</v>
      </c>
      <c r="H7" s="7">
        <v>43322</v>
      </c>
      <c r="I7" s="7">
        <v>43322</v>
      </c>
      <c r="J7" s="9">
        <v>-280000</v>
      </c>
      <c r="K7" s="9" t="s">
        <v>5</v>
      </c>
      <c r="L7" s="9" t="s">
        <v>166</v>
      </c>
      <c r="M7" s="9" t="s">
        <v>6</v>
      </c>
      <c r="N7" s="9">
        <v>2000</v>
      </c>
      <c r="O7" s="9">
        <v>14760</v>
      </c>
      <c r="P7" s="9">
        <v>0.14000000000000001</v>
      </c>
      <c r="Q7" s="9" t="s">
        <v>132</v>
      </c>
      <c r="R7" s="9" t="s">
        <v>168</v>
      </c>
      <c r="S7" s="9" t="s">
        <v>169</v>
      </c>
      <c r="T7" s="9" t="s">
        <v>170</v>
      </c>
      <c r="U7" s="9" t="s">
        <v>171</v>
      </c>
      <c r="V7" s="9" t="s">
        <v>172</v>
      </c>
      <c r="W7" s="9" t="s">
        <v>173</v>
      </c>
      <c r="X7" s="9" t="s">
        <v>174</v>
      </c>
      <c r="Y7" s="9" t="s">
        <v>175</v>
      </c>
      <c r="Z7" s="9" t="s">
        <v>176</v>
      </c>
      <c r="AA7" s="9" t="s">
        <v>177</v>
      </c>
      <c r="AB7" s="9" t="s">
        <v>178</v>
      </c>
      <c r="AC7" s="9" t="s">
        <v>179</v>
      </c>
      <c r="AD7" s="9">
        <v>0.14000000000000001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0.14000000000000001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15210.083070505119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-81937.6155883139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-147555.67520029566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-196332.06348039937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146579.06902136793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305857.1933184556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518261.55003588658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-160950.96513227839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-225862.32782366959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594607.86378327385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441915.78284790937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-273630.64377818001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308883.30881116062</v>
      </c>
      <c r="AS7" s="8"/>
      <c r="AT7" s="8">
        <f ca="1">MAX(tbl_senario[[senario1]:[senario13]])</f>
        <v>594607.86378327385</v>
      </c>
    </row>
    <row r="34" spans="46:46">
      <c r="AT34" s="2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9"/>
  <sheetViews>
    <sheetView topLeftCell="C1" workbookViewId="0">
      <selection activeCell="M18" sqref="M18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143</v>
      </c>
      <c r="C8" s="16" t="s">
        <v>60</v>
      </c>
      <c r="D8" s="16" t="s">
        <v>61</v>
      </c>
      <c r="E8" s="17" t="s">
        <v>62</v>
      </c>
      <c r="F8" s="16" t="s">
        <v>63</v>
      </c>
      <c r="G8" s="16" t="s">
        <v>64</v>
      </c>
      <c r="H8" s="16" t="s">
        <v>65</v>
      </c>
      <c r="I8" s="16" t="s">
        <v>66</v>
      </c>
      <c r="J8" s="16" t="s">
        <v>67</v>
      </c>
      <c r="K8" s="16" t="s">
        <v>133</v>
      </c>
      <c r="L8" s="16" t="s">
        <v>4</v>
      </c>
      <c r="M8" s="16" t="s">
        <v>68</v>
      </c>
      <c r="N8" s="18" t="s">
        <v>78</v>
      </c>
    </row>
    <row r="9" spans="2:14">
      <c r="B9" s="18" t="s">
        <v>57</v>
      </c>
      <c r="C9" s="18">
        <v>400</v>
      </c>
      <c r="D9" s="19">
        <v>43235</v>
      </c>
      <c r="E9" s="19">
        <v>43322</v>
      </c>
      <c r="F9" s="19">
        <v>43322</v>
      </c>
      <c r="G9" s="19">
        <v>43322</v>
      </c>
      <c r="H9" s="20">
        <v>14100</v>
      </c>
      <c r="I9" s="20">
        <v>-280000</v>
      </c>
      <c r="J9" s="18" t="s">
        <v>164</v>
      </c>
      <c r="K9" s="18" t="s">
        <v>81</v>
      </c>
      <c r="L9" s="18" t="s">
        <v>167</v>
      </c>
      <c r="M9" s="18" t="s">
        <v>82</v>
      </c>
      <c r="N9" s="18">
        <v>0.14000000000000001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D8" sqref="D8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0" t="s">
        <v>13</v>
      </c>
      <c r="C5" s="30"/>
      <c r="D5" s="30"/>
      <c r="E5" s="30"/>
      <c r="F5" s="30"/>
      <c r="G5" s="30"/>
      <c r="H5" s="30"/>
      <c r="I5" s="12"/>
    </row>
    <row r="6" spans="2:10">
      <c r="B6" s="1" t="s">
        <v>12</v>
      </c>
      <c r="C6" s="1" t="s">
        <v>71</v>
      </c>
      <c r="D6" s="1" t="s">
        <v>33</v>
      </c>
      <c r="E6" s="1" t="s">
        <v>73</v>
      </c>
      <c r="F6" s="1" t="s">
        <v>58</v>
      </c>
      <c r="G6" s="1" t="s">
        <v>0</v>
      </c>
      <c r="H6" s="1" t="s">
        <v>11</v>
      </c>
      <c r="I6" s="1" t="s">
        <v>142</v>
      </c>
      <c r="J6" s="1" t="s">
        <v>72</v>
      </c>
    </row>
    <row r="7" spans="2:10">
      <c r="B7" s="1" t="s">
        <v>35</v>
      </c>
      <c r="C7" s="1" t="s">
        <v>2</v>
      </c>
      <c r="D7" s="1" t="s">
        <v>34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43235</v>
      </c>
      <c r="J7" s="14">
        <f ca="1">[1]!s_dq_close(E7,I7,1)</f>
        <v>51220</v>
      </c>
    </row>
    <row r="8" spans="2:10">
      <c r="B8" s="1" t="s">
        <v>167</v>
      </c>
      <c r="C8" s="1" t="s">
        <v>7</v>
      </c>
      <c r="D8" s="1" t="s">
        <v>34</v>
      </c>
      <c r="E8" s="1" t="str">
        <f>tbl_ticker[[#This Row],[ticker]]&amp;"."&amp;tbl_ticker[[#This Row],[exchange]]</f>
        <v>al1809.shf</v>
      </c>
      <c r="F8" s="1">
        <v>5</v>
      </c>
      <c r="G8" s="1">
        <v>0.14000000000000001</v>
      </c>
      <c r="H8" s="1">
        <v>0</v>
      </c>
      <c r="I8" s="13">
        <f t="shared" ref="I8:I21" ca="1" si="0">TODAY()</f>
        <v>43235</v>
      </c>
      <c r="J8" s="14">
        <f ca="1">[1]!s_dq_close(E8,I8,1)</f>
        <v>14760</v>
      </c>
    </row>
    <row r="9" spans="2:10">
      <c r="B9" s="1" t="s">
        <v>28</v>
      </c>
      <c r="C9" s="1" t="s">
        <v>3</v>
      </c>
      <c r="D9" s="1" t="s">
        <v>34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43235</v>
      </c>
      <c r="J9" s="14">
        <f ca="1">[1]!s_dq_close(E9,I9,1)</f>
        <v>3674</v>
      </c>
    </row>
    <row r="10" spans="2:10">
      <c r="B10" s="1" t="s">
        <v>40</v>
      </c>
      <c r="C10" s="1" t="s">
        <v>38</v>
      </c>
      <c r="D10" s="1" t="s">
        <v>39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43235</v>
      </c>
      <c r="J10" s="14">
        <f ca="1">[1]!s_dq_close(E10,I10,1)</f>
        <v>9600</v>
      </c>
    </row>
    <row r="11" spans="2:10">
      <c r="B11" s="1" t="s">
        <v>56</v>
      </c>
      <c r="C11" s="1" t="s">
        <v>55</v>
      </c>
      <c r="D11" s="1" t="s">
        <v>34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43235</v>
      </c>
      <c r="J11" s="14">
        <f ca="1">[1]!s_dq_close(E11,I11,1)</f>
        <v>3667</v>
      </c>
    </row>
    <row r="12" spans="2:10">
      <c r="B12" s="1" t="s">
        <v>98</v>
      </c>
      <c r="C12" s="1" t="s">
        <v>99</v>
      </c>
      <c r="D12" s="1" t="s">
        <v>96</v>
      </c>
      <c r="E12" s="2" t="str">
        <f>tbl_ticker[[#This Row],[ticker]]&amp;"."&amp;tbl_ticker[[#This Row],[exchange]]</f>
        <v>rb1805.shf</v>
      </c>
      <c r="F12" s="2">
        <v>10</v>
      </c>
      <c r="G12" s="1">
        <v>0.22</v>
      </c>
      <c r="H12" s="1">
        <v>0</v>
      </c>
      <c r="I12" s="13">
        <f t="shared" ca="1" si="0"/>
        <v>43235</v>
      </c>
      <c r="J12" s="14">
        <f ca="1">[1]!s_dq_close(E12,I12,1)</f>
        <v>4010</v>
      </c>
    </row>
    <row r="13" spans="2:10">
      <c r="B13" s="1" t="s">
        <v>95</v>
      </c>
      <c r="C13" s="1" t="s">
        <v>74</v>
      </c>
      <c r="D13" s="1" t="s">
        <v>75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43235</v>
      </c>
      <c r="J13" s="14">
        <f ca="1">[1]!s_dq_close(E13,I13,1)</f>
        <v>494.5</v>
      </c>
    </row>
    <row r="14" spans="2:10">
      <c r="B14" s="1" t="s">
        <v>88</v>
      </c>
      <c r="C14" s="1" t="s">
        <v>91</v>
      </c>
      <c r="D14" s="1" t="s">
        <v>96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43235</v>
      </c>
      <c r="J14" s="14">
        <f ca="1">[1]!s_dq_close(E14,I14,1)</f>
        <v>11365</v>
      </c>
    </row>
    <row r="15" spans="2:10">
      <c r="B15" s="1" t="s">
        <v>89</v>
      </c>
      <c r="C15" s="1" t="s">
        <v>93</v>
      </c>
      <c r="D15" s="1" t="s">
        <v>94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43235</v>
      </c>
      <c r="J15" s="14">
        <f ca="1">[1]!s_dq_close(E15,I15,1)</f>
        <v>1200</v>
      </c>
    </row>
    <row r="16" spans="2:10">
      <c r="B16" s="1" t="s">
        <v>136</v>
      </c>
      <c r="C16" s="1" t="s">
        <v>151</v>
      </c>
      <c r="D16" s="1" t="s">
        <v>135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43235</v>
      </c>
      <c r="J16" s="14">
        <f ca="1">[1]!s_dq_close(E16,I16,1)</f>
        <v>0</v>
      </c>
    </row>
    <row r="17" spans="2:10">
      <c r="B17" s="1" t="s">
        <v>137</v>
      </c>
      <c r="C17" s="1" t="s">
        <v>151</v>
      </c>
      <c r="D17" s="1" t="s">
        <v>135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43235</v>
      </c>
      <c r="J17" s="14">
        <f ca="1">[1]!s_dq_close(E17,I17,1)</f>
        <v>16.600000000000001</v>
      </c>
    </row>
    <row r="18" spans="2:10">
      <c r="B18" s="1" t="s">
        <v>140</v>
      </c>
      <c r="C18" s="1" t="s">
        <v>150</v>
      </c>
      <c r="D18" s="1" t="s">
        <v>141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43235</v>
      </c>
      <c r="J18" s="14">
        <f ca="1">[1]!s_dq_close(E18,I18,1)</f>
        <v>2315</v>
      </c>
    </row>
    <row r="19" spans="2:10">
      <c r="B19" s="1" t="s">
        <v>159</v>
      </c>
      <c r="C19" s="1" t="s">
        <v>160</v>
      </c>
      <c r="D19" s="1" t="s">
        <v>161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43235</v>
      </c>
      <c r="J19" s="14">
        <f ca="1">[1]!s_dq_close(E19,I19,1)</f>
        <v>6884</v>
      </c>
    </row>
    <row r="20" spans="2:10">
      <c r="B20" s="1" t="s">
        <v>163</v>
      </c>
      <c r="C20" s="1" t="s">
        <v>149</v>
      </c>
      <c r="D20" s="1" t="s">
        <v>135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43235</v>
      </c>
      <c r="J20" s="27">
        <f ca="1">[1]!s_dq_close(E20,I20,1)</f>
        <v>16.53</v>
      </c>
    </row>
    <row r="21" spans="2:10">
      <c r="B21" s="1" t="s">
        <v>165</v>
      </c>
      <c r="C21" s="1" t="s">
        <v>74</v>
      </c>
      <c r="D21" s="1" t="s">
        <v>75</v>
      </c>
      <c r="E21" s="2" t="str">
        <f>tbl_ticker[[#This Row],[ticker]]&amp;"."&amp;tbl_ticker[[#This Row],[exchange]]</f>
        <v>i1809.dce</v>
      </c>
      <c r="F21" s="2">
        <v>100</v>
      </c>
      <c r="G21" s="1">
        <v>0.36</v>
      </c>
      <c r="H21" s="1">
        <v>0</v>
      </c>
      <c r="I21" s="13">
        <f t="shared" ca="1" si="0"/>
        <v>43235</v>
      </c>
      <c r="J21" s="29">
        <f ca="1">[1]!s_dq_close(E21,I21,1)</f>
        <v>488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topLeftCell="C1" workbookViewId="0">
      <selection activeCell="B11" sqref="B11:G1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1" t="s">
        <v>8</v>
      </c>
      <c r="C5" s="31"/>
      <c r="D5" s="31"/>
      <c r="E5" s="31"/>
      <c r="F5" s="31"/>
    </row>
    <row r="6" spans="2:42">
      <c r="B6" s="9" t="s">
        <v>139</v>
      </c>
      <c r="C6" s="9" t="s">
        <v>10</v>
      </c>
      <c r="D6" s="9" t="s">
        <v>9</v>
      </c>
      <c r="E6" s="9" t="s">
        <v>100</v>
      </c>
      <c r="F6" s="9" t="s">
        <v>6</v>
      </c>
      <c r="G6" s="9" t="s">
        <v>101</v>
      </c>
      <c r="H6" s="9" t="s">
        <v>102</v>
      </c>
      <c r="I6" s="9" t="s">
        <v>1</v>
      </c>
      <c r="J6" s="9" t="s">
        <v>92</v>
      </c>
      <c r="K6" s="9" t="s">
        <v>103</v>
      </c>
      <c r="L6" s="9" t="s">
        <v>104</v>
      </c>
      <c r="M6" s="9" t="s">
        <v>105</v>
      </c>
      <c r="N6" s="9" t="s">
        <v>54</v>
      </c>
      <c r="O6" s="9" t="s">
        <v>106</v>
      </c>
      <c r="P6" s="9" t="s">
        <v>107</v>
      </c>
      <c r="Q6" s="9" t="s">
        <v>108</v>
      </c>
      <c r="R6" s="9" t="s">
        <v>109</v>
      </c>
      <c r="S6" s="9" t="s">
        <v>5</v>
      </c>
      <c r="T6" s="9" t="s">
        <v>110</v>
      </c>
      <c r="U6" s="9" t="s">
        <v>111</v>
      </c>
      <c r="V6" s="9" t="s">
        <v>112</v>
      </c>
      <c r="W6" s="9" t="s">
        <v>113</v>
      </c>
      <c r="X6" s="9" t="s">
        <v>114</v>
      </c>
      <c r="Y6" s="9" t="s">
        <v>115</v>
      </c>
      <c r="Z6" s="9" t="s">
        <v>36</v>
      </c>
      <c r="AA6" s="9" t="s">
        <v>116</v>
      </c>
      <c r="AB6" s="9" t="s">
        <v>117</v>
      </c>
      <c r="AC6" s="9" t="s">
        <v>118</v>
      </c>
      <c r="AD6" s="9" t="s">
        <v>119</v>
      </c>
      <c r="AE6" s="9" t="s">
        <v>120</v>
      </c>
      <c r="AF6" s="9" t="s">
        <v>37</v>
      </c>
      <c r="AG6" s="9" t="s">
        <v>121</v>
      </c>
      <c r="AH6" s="9" t="s">
        <v>90</v>
      </c>
      <c r="AI6" s="9" t="s">
        <v>122</v>
      </c>
      <c r="AJ6" s="9" t="s">
        <v>144</v>
      </c>
      <c r="AK6" s="9" t="s">
        <v>145</v>
      </c>
      <c r="AL6" s="9" t="s">
        <v>146</v>
      </c>
      <c r="AM6" s="9" t="s">
        <v>147</v>
      </c>
      <c r="AN6" s="9" t="s">
        <v>148</v>
      </c>
      <c r="AO6" s="9" t="s">
        <v>149</v>
      </c>
      <c r="AP6" s="9" t="s">
        <v>158</v>
      </c>
    </row>
    <row r="7" spans="2:42">
      <c r="B7" s="9" t="s">
        <v>86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85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84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83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82</v>
      </c>
      <c r="C11" s="9">
        <v>0</v>
      </c>
      <c r="D11" s="9">
        <v>0.1</v>
      </c>
      <c r="E11" s="10">
        <v>7.2099999999999997E-2</v>
      </c>
      <c r="F11" s="10">
        <v>4.7E-2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87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97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153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138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14</v>
      </c>
      <c r="C6" t="s">
        <v>30</v>
      </c>
      <c r="D6" t="s">
        <v>29</v>
      </c>
      <c r="E6" t="s">
        <v>77</v>
      </c>
    </row>
    <row r="7" spans="2:5">
      <c r="B7" t="s">
        <v>32</v>
      </c>
      <c r="C7">
        <v>1</v>
      </c>
      <c r="D7">
        <v>1</v>
      </c>
      <c r="E7">
        <v>1</v>
      </c>
    </row>
    <row r="8" spans="2:5">
      <c r="B8" t="s">
        <v>16</v>
      </c>
      <c r="C8" t="s">
        <v>123</v>
      </c>
      <c r="D8">
        <v>1</v>
      </c>
      <c r="E8">
        <v>1</v>
      </c>
    </row>
    <row r="9" spans="2:5">
      <c r="B9" t="s">
        <v>17</v>
      </c>
      <c r="C9" t="s">
        <v>124</v>
      </c>
      <c r="D9">
        <v>1</v>
      </c>
      <c r="E9">
        <v>1</v>
      </c>
    </row>
    <row r="10" spans="2:5">
      <c r="B10" t="s">
        <v>18</v>
      </c>
      <c r="C10" t="s">
        <v>125</v>
      </c>
      <c r="D10">
        <v>1</v>
      </c>
      <c r="E10">
        <v>1</v>
      </c>
    </row>
    <row r="11" spans="2:5">
      <c r="B11" t="s">
        <v>19</v>
      </c>
      <c r="C11" t="s">
        <v>126</v>
      </c>
      <c r="D11">
        <v>1</v>
      </c>
      <c r="E11">
        <v>1</v>
      </c>
    </row>
    <row r="12" spans="2:5">
      <c r="B12" t="s">
        <v>20</v>
      </c>
      <c r="C12" t="s">
        <v>127</v>
      </c>
      <c r="D12">
        <v>1</v>
      </c>
      <c r="E12">
        <v>1</v>
      </c>
    </row>
    <row r="13" spans="2:5">
      <c r="B13" t="s">
        <v>21</v>
      </c>
      <c r="C13" t="s">
        <v>131</v>
      </c>
      <c r="D13">
        <v>1</v>
      </c>
      <c r="E13">
        <v>1</v>
      </c>
    </row>
    <row r="14" spans="2:5">
      <c r="B14" t="s">
        <v>22</v>
      </c>
      <c r="C14" t="s">
        <v>125</v>
      </c>
      <c r="D14" s="11" t="s">
        <v>129</v>
      </c>
      <c r="E14" s="5">
        <v>1</v>
      </c>
    </row>
    <row r="15" spans="2:5">
      <c r="B15" t="s">
        <v>23</v>
      </c>
      <c r="C15" t="s">
        <v>125</v>
      </c>
      <c r="D15" t="s">
        <v>130</v>
      </c>
      <c r="E15">
        <v>1</v>
      </c>
    </row>
    <row r="16" spans="2:5">
      <c r="B16" t="s">
        <v>24</v>
      </c>
      <c r="C16" t="s">
        <v>128</v>
      </c>
      <c r="D16" s="11" t="s">
        <v>129</v>
      </c>
      <c r="E16" s="5">
        <v>1</v>
      </c>
    </row>
    <row r="17" spans="2:5">
      <c r="B17" t="s">
        <v>25</v>
      </c>
      <c r="C17" s="23" t="s">
        <v>154</v>
      </c>
      <c r="D17" s="23" t="s">
        <v>155</v>
      </c>
      <c r="E17" s="24">
        <v>1</v>
      </c>
    </row>
    <row r="18" spans="2:5">
      <c r="B18" t="s">
        <v>26</v>
      </c>
      <c r="C18" s="25" t="s">
        <v>156</v>
      </c>
      <c r="D18" s="25">
        <v>1</v>
      </c>
      <c r="E18" s="26">
        <v>0.35</v>
      </c>
    </row>
    <row r="19" spans="2:5">
      <c r="B19" t="s">
        <v>27</v>
      </c>
      <c r="C19" s="23" t="s">
        <v>157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2018-05-15T07:42:55Z</dcterms:modified>
</cp:coreProperties>
</file>