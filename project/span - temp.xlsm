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4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I21" i="6" l="1"/>
  <c r="E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8" i="5"/>
  <c r="E18" i="6"/>
  <c r="AN8" i="5"/>
  <c r="AH8" i="5"/>
  <c r="AR8" i="5"/>
  <c r="AP7" i="5"/>
  <c r="AL7" i="5"/>
  <c r="AK8" i="5"/>
  <c r="AM8" i="5"/>
  <c r="AI8" i="5"/>
  <c r="AN7" i="5"/>
  <c r="AG7" i="5"/>
  <c r="AI7" i="5"/>
  <c r="AR7" i="5"/>
  <c r="AP8" i="5"/>
  <c r="AF7" i="5"/>
  <c r="AO7" i="5"/>
  <c r="AM7" i="5"/>
  <c r="AL8" i="5"/>
  <c r="AK7" i="5"/>
  <c r="AJ7" i="5"/>
  <c r="AQ7" i="5"/>
  <c r="AF8" i="5"/>
  <c r="AQ8" i="5"/>
  <c r="AJ8" i="5"/>
  <c r="AH7" i="5"/>
  <c r="AO8" i="5"/>
  <c r="AG8" i="5"/>
  <c r="AT7" i="5" l="1"/>
  <c r="AT8" i="5"/>
  <c r="AI4" i="5"/>
  <c r="AM4" i="5"/>
  <c r="AL4" i="5"/>
  <c r="AO4" i="5"/>
  <c r="AP4" i="5"/>
  <c r="AH4" i="5"/>
  <c r="AJ4" i="5"/>
  <c r="AG4" i="5"/>
  <c r="AN4" i="5"/>
  <c r="AQ4" i="5"/>
  <c r="AF4" i="5"/>
  <c r="AK4" i="5"/>
  <c r="AR4" i="5"/>
  <c r="E17" i="6"/>
  <c r="E16" i="6"/>
  <c r="E12" i="6" l="1"/>
  <c r="J12" i="6"/>
  <c r="J17" i="6"/>
  <c r="J18" i="6"/>
  <c r="J16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9" i="6"/>
  <c r="J8" i="6"/>
</calcChain>
</file>

<file path=xl/sharedStrings.xml><?xml version="1.0" encoding="utf-8"?>
<sst xmlns="http://schemas.openxmlformats.org/spreadsheetml/2006/main" count="245" uniqueCount="180">
  <si>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</si>
  <si>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</si>
  <si>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</si>
  <si>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</si>
  <si>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</si>
  <si>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</si>
  <si>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</si>
  <si>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</si>
  <si>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</si>
  <si>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</si>
  <si>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</si>
  <si>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</si>
  <si>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</si>
  <si>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</si>
  <si>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</si>
  <si>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</si>
  <si>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</si>
  <si>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</si>
  <si>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</si>
  <si>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</si>
  <si>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</si>
  <si>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</si>
  <si>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</si>
  <si>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</si>
  <si>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</si>
  <si>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</si>
  <si>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</si>
  <si>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</si>
  <si>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</si>
  <si>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</si>
  <si>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</si>
  <si>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</si>
  <si>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</si>
  <si>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</si>
  <si>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</si>
  <si>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</si>
  <si>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</si>
  <si>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</si>
  <si>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</si>
  <si>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</si>
  <si>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</si>
  <si>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</si>
  <si>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</si>
  <si>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</si>
  <si>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</si>
  <si>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</si>
  <si>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</si>
  <si>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</si>
  <si>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</si>
  <si>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</si>
  <si>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</si>
  <si>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</si>
  <si>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</si>
  <si>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</si>
  <si>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</si>
  <si>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</si>
  <si>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</si>
  <si>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  <phoneticPr fontId="1" type="noConversion"/>
  </si>
  <si>
    <t>20180209-CICC-TWGJ-RB1810-VAN-P-65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</si>
  <si>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</si>
  <si>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</si>
  <si>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</si>
  <si>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</si>
  <si>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</si>
  <si>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</si>
  <si>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</si>
  <si>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</si>
  <si>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</si>
  <si>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</si>
  <si>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</si>
  <si>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</si>
  <si>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</si>
  <si>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</si>
  <si>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</si>
  <si>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</si>
  <si>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</si>
  <si>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</si>
  <si>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</si>
  <si>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</si>
  <si>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</si>
  <si>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</si>
  <si>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</si>
  <si>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</si>
  <si>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</si>
  <si>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</si>
  <si>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</si>
  <si>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</si>
  <si>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</si>
  <si>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</si>
  <si>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</si>
  <si>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</si>
  <si>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</si>
  <si>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</si>
  <si>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</si>
  <si>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</si>
  <si>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</si>
  <si>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</si>
  <si>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</si>
  <si>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</si>
  <si>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</si>
  <si>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</si>
  <si>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</si>
  <si>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</si>
  <si>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</si>
  <si>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</si>
  <si>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</si>
  <si>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</si>
  <si>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</si>
  <si>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</si>
  <si>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</si>
  <si>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</si>
  <si>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</si>
  <si>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</si>
  <si>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</si>
  <si>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</si>
  <si>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</si>
  <si>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</si>
  <si>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</si>
  <si>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</si>
  <si>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</si>
  <si>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</si>
  <si>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</si>
  <si>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</si>
  <si>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</si>
  <si>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</si>
  <si>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</si>
  <si>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</si>
  <si>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</si>
  <si>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</si>
  <si>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</si>
  <si>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</si>
  <si>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</si>
  <si>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</si>
  <si>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</si>
  <si>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</si>
  <si>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</si>
  <si>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</si>
  <si>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</si>
  <si>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</si>
  <si>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</si>
  <si>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</si>
  <si>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</si>
  <si>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</si>
  <si>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</si>
  <si>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</si>
  <si>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</si>
  <si>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</si>
  <si>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</si>
  <si>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</si>
  <si>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</si>
  <si>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</si>
  <si>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</si>
  <si>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</si>
  <si>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</si>
  <si>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</si>
  <si>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</si>
  <si>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</si>
  <si>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</si>
  <si>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</si>
  <si>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</si>
  <si>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</si>
  <si>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</si>
  <si>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</si>
  <si>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</si>
  <si>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</si>
  <si>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p</t>
    <phoneticPr fontId="1" type="noConversion"/>
  </si>
  <si>
    <t>i1809</t>
  </si>
  <si>
    <t>i1809</t>
    <phoneticPr fontId="1" type="noConversion"/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</si>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</sst>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9" fontId="3" fillId="0" borderId="0" xfId="0" applyNumberFormat="1" applyFont="1"/>
    <xf numFmtId="1" fontId="7" fillId="0" borderId="0" xfId="0" applyNumberFormat="1" applyFont="1"/>
    <xf numFmtId="180" fontId="3" fillId="0" borderId="0" xfId="0" applyNumberFormat="1" applyFont="1"/>
    <xf numFmtId="43" fontId="7" fillId="0" borderId="0" xfId="2" applyFont="1" applyAlignme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8" totalsRowShown="0" headerRowDxfId="126" dataDxfId="125">
  <autoFilter ref="B6:AR8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10" totalsRowShown="0" headerRowDxfId="68" dataDxfId="67">
  <autoFilter ref="B8:N10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opLeftCell="K1" zoomScaleNormal="100" workbookViewId="0">
      <selection activeCell="AL34" sqref="AL34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45" width="9" style="6"/>
    <col min="46" max="46" width="10.5" style="6" bestFit="1" customWidth="1"/>
    <col min="47" max="16384" width="9" style="6"/>
  </cols>
  <sheetData>
    <row r="3" spans="1:46">
      <c r="B3" s="6" t="s">
        <v>32</v>
      </c>
    </row>
    <row r="4" spans="1:46">
      <c r="B4" s="7">
        <f ca="1">TODAY()</f>
        <v>43192</v>
      </c>
      <c r="AE4" s="8"/>
      <c r="AF4" s="28" t="e">
        <f>#REF!+#REF!</f>
        <v>#REF!</v>
      </c>
      <c r="AG4" s="28" t="e">
        <f>#REF!+#REF!</f>
        <v>#REF!</v>
      </c>
      <c r="AH4" s="28" t="e">
        <f>#REF!+#REF!</f>
        <v>#REF!</v>
      </c>
      <c r="AI4" s="28" t="e">
        <f>#REF!+#REF!</f>
        <v>#REF!</v>
      </c>
      <c r="AJ4" s="28" t="e">
        <f>#REF!+#REF!</f>
        <v>#REF!</v>
      </c>
      <c r="AK4" s="28" t="e">
        <f>#REF!+#REF!</f>
        <v>#REF!</v>
      </c>
      <c r="AL4" s="28" t="e">
        <f>#REF!+#REF!</f>
        <v>#REF!</v>
      </c>
      <c r="AM4" s="28" t="e">
        <f>#REF!+#REF!</f>
        <v>#REF!</v>
      </c>
      <c r="AN4" s="28" t="e">
        <f>#REF!+#REF!</f>
        <v>#REF!</v>
      </c>
      <c r="AO4" s="28" t="e">
        <f>#REF!+#REF!</f>
        <v>#REF!</v>
      </c>
      <c r="AP4" s="28" t="e">
        <f>#REF!+#REF!</f>
        <v>#REF!</v>
      </c>
      <c r="AQ4" s="28" t="e">
        <f>#REF!+#REF!</f>
        <v>#REF!</v>
      </c>
      <c r="AR4" s="28" t="e">
        <f>#REF!+#REF!</f>
        <v>#REF!</v>
      </c>
    </row>
    <row r="6" spans="1:46">
      <c r="A6" s="6" t="s">
        <v>163</v>
      </c>
      <c r="B6" s="6" t="s">
        <v>153</v>
      </c>
      <c r="C6" s="6" t="s">
        <v>69</v>
      </c>
      <c r="D6" s="6" t="s">
        <v>134</v>
      </c>
      <c r="E6" s="6" t="s">
        <v>61</v>
      </c>
      <c r="F6" s="6" t="s">
        <v>9</v>
      </c>
      <c r="G6" s="6" t="s">
        <v>81</v>
      </c>
      <c r="H6" s="6" t="s">
        <v>63</v>
      </c>
      <c r="I6" s="6" t="s">
        <v>77</v>
      </c>
      <c r="J6" s="6" t="s">
        <v>67</v>
      </c>
      <c r="K6" s="6" t="s">
        <v>68</v>
      </c>
      <c r="L6" s="6" t="s">
        <v>4</v>
      </c>
      <c r="M6" s="6" t="s">
        <v>70</v>
      </c>
      <c r="N6" s="6" t="s">
        <v>60</v>
      </c>
      <c r="O6" s="6" t="s">
        <v>71</v>
      </c>
      <c r="P6" s="6" t="s">
        <v>0</v>
      </c>
      <c r="Q6" s="6" t="s">
        <v>42</v>
      </c>
      <c r="R6" s="6" t="s">
        <v>43</v>
      </c>
      <c r="S6" s="6" t="s">
        <v>44</v>
      </c>
      <c r="T6" s="6" t="s">
        <v>45</v>
      </c>
      <c r="U6" s="6" t="s">
        <v>46</v>
      </c>
      <c r="V6" s="6" t="s">
        <v>47</v>
      </c>
      <c r="W6" s="6" t="s">
        <v>48</v>
      </c>
      <c r="X6" s="6" t="s">
        <v>49</v>
      </c>
      <c r="Y6" s="6" t="s">
        <v>50</v>
      </c>
      <c r="Z6" s="6" t="s">
        <v>51</v>
      </c>
      <c r="AA6" s="6" t="s">
        <v>52</v>
      </c>
      <c r="AB6" s="6" t="s">
        <v>53</v>
      </c>
      <c r="AC6" s="6" t="s">
        <v>54</v>
      </c>
      <c r="AD6" s="6" t="s">
        <v>79</v>
      </c>
      <c r="AE6" s="6" t="s">
        <v>80</v>
      </c>
      <c r="AF6" s="6" t="s">
        <v>33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</row>
    <row r="7" spans="1:46" ht="15" customHeight="1">
      <c r="B7" s="9" t="s">
        <v>58</v>
      </c>
      <c r="C7" s="9" t="s">
        <v>83</v>
      </c>
      <c r="D7" s="9" t="s">
        <v>135</v>
      </c>
      <c r="E7" s="9">
        <v>100</v>
      </c>
      <c r="F7" s="9">
        <v>400</v>
      </c>
      <c r="G7" s="7">
        <v>43189</v>
      </c>
      <c r="H7" s="7">
        <v>43220</v>
      </c>
      <c r="I7" s="7">
        <v>43189</v>
      </c>
      <c r="J7" s="9">
        <v>0</v>
      </c>
      <c r="K7" s="9" t="s">
        <v>5</v>
      </c>
      <c r="L7" s="9" t="s">
        <v>166</v>
      </c>
      <c r="M7" s="9" t="s">
        <v>106</v>
      </c>
      <c r="N7" s="9">
        <v>10000</v>
      </c>
      <c r="O7" s="9">
        <v>454.5</v>
      </c>
      <c r="P7" s="9">
        <v>0.36</v>
      </c>
      <c r="Q7" s="9" t="s">
        <v>133</v>
      </c>
      <c r="R7" s="9" t="s">
        <v>168</v>
      </c>
      <c r="S7" s="9" t="s">
        <v>169</v>
      </c>
      <c r="T7" s="9" t="s">
        <v>170</v>
      </c>
      <c r="U7" s="9" t="s">
        <v>171</v>
      </c>
      <c r="V7" s="9" t="s">
        <v>172</v>
      </c>
      <c r="W7" s="9" t="s">
        <v>173</v>
      </c>
      <c r="X7" s="9" t="s">
        <v>174</v>
      </c>
      <c r="Y7" s="9" t="s">
        <v>175</v>
      </c>
      <c r="Z7" s="9" t="s">
        <v>176</v>
      </c>
      <c r="AA7" s="9" t="s">
        <v>177</v>
      </c>
      <c r="AB7" s="9" t="s">
        <v>178</v>
      </c>
      <c r="AC7" s="9" t="s">
        <v>179</v>
      </c>
      <c r="AD7" s="9">
        <v>0.28000000000000003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0.35225806451612901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18527.71014182597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7182.2215370767353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2595.6528768906469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838.15014065980893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43136.980105947099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88744.713805434469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166759.60479016442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1837.3947144701483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305.54872225363545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182214.67322264198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151306.37161118386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6.4452496186519861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209282.77123094685</v>
      </c>
      <c r="AT7" s="30">
        <f ca="1">MAX(tbl_senario[[#This Row],[senario1]:[senario13]])</f>
        <v>209282.77123094685</v>
      </c>
    </row>
    <row r="8" spans="1:46">
      <c r="B8" s="9" t="s">
        <v>58</v>
      </c>
      <c r="C8" s="9" t="s">
        <v>83</v>
      </c>
      <c r="D8" s="9" t="s">
        <v>135</v>
      </c>
      <c r="E8" s="9">
        <v>100</v>
      </c>
      <c r="F8" s="9">
        <v>430</v>
      </c>
      <c r="G8" s="7">
        <v>43189</v>
      </c>
      <c r="H8" s="7">
        <v>43220</v>
      </c>
      <c r="I8" s="7">
        <v>43189</v>
      </c>
      <c r="J8" s="9">
        <v>0</v>
      </c>
      <c r="K8" s="9" t="s">
        <v>5</v>
      </c>
      <c r="L8" s="9" t="s">
        <v>166</v>
      </c>
      <c r="M8" s="9" t="s">
        <v>106</v>
      </c>
      <c r="N8" s="9">
        <v>10000</v>
      </c>
      <c r="O8" s="9">
        <v>454.5</v>
      </c>
      <c r="P8" s="9">
        <v>0.36</v>
      </c>
      <c r="Q8" s="9" t="s">
        <v>133</v>
      </c>
      <c r="R8" s="9" t="s">
        <v>168</v>
      </c>
      <c r="S8" s="9" t="s">
        <v>169</v>
      </c>
      <c r="T8" s="9" t="s">
        <v>170</v>
      </c>
      <c r="U8" s="9" t="s">
        <v>171</v>
      </c>
      <c r="V8" s="9" t="s">
        <v>172</v>
      </c>
      <c r="W8" s="9" t="s">
        <v>173</v>
      </c>
      <c r="X8" s="9" t="s">
        <v>174</v>
      </c>
      <c r="Y8" s="9" t="s">
        <v>175</v>
      </c>
      <c r="Z8" s="9" t="s">
        <v>176</v>
      </c>
      <c r="AA8" s="9" t="s">
        <v>177</v>
      </c>
      <c r="AB8" s="9" t="s">
        <v>178</v>
      </c>
      <c r="AC8" s="9" t="s">
        <v>179</v>
      </c>
      <c r="AD8" s="9">
        <v>0.28000000000000003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0.35225806451612901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76450.005501370688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37325.663510444829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16962.060748110944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6933.0223757673939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142460.28183511135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238842.83469577148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370961.55223305675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11291.190076880755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3754.1521301990138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382955.74917703163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359715.5844036726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106.35307761121972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311835.26698095124</v>
      </c>
      <c r="AT8" s="30">
        <f ca="1">MAX(tbl_senario[[#This Row],[senario1]:[senario13]])</f>
        <v>382955.74917703163</v>
      </c>
    </row>
    <row r="35" spans="46:46">
      <c r="AT35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10"/>
  <sheetViews>
    <sheetView workbookViewId="0">
      <selection activeCell="C24" sqref="C24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144</v>
      </c>
      <c r="C8" s="16" t="s">
        <v>61</v>
      </c>
      <c r="D8" s="16" t="s">
        <v>62</v>
      </c>
      <c r="E8" s="17" t="s">
        <v>63</v>
      </c>
      <c r="F8" s="16" t="s">
        <v>64</v>
      </c>
      <c r="G8" s="16" t="s">
        <v>65</v>
      </c>
      <c r="H8" s="16" t="s">
        <v>66</v>
      </c>
      <c r="I8" s="16" t="s">
        <v>67</v>
      </c>
      <c r="J8" s="16" t="s">
        <v>68</v>
      </c>
      <c r="K8" s="16" t="s">
        <v>134</v>
      </c>
      <c r="L8" s="16" t="s">
        <v>4</v>
      </c>
      <c r="M8" s="16" t="s">
        <v>69</v>
      </c>
      <c r="N8" s="18" t="s">
        <v>79</v>
      </c>
    </row>
    <row r="9" spans="2:14">
      <c r="B9" s="18" t="s">
        <v>58</v>
      </c>
      <c r="C9" s="18">
        <v>100</v>
      </c>
      <c r="D9" s="19">
        <v>43189</v>
      </c>
      <c r="E9" s="19">
        <v>43220</v>
      </c>
      <c r="F9" s="19">
        <v>43210</v>
      </c>
      <c r="G9" s="19">
        <v>43189</v>
      </c>
      <c r="H9" s="20">
        <v>400</v>
      </c>
      <c r="I9" s="20">
        <v>0</v>
      </c>
      <c r="J9" s="18" t="s">
        <v>165</v>
      </c>
      <c r="K9" s="18" t="s">
        <v>82</v>
      </c>
      <c r="L9" s="18" t="s">
        <v>167</v>
      </c>
      <c r="M9" s="18" t="s">
        <v>83</v>
      </c>
      <c r="N9" s="18">
        <v>0.28000000000000003</v>
      </c>
    </row>
    <row r="10" spans="2:14">
      <c r="B10" s="18" t="s">
        <v>58</v>
      </c>
      <c r="C10" s="18">
        <v>100</v>
      </c>
      <c r="D10" s="19">
        <v>43189</v>
      </c>
      <c r="E10" s="19">
        <v>43220</v>
      </c>
      <c r="F10" s="19">
        <v>43210</v>
      </c>
      <c r="G10" s="19">
        <v>43189</v>
      </c>
      <c r="H10" s="20">
        <v>430</v>
      </c>
      <c r="I10" s="20">
        <v>0</v>
      </c>
      <c r="J10" s="18" t="s">
        <v>165</v>
      </c>
      <c r="K10" s="18" t="s">
        <v>82</v>
      </c>
      <c r="L10" s="18" t="s">
        <v>167</v>
      </c>
      <c r="M10" s="18" t="s">
        <v>83</v>
      </c>
      <c r="N10" s="18">
        <v>0.28000000000000003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E27" sqref="E27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1" t="s">
        <v>13</v>
      </c>
      <c r="C5" s="31"/>
      <c r="D5" s="31"/>
      <c r="E5" s="31"/>
      <c r="F5" s="31"/>
      <c r="G5" s="31"/>
      <c r="H5" s="31"/>
      <c r="I5" s="12"/>
    </row>
    <row r="6" spans="2:10">
      <c r="B6" s="1" t="s">
        <v>12</v>
      </c>
      <c r="C6" s="1" t="s">
        <v>72</v>
      </c>
      <c r="D6" s="1" t="s">
        <v>34</v>
      </c>
      <c r="E6" s="1" t="s">
        <v>74</v>
      </c>
      <c r="F6" s="1" t="s">
        <v>59</v>
      </c>
      <c r="G6" s="1" t="s">
        <v>0</v>
      </c>
      <c r="H6" s="1" t="s">
        <v>11</v>
      </c>
      <c r="I6" s="1" t="s">
        <v>143</v>
      </c>
      <c r="J6" s="1" t="s">
        <v>73</v>
      </c>
    </row>
    <row r="7" spans="2:10">
      <c r="B7" s="1" t="s">
        <v>36</v>
      </c>
      <c r="C7" s="1" t="s">
        <v>2</v>
      </c>
      <c r="D7" s="1" t="s">
        <v>35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43192</v>
      </c>
      <c r="J7" s="14">
        <f ca="1">[1]!s_dq_close(E7,I7,1)</f>
        <v>50180</v>
      </c>
    </row>
    <row r="8" spans="2:10">
      <c r="B8" s="1" t="s">
        <v>28</v>
      </c>
      <c r="C8" s="1" t="s">
        <v>7</v>
      </c>
      <c r="D8" s="1" t="s">
        <v>35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1" ca="1" si="0">TODAY()</f>
        <v>43192</v>
      </c>
      <c r="J8" s="14">
        <f ca="1">[1]!s_dq_close(E8,I8,1)</f>
        <v>13770</v>
      </c>
    </row>
    <row r="9" spans="2:10">
      <c r="B9" s="1" t="s">
        <v>29</v>
      </c>
      <c r="C9" s="1" t="s">
        <v>3</v>
      </c>
      <c r="D9" s="1" t="s">
        <v>35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43192</v>
      </c>
      <c r="J9" s="14">
        <f ca="1">[1]!s_dq_close(E9,I9,1)</f>
        <v>3618</v>
      </c>
    </row>
    <row r="10" spans="2:10">
      <c r="B10" s="1" t="s">
        <v>41</v>
      </c>
      <c r="C10" s="1" t="s">
        <v>39</v>
      </c>
      <c r="D10" s="1" t="s">
        <v>40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43192</v>
      </c>
      <c r="J10" s="14">
        <f ca="1">[1]!s_dq_close(E10,I10,1)</f>
        <v>9225</v>
      </c>
    </row>
    <row r="11" spans="2:10">
      <c r="B11" s="1" t="s">
        <v>57</v>
      </c>
      <c r="C11" s="1" t="s">
        <v>56</v>
      </c>
      <c r="D11" s="1" t="s">
        <v>35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43192</v>
      </c>
      <c r="J11" s="14">
        <f ca="1">[1]!s_dq_close(E11,I11,1)</f>
        <v>3391</v>
      </c>
    </row>
    <row r="12" spans="2:10">
      <c r="B12" s="1" t="s">
        <v>99</v>
      </c>
      <c r="C12" s="1" t="s">
        <v>100</v>
      </c>
      <c r="D12" s="1" t="s">
        <v>97</v>
      </c>
      <c r="E12" s="2" t="str">
        <f>tbl_ticker[[#This Row],[ticker]]&amp;"."&amp;tbl_ticker[[#This Row],[exchange]]</f>
        <v>rb1805.shf</v>
      </c>
      <c r="F12" s="2">
        <v>10</v>
      </c>
      <c r="G12" s="1">
        <v>0.22</v>
      </c>
      <c r="H12" s="1">
        <v>0</v>
      </c>
      <c r="I12" s="13">
        <f t="shared" ca="1" si="0"/>
        <v>43192</v>
      </c>
      <c r="J12" s="14">
        <f ca="1">[1]!s_dq_close(E12,I12,1)</f>
        <v>3592</v>
      </c>
    </row>
    <row r="13" spans="2:10">
      <c r="B13" s="1" t="s">
        <v>96</v>
      </c>
      <c r="C13" s="1" t="s">
        <v>75</v>
      </c>
      <c r="D13" s="1" t="s">
        <v>76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43192</v>
      </c>
      <c r="J13" s="14">
        <f ca="1">[1]!s_dq_close(E13,I13,1)</f>
        <v>443.5</v>
      </c>
    </row>
    <row r="14" spans="2:10">
      <c r="B14" s="1" t="s">
        <v>89</v>
      </c>
      <c r="C14" s="1" t="s">
        <v>92</v>
      </c>
      <c r="D14" s="1" t="s">
        <v>97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43192</v>
      </c>
      <c r="J14" s="14">
        <f ca="1">[1]!s_dq_close(E14,I14,1)</f>
        <v>11290</v>
      </c>
    </row>
    <row r="15" spans="2:10">
      <c r="B15" s="1" t="s">
        <v>90</v>
      </c>
      <c r="C15" s="1" t="s">
        <v>94</v>
      </c>
      <c r="D15" s="1" t="s">
        <v>95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43192</v>
      </c>
      <c r="J15" s="14">
        <f ca="1">[1]!s_dq_close(E15,I15,1)</f>
        <v>1281.5</v>
      </c>
    </row>
    <row r="16" spans="2:10">
      <c r="B16" s="1" t="s">
        <v>137</v>
      </c>
      <c r="C16" s="1" t="s">
        <v>152</v>
      </c>
      <c r="D16" s="1" t="s">
        <v>136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43192</v>
      </c>
      <c r="J16" s="14">
        <f ca="1">[1]!s_dq_close(E16,I16,1)</f>
        <v>0</v>
      </c>
    </row>
    <row r="17" spans="2:10">
      <c r="B17" s="1" t="s">
        <v>138</v>
      </c>
      <c r="C17" s="1" t="s">
        <v>152</v>
      </c>
      <c r="D17" s="1" t="s">
        <v>136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43192</v>
      </c>
      <c r="J17" s="14">
        <f ca="1">[1]!s_dq_close(E17,I17,1)</f>
        <v>16.34</v>
      </c>
    </row>
    <row r="18" spans="2:10">
      <c r="B18" s="1" t="s">
        <v>141</v>
      </c>
      <c r="C18" s="1" t="s">
        <v>151</v>
      </c>
      <c r="D18" s="1" t="s">
        <v>142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43192</v>
      </c>
      <c r="J18" s="14">
        <f ca="1">[1]!s_dq_close(E18,I18,1)</f>
        <v>2005</v>
      </c>
    </row>
    <row r="19" spans="2:10">
      <c r="B19" s="1" t="s">
        <v>160</v>
      </c>
      <c r="C19" s="1" t="s">
        <v>161</v>
      </c>
      <c r="D19" s="1" t="s">
        <v>162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43192</v>
      </c>
      <c r="J19" s="14">
        <f ca="1">[1]!s_dq_close(E19,I19,1)</f>
        <v>6740.5</v>
      </c>
    </row>
    <row r="20" spans="2:10">
      <c r="B20" s="1" t="s">
        <v>164</v>
      </c>
      <c r="C20" s="1" t="s">
        <v>150</v>
      </c>
      <c r="D20" s="1" t="s">
        <v>136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43192</v>
      </c>
      <c r="J20" s="27">
        <f ca="1">[1]!s_dq_close(E20,I20,1)</f>
        <v>16.43</v>
      </c>
    </row>
    <row r="21" spans="2:10">
      <c r="B21" s="1" t="s">
        <v>167</v>
      </c>
      <c r="C21" s="1" t="s">
        <v>75</v>
      </c>
      <c r="D21" s="1" t="s">
        <v>76</v>
      </c>
      <c r="E21" s="2" t="str">
        <f>tbl_ticker[[#This Row],[ticker]]&amp;"."&amp;tbl_ticker[[#This Row],[exchange]]</f>
        <v>i1809.dce</v>
      </c>
      <c r="F21" s="2">
        <v>100</v>
      </c>
      <c r="G21" s="1">
        <v>0.36</v>
      </c>
      <c r="H21" s="1">
        <v>0</v>
      </c>
      <c r="I21" s="13">
        <f t="shared" ca="1" si="0"/>
        <v>43192</v>
      </c>
      <c r="J21" s="29">
        <f ca="1">[1]!s_dq_close(E21,I21,1)</f>
        <v>459.5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tabSelected="1" workbookViewId="0">
      <selection activeCell="L36" sqref="L36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2" t="s">
        <v>8</v>
      </c>
      <c r="C5" s="32"/>
      <c r="D5" s="32"/>
      <c r="E5" s="32"/>
      <c r="F5" s="32"/>
    </row>
    <row r="6" spans="2:42">
      <c r="B6" s="9" t="s">
        <v>140</v>
      </c>
      <c r="C6" s="9" t="s">
        <v>10</v>
      </c>
      <c r="D6" s="9" t="s">
        <v>9</v>
      </c>
      <c r="E6" s="9" t="s">
        <v>101</v>
      </c>
      <c r="F6" s="9" t="s">
        <v>6</v>
      </c>
      <c r="G6" s="9" t="s">
        <v>102</v>
      </c>
      <c r="H6" s="9" t="s">
        <v>103</v>
      </c>
      <c r="I6" s="9" t="s">
        <v>1</v>
      </c>
      <c r="J6" s="9" t="s">
        <v>93</v>
      </c>
      <c r="K6" s="9" t="s">
        <v>104</v>
      </c>
      <c r="L6" s="9" t="s">
        <v>105</v>
      </c>
      <c r="M6" s="9" t="s">
        <v>106</v>
      </c>
      <c r="N6" s="9" t="s">
        <v>55</v>
      </c>
      <c r="O6" s="9" t="s">
        <v>107</v>
      </c>
      <c r="P6" s="9" t="s">
        <v>108</v>
      </c>
      <c r="Q6" s="9" t="s">
        <v>109</v>
      </c>
      <c r="R6" s="9" t="s">
        <v>110</v>
      </c>
      <c r="S6" s="9" t="s">
        <v>5</v>
      </c>
      <c r="T6" s="9" t="s">
        <v>111</v>
      </c>
      <c r="U6" s="9" t="s">
        <v>112</v>
      </c>
      <c r="V6" s="9" t="s">
        <v>113</v>
      </c>
      <c r="W6" s="9" t="s">
        <v>114</v>
      </c>
      <c r="X6" s="9" t="s">
        <v>115</v>
      </c>
      <c r="Y6" s="9" t="s">
        <v>116</v>
      </c>
      <c r="Z6" s="9" t="s">
        <v>37</v>
      </c>
      <c r="AA6" s="9" t="s">
        <v>117</v>
      </c>
      <c r="AB6" s="9" t="s">
        <v>118</v>
      </c>
      <c r="AC6" s="9" t="s">
        <v>119</v>
      </c>
      <c r="AD6" s="9" t="s">
        <v>120</v>
      </c>
      <c r="AE6" s="9" t="s">
        <v>121</v>
      </c>
      <c r="AF6" s="9" t="s">
        <v>38</v>
      </c>
      <c r="AG6" s="9" t="s">
        <v>122</v>
      </c>
      <c r="AH6" s="9" t="s">
        <v>91</v>
      </c>
      <c r="AI6" s="9" t="s">
        <v>123</v>
      </c>
      <c r="AJ6" s="9" t="s">
        <v>145</v>
      </c>
      <c r="AK6" s="9" t="s">
        <v>146</v>
      </c>
      <c r="AL6" s="9" t="s">
        <v>147</v>
      </c>
      <c r="AM6" s="9" t="s">
        <v>148</v>
      </c>
      <c r="AN6" s="9" t="s">
        <v>149</v>
      </c>
      <c r="AO6" s="9" t="s">
        <v>150</v>
      </c>
      <c r="AP6" s="9" t="s">
        <v>159</v>
      </c>
    </row>
    <row r="7" spans="2:42">
      <c r="B7" s="9" t="s">
        <v>87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86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85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84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83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88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98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154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139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31</v>
      </c>
      <c r="D6" t="s">
        <v>30</v>
      </c>
      <c r="E6" t="s">
        <v>78</v>
      </c>
    </row>
    <row r="7" spans="2:5">
      <c r="B7" t="s">
        <v>33</v>
      </c>
      <c r="C7">
        <v>1</v>
      </c>
      <c r="D7">
        <v>1</v>
      </c>
      <c r="E7">
        <v>1</v>
      </c>
    </row>
    <row r="8" spans="2:5">
      <c r="B8" t="s">
        <v>16</v>
      </c>
      <c r="C8" t="s">
        <v>124</v>
      </c>
      <c r="D8">
        <v>1</v>
      </c>
      <c r="E8">
        <v>1</v>
      </c>
    </row>
    <row r="9" spans="2:5">
      <c r="B9" t="s">
        <v>17</v>
      </c>
      <c r="C9" t="s">
        <v>125</v>
      </c>
      <c r="D9">
        <v>1</v>
      </c>
      <c r="E9">
        <v>1</v>
      </c>
    </row>
    <row r="10" spans="2:5">
      <c r="B10" t="s">
        <v>18</v>
      </c>
      <c r="C10" t="s">
        <v>126</v>
      </c>
      <c r="D10">
        <v>1</v>
      </c>
      <c r="E10">
        <v>1</v>
      </c>
    </row>
    <row r="11" spans="2:5">
      <c r="B11" t="s">
        <v>19</v>
      </c>
      <c r="C11" t="s">
        <v>127</v>
      </c>
      <c r="D11">
        <v>1</v>
      </c>
      <c r="E11">
        <v>1</v>
      </c>
    </row>
    <row r="12" spans="2:5">
      <c r="B12" t="s">
        <v>20</v>
      </c>
      <c r="C12" t="s">
        <v>128</v>
      </c>
      <c r="D12">
        <v>1</v>
      </c>
      <c r="E12">
        <v>1</v>
      </c>
    </row>
    <row r="13" spans="2:5">
      <c r="B13" t="s">
        <v>21</v>
      </c>
      <c r="C13" t="s">
        <v>132</v>
      </c>
      <c r="D13">
        <v>1</v>
      </c>
      <c r="E13">
        <v>1</v>
      </c>
    </row>
    <row r="14" spans="2:5">
      <c r="B14" t="s">
        <v>22</v>
      </c>
      <c r="C14" t="s">
        <v>126</v>
      </c>
      <c r="D14" s="11" t="s">
        <v>130</v>
      </c>
      <c r="E14" s="5">
        <v>1</v>
      </c>
    </row>
    <row r="15" spans="2:5">
      <c r="B15" t="s">
        <v>23</v>
      </c>
      <c r="C15" t="s">
        <v>126</v>
      </c>
      <c r="D15" t="s">
        <v>131</v>
      </c>
      <c r="E15">
        <v>1</v>
      </c>
    </row>
    <row r="16" spans="2:5">
      <c r="B16" t="s">
        <v>24</v>
      </c>
      <c r="C16" t="s">
        <v>129</v>
      </c>
      <c r="D16" s="11" t="s">
        <v>130</v>
      </c>
      <c r="E16" s="5">
        <v>1</v>
      </c>
    </row>
    <row r="17" spans="2:5">
      <c r="B17" t="s">
        <v>25</v>
      </c>
      <c r="C17" s="23" t="s">
        <v>155</v>
      </c>
      <c r="D17" s="23" t="s">
        <v>156</v>
      </c>
      <c r="E17" s="24">
        <v>1</v>
      </c>
    </row>
    <row r="18" spans="2:5">
      <c r="B18" t="s">
        <v>26</v>
      </c>
      <c r="C18" s="25" t="s">
        <v>157</v>
      </c>
      <c r="D18" s="25">
        <v>1</v>
      </c>
      <c r="E18" s="26">
        <v>0.35</v>
      </c>
    </row>
    <row r="19" spans="2:5">
      <c r="B19" t="s">
        <v>27</v>
      </c>
      <c r="C19" s="23" t="s">
        <v>158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2018-04-02T04:25:35Z</dcterms:modified>
</cp:coreProperties>
</file>