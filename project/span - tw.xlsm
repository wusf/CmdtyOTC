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V8" i="5" l="1"/>
  <c r="AU8" i="5"/>
  <c r="AU9" i="5" l="1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E18" i="6" l="1"/>
  <c r="AI8" i="5"/>
  <c r="AR11" i="5"/>
  <c r="AG7" i="5"/>
  <c r="AL7" i="5"/>
  <c r="AF9" i="5"/>
  <c r="AJ8" i="5"/>
  <c r="AK9" i="5"/>
  <c r="AQ11" i="5"/>
  <c r="AQ7" i="5"/>
  <c r="AM8" i="5"/>
  <c r="AR9" i="5"/>
  <c r="AL9" i="5"/>
  <c r="AI7" i="5"/>
  <c r="AH10" i="5"/>
  <c r="AG11" i="5"/>
  <c r="AR8" i="5"/>
  <c r="AN11" i="5"/>
  <c r="AN9" i="5"/>
  <c r="AQ9" i="5"/>
  <c r="AK8" i="5"/>
  <c r="AO11" i="5"/>
  <c r="AH7" i="5"/>
  <c r="AO10" i="5"/>
  <c r="AG8" i="5"/>
  <c r="AN10" i="5"/>
  <c r="AP8" i="5"/>
  <c r="AP10" i="5"/>
  <c r="AL11" i="5"/>
  <c r="AR7" i="5"/>
  <c r="AP7" i="5"/>
  <c r="AL8" i="5"/>
  <c r="AN7" i="5"/>
  <c r="AQ10" i="5"/>
  <c r="AO8" i="5"/>
  <c r="AF8" i="5"/>
  <c r="AG9" i="5"/>
  <c r="AH9" i="5"/>
  <c r="AF11" i="5"/>
  <c r="AF10" i="5"/>
  <c r="AR10" i="5"/>
  <c r="AP11" i="5"/>
  <c r="AJ11" i="5"/>
  <c r="AI11" i="5"/>
  <c r="AH11" i="5"/>
  <c r="AK11" i="5"/>
  <c r="AK10" i="5"/>
  <c r="AQ8" i="5"/>
  <c r="AM7" i="5"/>
  <c r="AP9" i="5"/>
  <c r="AO9" i="5"/>
  <c r="AJ7" i="5"/>
  <c r="AJ10" i="5"/>
  <c r="AI9" i="5"/>
  <c r="AM9" i="5"/>
  <c r="AH8" i="5"/>
  <c r="AM11" i="5"/>
  <c r="AM10" i="5"/>
  <c r="AG10" i="5"/>
  <c r="AL10" i="5"/>
  <c r="AN8" i="5"/>
  <c r="AJ9" i="5"/>
  <c r="AF7" i="5"/>
  <c r="AO7" i="5"/>
  <c r="AK7" i="5"/>
  <c r="AI10" i="5"/>
  <c r="AT8" i="5" l="1"/>
  <c r="AT9" i="5"/>
  <c r="AT7" i="5"/>
  <c r="AT10" i="5"/>
  <c r="AT11" i="5"/>
  <c r="E17" i="6"/>
  <c r="E16" i="6"/>
  <c r="E12" i="6" l="1"/>
  <c r="J12" i="6"/>
  <c r="J16" i="6"/>
  <c r="J18" i="6"/>
  <c r="J17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8" i="6"/>
  <c r="J7" i="6"/>
  <c r="J9" i="6"/>
</calcChain>
</file>

<file path=xl/sharedStrings.xml><?xml version="1.0" encoding="utf-8"?>
<sst xmlns="http://schemas.openxmlformats.org/spreadsheetml/2006/main" count="330" uniqueCount="189">
  <si>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</si>
  <si>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</si>
  <si>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</si>
  <si>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</si>
  <si>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</si>
  <si>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</si>
  <si>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</si>
  <si>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</si>
  <si>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</si>
  <si>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</si>
  <si>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</si>
  <si>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</si>
  <si>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</si>
  <si>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</si>
  <si>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</si>
  <si>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</si>
  <si>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</si>
  <si>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</si>
  <si>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</si>
  <si>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</si>
  <si>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</si>
  <si>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</si>
  <si>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</si>
  <si>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</si>
  <si>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</si>
  <si>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</si>
  <si>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</si>
  <si>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</si>
  <si>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</si>
  <si>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</si>
  <si>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</si>
  <si>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</si>
  <si>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</si>
  <si>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</si>
  <si>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</si>
  <si>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</si>
  <si>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</si>
  <si>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</si>
  <si>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</si>
  <si>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</si>
  <si>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</si>
  <si>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</si>
  <si>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</si>
  <si>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</si>
  <si>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</si>
  <si>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</si>
  <si>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</si>
  <si>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</si>
  <si>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</si>
  <si>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</si>
  <si>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</si>
  <si>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</si>
  <si>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</si>
  <si>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</si>
  <si>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</si>
  <si>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</si>
  <si>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</si>
  <si>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</si>
  <si>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</si>
  <si>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</si>
  <si>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</si>
  <si>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</si>
  <si>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</si>
  <si>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</si>
  <si>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</si>
  <si>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</si>
  <si>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</si>
  <si>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</si>
  <si>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</si>
  <si>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</si>
  <si>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</si>
  <si>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</si>
  <si>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</si>
  <si>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</si>
  <si>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</si>
  <si>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</si>
  <si>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</si>
  <si>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</si>
  <si>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</si>
  <si>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</si>
  <si>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</si>
  <si>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</si>
  <si>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</si>
  <si>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</si>
  <si>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</si>
  <si>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</si>
  <si>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</si>
  <si>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</si>
  <si>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</si>
  <si>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</si>
  <si>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</si>
  <si>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</si>
  <si>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</si>
  <si>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</si>
  <si>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</si>
  <si>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</si>
  <si>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</si>
  <si>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</si>
  <si>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</si>
  <si>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</si>
  <si>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</si>
  <si>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</si>
  <si>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</si>
  <si>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</si>
  <si>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</si>
  <si>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</si>
  <si>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</si>
  <si>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</si>
  <si>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</si>
  <si>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</si>
  <si>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</si>
  <si>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</si>
  <si>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</si>
  <si>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</si>
  <si>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</si>
  <si>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</si>
  <si>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</si>
  <si>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</si>
  <si>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</si>
  <si>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</si>
  <si>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</si>
  <si>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</si>
  <si>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</si>
  <si>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</si>
  <si>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</si>
  <si>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</si>
  <si>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</si>
  <si>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</si>
  <si>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</si>
  <si>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</si>
  <si>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</si>
  <si>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</si>
  <si>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</si>
  <si>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</si>
  <si>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</si>
  <si>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</si>
  <si>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</si>
  <si>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</si>
  <si>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</si>
  <si>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</si>
  <si>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</si>
  <si>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</si>
  <si>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</si>
  <si>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</si>
  <si>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</si>
  <si>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</si>
  <si>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</si>
  <si>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</si>
  <si>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</si>
  <si>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</si>
  <si>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</si>
  <si>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</si>
  <si>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</si>
  <si>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</si>
  <si>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</si>
  <si>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</si>
  <si>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</si>
  <si>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</si>
  <si>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</si>
  <si>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</si>
  <si>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</si>
  <si>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</si>
  <si>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</si>
  <si>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</si>
  <si>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</si>
  <si>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</si>
  <si>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</si>
  <si>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</si>
  <si>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</si>
  <si>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</si>
  <si>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</si>
  <si>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gc</t>
    <phoneticPr fontId="1" type="noConversion"/>
  </si>
  <si>
    <t>cmx</t>
    <phoneticPr fontId="1" type="noConversion"/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</si>
  <si>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</si>
  <si>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</si>
  <si>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</si>
  <si>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</si>
  <si>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</si>
  <si>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</si>
  <si>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</si>
  <si>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</si>
  <si>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</si>
  <si>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</si>
  <si>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</si>
  <si>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</si>
  <si>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</si>
  <si>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gcz18e</t>
    <phoneticPr fontId="1" type="noConversion"/>
  </si>
  <si>
    <t>PRICE</t>
    <phoneticPr fontId="1" type="noConversion"/>
  </si>
  <si>
    <t>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</si>
</sst>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0.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180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9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1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S11" totalsRowShown="0" headerRowDxfId="128" dataDxfId="127">
  <autoFilter ref="B6:AS11"/>
  <tableColumns count="44">
    <tableColumn id="1" name="ID" dataDxfId="126"/>
    <tableColumn id="2" name="cpty" dataDxfId="125"/>
    <tableColumn id="43" name="prd_type" dataDxfId="124"/>
    <tableColumn id="3" name="volume" dataDxfId="123"/>
    <tableColumn id="4" name="k" dataDxfId="122"/>
    <tableColumn id="41" name="trade_date" dataDxfId="121"/>
    <tableColumn id="5" name="exp_date" dataDxfId="120"/>
    <tableColumn id="42" name="prem_date" dataDxfId="119"/>
    <tableColumn id="6" name="prem" dataDxfId="118"/>
    <tableColumn id="7" name="type" dataDxfId="117"/>
    <tableColumn id="8" name="underlying" dataDxfId="116"/>
    <tableColumn id="9" name="prod" dataDxfId="115"/>
    <tableColumn id="38" name="qty" dataDxfId="114"/>
    <tableColumn id="10" name="price_st" dataDxfId="113"/>
    <tableColumn id="11" name="vol" dataDxfId="112"/>
    <tableColumn id="12" name="param_senario1" dataDxfId="111"/>
    <tableColumn id="13" name="param_senario2" dataDxfId="110"/>
    <tableColumn id="14" name="param_senario3" dataDxfId="109"/>
    <tableColumn id="15" name="param_senario4" dataDxfId="108"/>
    <tableColumn id="16" name="param_senario5" dataDxfId="107"/>
    <tableColumn id="17" name="param_senario6" dataDxfId="106"/>
    <tableColumn id="18" name="param_senario7" dataDxfId="105"/>
    <tableColumn id="19" name="param_senario8" dataDxfId="104"/>
    <tableColumn id="20" name="param_senario9" dataDxfId="103"/>
    <tableColumn id="21" name="param_senario10" dataDxfId="102"/>
    <tableColumn id="22" name="param_senario11" dataDxfId="101"/>
    <tableColumn id="23" name="param_senario12" dataDxfId="100"/>
    <tableColumn id="24" name="param_senario13" dataDxfId="99"/>
    <tableColumn id="39" name="vol_ref" dataDxfId="98"/>
    <tableColumn id="40" name="vol_adj" dataDxfId="97"/>
    <tableColumn id="25" name="senario1" dataDxfId="96" totalsRowDxfId="95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  <tableColumn id="44" name="ST" dataDxfId="70" totalsRow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68" dataDxfId="67">
  <autoFilter ref="B8:N47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V29"/>
  <sheetViews>
    <sheetView tabSelected="1" topLeftCell="M1" zoomScaleNormal="100" workbookViewId="0">
      <selection activeCell="AV9" sqref="AV9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8">
      <c r="B3" s="6" t="s">
        <v>32</v>
      </c>
    </row>
    <row r="4" spans="1:48">
      <c r="B4" s="7">
        <f ca="1">TODAY()</f>
        <v>43202</v>
      </c>
      <c r="AE4" s="8"/>
    </row>
    <row r="6" spans="1:48">
      <c r="A6" s="6" t="s">
        <v>169</v>
      </c>
      <c r="B6" s="6" t="s">
        <v>159</v>
      </c>
      <c r="C6" s="6" t="s">
        <v>74</v>
      </c>
      <c r="D6" s="6" t="s">
        <v>140</v>
      </c>
      <c r="E6" s="6" t="s">
        <v>66</v>
      </c>
      <c r="F6" s="6" t="s">
        <v>9</v>
      </c>
      <c r="G6" s="6" t="s">
        <v>86</v>
      </c>
      <c r="H6" s="6" t="s">
        <v>68</v>
      </c>
      <c r="I6" s="6" t="s">
        <v>82</v>
      </c>
      <c r="J6" s="6" t="s">
        <v>72</v>
      </c>
      <c r="K6" s="6" t="s">
        <v>73</v>
      </c>
      <c r="L6" s="6" t="s">
        <v>4</v>
      </c>
      <c r="M6" s="6" t="s">
        <v>75</v>
      </c>
      <c r="N6" s="6" t="s">
        <v>65</v>
      </c>
      <c r="O6" s="6" t="s">
        <v>76</v>
      </c>
      <c r="P6" s="6" t="s">
        <v>0</v>
      </c>
      <c r="Q6" s="6" t="s">
        <v>42</v>
      </c>
      <c r="R6" s="6" t="s">
        <v>43</v>
      </c>
      <c r="S6" s="6" t="s">
        <v>44</v>
      </c>
      <c r="T6" s="6" t="s">
        <v>45</v>
      </c>
      <c r="U6" s="6" t="s">
        <v>46</v>
      </c>
      <c r="V6" s="6" t="s">
        <v>47</v>
      </c>
      <c r="W6" s="6" t="s">
        <v>48</v>
      </c>
      <c r="X6" s="6" t="s">
        <v>49</v>
      </c>
      <c r="Y6" s="6" t="s">
        <v>50</v>
      </c>
      <c r="Z6" s="6" t="s">
        <v>51</v>
      </c>
      <c r="AA6" s="6" t="s">
        <v>52</v>
      </c>
      <c r="AB6" s="6" t="s">
        <v>53</v>
      </c>
      <c r="AC6" s="6" t="s">
        <v>54</v>
      </c>
      <c r="AD6" s="6" t="s">
        <v>84</v>
      </c>
      <c r="AE6" s="6" t="s">
        <v>85</v>
      </c>
      <c r="AF6" s="6" t="s">
        <v>33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  <c r="AS6" s="9" t="s">
        <v>188</v>
      </c>
      <c r="AT6" s="6" t="s">
        <v>187</v>
      </c>
    </row>
    <row r="7" spans="1:48" ht="15" customHeight="1">
      <c r="B7" s="9" t="s">
        <v>59</v>
      </c>
      <c r="C7" s="9" t="s">
        <v>89</v>
      </c>
      <c r="D7" s="9" t="s">
        <v>141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43140</v>
      </c>
      <c r="J7" s="9">
        <v>-275000.00800000003</v>
      </c>
      <c r="K7" s="9" t="s">
        <v>5</v>
      </c>
      <c r="L7" s="9" t="s">
        <v>57</v>
      </c>
      <c r="M7" s="9" t="s">
        <v>55</v>
      </c>
      <c r="N7" s="9">
        <v>5000</v>
      </c>
      <c r="O7" s="9">
        <v>3419</v>
      </c>
      <c r="P7" s="9">
        <v>0.18</v>
      </c>
      <c r="Q7" s="9" t="s">
        <v>139</v>
      </c>
      <c r="R7" s="9" t="s">
        <v>174</v>
      </c>
      <c r="S7" s="9" t="s">
        <v>175</v>
      </c>
      <c r="T7" s="9" t="s">
        <v>176</v>
      </c>
      <c r="U7" s="9" t="s">
        <v>177</v>
      </c>
      <c r="V7" s="9" t="s">
        <v>178</v>
      </c>
      <c r="W7" s="9" t="s">
        <v>179</v>
      </c>
      <c r="X7" s="9" t="s">
        <v>180</v>
      </c>
      <c r="Y7" s="9" t="s">
        <v>181</v>
      </c>
      <c r="Z7" s="9" t="s">
        <v>182</v>
      </c>
      <c r="AA7" s="9" t="s">
        <v>183</v>
      </c>
      <c r="AB7" s="9" t="s">
        <v>184</v>
      </c>
      <c r="AC7" s="9" t="s">
        <v>185</v>
      </c>
      <c r="AD7" s="9">
        <v>0.125</v>
      </c>
      <c r="AE7" s="10">
        <v>0.33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1493913.440839214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1009389.9335948162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632784.38739591953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355007.06723696779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2048216.8392145662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2624139.2434598915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3232561.4384566671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406697.71720052254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303817.29378737701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3234587.2435818505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3231552.0583564844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12274.161869605201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1764477.8431577769</v>
      </c>
      <c r="AS7" s="8"/>
      <c r="AT7" s="6">
        <f ca="1">tbl_senario[[#This Row],[senario1]]/tbl_senario[[#This Row],[qty]]</f>
        <v>298.78268816784282</v>
      </c>
    </row>
    <row r="8" spans="1:48">
      <c r="B8" s="9" t="s">
        <v>60</v>
      </c>
      <c r="C8" s="9" t="s">
        <v>89</v>
      </c>
      <c r="D8" s="9" t="s">
        <v>141</v>
      </c>
      <c r="E8" s="9">
        <v>1000</v>
      </c>
      <c r="F8" s="9">
        <v>3720.0000015999999</v>
      </c>
      <c r="G8" s="7">
        <v>43140</v>
      </c>
      <c r="H8" s="7">
        <v>43203.625</v>
      </c>
      <c r="I8" s="7">
        <v>43140</v>
      </c>
      <c r="J8" s="9">
        <v>-499999.99575</v>
      </c>
      <c r="K8" s="9" t="s">
        <v>5</v>
      </c>
      <c r="L8" s="9" t="s">
        <v>57</v>
      </c>
      <c r="M8" s="9" t="s">
        <v>55</v>
      </c>
      <c r="N8" s="9">
        <v>10000</v>
      </c>
      <c r="O8" s="9">
        <v>3405</v>
      </c>
      <c r="P8" s="9">
        <v>0.18</v>
      </c>
      <c r="Q8" s="9" t="s">
        <v>139</v>
      </c>
      <c r="R8" s="9" t="s">
        <v>174</v>
      </c>
      <c r="S8" s="9" t="s">
        <v>175</v>
      </c>
      <c r="T8" s="9" t="s">
        <v>176</v>
      </c>
      <c r="U8" s="9" t="s">
        <v>177</v>
      </c>
      <c r="V8" s="9" t="s">
        <v>178</v>
      </c>
      <c r="W8" s="9" t="s">
        <v>179</v>
      </c>
      <c r="X8" s="9" t="s">
        <v>180</v>
      </c>
      <c r="Y8" s="9" t="s">
        <v>181</v>
      </c>
      <c r="Z8" s="9" t="s">
        <v>182</v>
      </c>
      <c r="AA8" s="9" t="s">
        <v>183</v>
      </c>
      <c r="AB8" s="9" t="s">
        <v>184</v>
      </c>
      <c r="AC8" s="9" t="s">
        <v>185</v>
      </c>
      <c r="AD8" s="9">
        <v>0.125</v>
      </c>
      <c r="AE8" s="10">
        <v>0.33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3149724.7101495145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1926120.5065169432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813357.209306548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139429.96647697172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4375410.408162185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5567054.2973151477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6792745.1555989236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167379.990679885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112471.44060281031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6792745.1555989236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6792745.1555989236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5.9516606520363967E-2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3640603.327857628</v>
      </c>
      <c r="AS8" s="8"/>
      <c r="AT8" s="6">
        <f ca="1">tbl_senario[[#This Row],[senario1]]/tbl_senario[[#This Row],[qty]]</f>
        <v>314.97247101495145</v>
      </c>
      <c r="AU8" s="6">
        <f>tbl_senario[[#This Row],[price_st]]-tbl_senario[[#This Row],[k]]</f>
        <v>-315.00000159999991</v>
      </c>
      <c r="AV8" s="6">
        <f>tbl_senario[[#This Row],[k]]-tbl_senario[[#This Row],[price_st]]</f>
        <v>315.00000159999991</v>
      </c>
    </row>
    <row r="9" spans="1:48">
      <c r="B9" s="9" t="s">
        <v>61</v>
      </c>
      <c r="C9" s="9" t="s">
        <v>89</v>
      </c>
      <c r="D9" s="9" t="s">
        <v>141</v>
      </c>
      <c r="E9" s="9">
        <v>1000</v>
      </c>
      <c r="F9" s="9">
        <v>3650.00000142</v>
      </c>
      <c r="G9" s="7">
        <v>43132</v>
      </c>
      <c r="H9" s="7">
        <v>43203.625</v>
      </c>
      <c r="I9" s="7">
        <v>43132</v>
      </c>
      <c r="J9" s="9">
        <v>-429999.99489999999</v>
      </c>
      <c r="K9" s="9" t="s">
        <v>5</v>
      </c>
      <c r="L9" s="9" t="s">
        <v>57</v>
      </c>
      <c r="M9" s="9" t="s">
        <v>55</v>
      </c>
      <c r="N9" s="9">
        <v>10000</v>
      </c>
      <c r="O9" s="9">
        <v>3404</v>
      </c>
      <c r="P9" s="9">
        <v>0.18</v>
      </c>
      <c r="Q9" s="9" t="s">
        <v>139</v>
      </c>
      <c r="R9" s="9" t="s">
        <v>174</v>
      </c>
      <c r="S9" s="9" t="s">
        <v>175</v>
      </c>
      <c r="T9" s="9" t="s">
        <v>176</v>
      </c>
      <c r="U9" s="9" t="s">
        <v>177</v>
      </c>
      <c r="V9" s="9" t="s">
        <v>178</v>
      </c>
      <c r="W9" s="9" t="s">
        <v>179</v>
      </c>
      <c r="X9" s="9" t="s">
        <v>180</v>
      </c>
      <c r="Y9" s="9" t="s">
        <v>181</v>
      </c>
      <c r="Z9" s="9" t="s">
        <v>182</v>
      </c>
      <c r="AA9" s="9" t="s">
        <v>183</v>
      </c>
      <c r="AB9" s="9" t="s">
        <v>184</v>
      </c>
      <c r="AC9" s="9" t="s">
        <v>185</v>
      </c>
      <c r="AD9" s="9">
        <v>0.125</v>
      </c>
      <c r="AE9" s="10">
        <v>0.33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2459942.2336459248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1254484.9986379943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342440.75279493374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26927.189713176511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3685111.971092735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4876405.7943566767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6101736.6846897928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39507.428208590027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16735.673503635287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6101736.6846897956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6101736.6846897928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5.385356144037974E-4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3398379.396072207</v>
      </c>
      <c r="AS9" s="8">
        <v>3450</v>
      </c>
      <c r="AT9" s="6">
        <f ca="1">tbl_senario[[#This Row],[senario1]]/tbl_senario[[#This Row],[qty]]</f>
        <v>245.99422336459247</v>
      </c>
      <c r="AU9" s="6">
        <f>tbl_senario[[#This Row],[price_st]]-tbl_senario[[#This Row],[k]]</f>
        <v>-246.00000141999999</v>
      </c>
    </row>
    <row r="10" spans="1:48">
      <c r="B10" s="9" t="s">
        <v>61</v>
      </c>
      <c r="C10" s="9" t="s">
        <v>89</v>
      </c>
      <c r="D10" s="9" t="s">
        <v>141</v>
      </c>
      <c r="E10" s="9">
        <v>1000</v>
      </c>
      <c r="F10" s="9">
        <v>3650.00000142</v>
      </c>
      <c r="G10" s="7">
        <v>43132</v>
      </c>
      <c r="H10" s="7">
        <v>43203.625</v>
      </c>
      <c r="I10" s="7">
        <v>43132</v>
      </c>
      <c r="J10" s="9">
        <v>-429999.99489999999</v>
      </c>
      <c r="K10" s="9" t="s">
        <v>5</v>
      </c>
      <c r="L10" s="9" t="s">
        <v>57</v>
      </c>
      <c r="M10" s="9" t="s">
        <v>55</v>
      </c>
      <c r="N10" s="9">
        <v>10000</v>
      </c>
      <c r="O10" s="9">
        <v>3455</v>
      </c>
      <c r="P10" s="9">
        <v>0.18</v>
      </c>
      <c r="Q10" s="9" t="s">
        <v>139</v>
      </c>
      <c r="R10" s="9" t="s">
        <v>174</v>
      </c>
      <c r="S10" s="9" t="s">
        <v>175</v>
      </c>
      <c r="T10" s="9" t="s">
        <v>176</v>
      </c>
      <c r="U10" s="9" t="s">
        <v>177</v>
      </c>
      <c r="V10" s="9" t="s">
        <v>178</v>
      </c>
      <c r="W10" s="9" t="s">
        <v>179</v>
      </c>
      <c r="X10" s="9" t="s">
        <v>180</v>
      </c>
      <c r="Y10" s="9" t="s">
        <v>181</v>
      </c>
      <c r="Z10" s="9" t="s">
        <v>182</v>
      </c>
      <c r="AA10" s="9" t="s">
        <v>183</v>
      </c>
      <c r="AB10" s="9" t="s">
        <v>184</v>
      </c>
      <c r="AC10" s="9" t="s">
        <v>185</v>
      </c>
      <c r="AD10" s="9">
        <v>0.125</v>
      </c>
      <c r="AE10" s="10">
        <v>0.33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1951424.9323659444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787933.17649332678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131732.44065919082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4990.2722153384411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3193518.331069211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4402657.9795782454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5646347.2348707477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9246.0540472902921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2276.9854663787942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5646347.2348709721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5646347.2348707486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7.9586948340232386E-6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3257912.4039639719</v>
      </c>
      <c r="AS10" s="8">
        <v>3455</v>
      </c>
      <c r="AT10" s="6">
        <f ca="1">tbl_senario[[#This Row],[senario1]]/tbl_senario[[#This Row],[qty]]</f>
        <v>195.14249323659445</v>
      </c>
    </row>
    <row r="11" spans="1:48">
      <c r="B11" s="9" t="s">
        <v>61</v>
      </c>
      <c r="C11" s="9" t="s">
        <v>89</v>
      </c>
      <c r="D11" s="9" t="s">
        <v>141</v>
      </c>
      <c r="E11" s="9">
        <v>1000</v>
      </c>
      <c r="F11" s="9">
        <v>3650.00000142</v>
      </c>
      <c r="G11" s="7">
        <v>43132</v>
      </c>
      <c r="H11" s="7">
        <v>43203.625</v>
      </c>
      <c r="I11" s="7">
        <v>43132</v>
      </c>
      <c r="J11" s="9">
        <v>-429999.99489999999</v>
      </c>
      <c r="K11" s="9" t="s">
        <v>5</v>
      </c>
      <c r="L11" s="9" t="s">
        <v>57</v>
      </c>
      <c r="M11" s="9" t="s">
        <v>55</v>
      </c>
      <c r="N11" s="9">
        <v>10000</v>
      </c>
      <c r="O11" s="9">
        <v>3460</v>
      </c>
      <c r="P11" s="9">
        <v>0.18</v>
      </c>
      <c r="Q11" s="9" t="s">
        <v>139</v>
      </c>
      <c r="R11" s="9" t="s">
        <v>174</v>
      </c>
      <c r="S11" s="9" t="s">
        <v>175</v>
      </c>
      <c r="T11" s="9" t="s">
        <v>176</v>
      </c>
      <c r="U11" s="9" t="s">
        <v>177</v>
      </c>
      <c r="V11" s="9" t="s">
        <v>178</v>
      </c>
      <c r="W11" s="9" t="s">
        <v>179</v>
      </c>
      <c r="X11" s="9" t="s">
        <v>180</v>
      </c>
      <c r="Y11" s="9" t="s">
        <v>181</v>
      </c>
      <c r="Z11" s="9" t="s">
        <v>182</v>
      </c>
      <c r="AA11" s="9" t="s">
        <v>183</v>
      </c>
      <c r="AB11" s="9" t="s">
        <v>184</v>
      </c>
      <c r="AC11" s="9" t="s">
        <v>185</v>
      </c>
      <c r="AD11" s="9">
        <v>0.125</v>
      </c>
      <c r="AE11" s="10">
        <v>0.33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1901787.2486640988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746472.47573535272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118190.81822139671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4152.7559034110791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3145323.5594894495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4356212.1155132549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5601701.2103786906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7900.2729742644615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1829.3419635486127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5601701.2103790278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5601701.210378685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5.1611653022024099E-6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3244141.1302278698</v>
      </c>
      <c r="AS11" s="8">
        <v>3460</v>
      </c>
      <c r="AT11" s="6">
        <f ca="1">tbl_senario[[#This Row],[senario1]]/tbl_senario[[#This Row],[qty]]</f>
        <v>190.17872486640988</v>
      </c>
    </row>
    <row r="12" spans="1:48">
      <c r="AT12" s="29"/>
    </row>
    <row r="18" spans="45:46">
      <c r="AT18" s="29"/>
    </row>
    <row r="27" spans="45:46">
      <c r="AS27" s="37"/>
    </row>
    <row r="28" spans="45:46">
      <c r="AS28" s="37"/>
    </row>
    <row r="29" spans="45:46">
      <c r="AS29" s="3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1"/>
  <sheetViews>
    <sheetView zoomScale="85" zoomScaleNormal="85" workbookViewId="0">
      <selection activeCell="B25" sqref="B25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150</v>
      </c>
      <c r="C8" s="16" t="s">
        <v>66</v>
      </c>
      <c r="D8" s="16" t="s">
        <v>67</v>
      </c>
      <c r="E8" s="17" t="s">
        <v>68</v>
      </c>
      <c r="F8" s="16" t="s">
        <v>69</v>
      </c>
      <c r="G8" s="16" t="s">
        <v>70</v>
      </c>
      <c r="H8" s="16" t="s">
        <v>71</v>
      </c>
      <c r="I8" s="16" t="s">
        <v>72</v>
      </c>
      <c r="J8" s="16" t="s">
        <v>73</v>
      </c>
      <c r="K8" s="16" t="s">
        <v>140</v>
      </c>
      <c r="L8" s="16" t="s">
        <v>4</v>
      </c>
      <c r="M8" s="16" t="s">
        <v>74</v>
      </c>
      <c r="N8" s="18" t="s">
        <v>84</v>
      </c>
    </row>
    <row r="9" spans="2:14">
      <c r="B9" s="18"/>
      <c r="C9" s="18"/>
      <c r="D9" s="19"/>
      <c r="E9" s="19"/>
      <c r="F9" s="19"/>
      <c r="G9" s="19"/>
      <c r="H9" s="20"/>
      <c r="I9" s="20"/>
      <c r="J9" s="18"/>
      <c r="K9" s="18"/>
      <c r="L9" s="18"/>
      <c r="M9" s="18"/>
      <c r="N9" s="18"/>
    </row>
    <row r="10" spans="2:14">
      <c r="B10" s="18" t="s">
        <v>59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5</v>
      </c>
      <c r="K10" s="18" t="s">
        <v>87</v>
      </c>
      <c r="L10" s="18" t="s">
        <v>57</v>
      </c>
      <c r="M10" s="18" t="s">
        <v>88</v>
      </c>
      <c r="N10" s="18">
        <v>0.125</v>
      </c>
    </row>
    <row r="11" spans="2:14">
      <c r="B11" s="18" t="s">
        <v>60</v>
      </c>
      <c r="C11" s="18">
        <v>1000</v>
      </c>
      <c r="D11" s="19">
        <v>43140</v>
      </c>
      <c r="E11" s="19">
        <v>43203.625</v>
      </c>
      <c r="F11" s="19">
        <v>43203</v>
      </c>
      <c r="G11" s="19">
        <v>43203.625</v>
      </c>
      <c r="H11" s="20">
        <v>3720.0000015999999</v>
      </c>
      <c r="I11" s="20">
        <v>-499999.99575</v>
      </c>
      <c r="J11" s="18" t="s">
        <v>5</v>
      </c>
      <c r="K11" s="18" t="s">
        <v>87</v>
      </c>
      <c r="L11" s="18" t="s">
        <v>57</v>
      </c>
      <c r="M11" s="18" t="s">
        <v>89</v>
      </c>
      <c r="N11" s="18">
        <v>0.125</v>
      </c>
    </row>
    <row r="12" spans="2:14">
      <c r="B12" s="18" t="s">
        <v>61</v>
      </c>
      <c r="C12" s="18">
        <v>1000</v>
      </c>
      <c r="D12" s="19">
        <v>43132</v>
      </c>
      <c r="E12" s="19">
        <v>43203.625</v>
      </c>
      <c r="F12" s="19">
        <v>43203</v>
      </c>
      <c r="G12" s="19">
        <v>43203.625</v>
      </c>
      <c r="H12" s="18">
        <v>3650.00000142</v>
      </c>
      <c r="I12" s="18">
        <v>-429999.99489999999</v>
      </c>
      <c r="J12" s="18" t="s">
        <v>5</v>
      </c>
      <c r="K12" s="18" t="s">
        <v>87</v>
      </c>
      <c r="L12" s="18" t="s">
        <v>57</v>
      </c>
      <c r="M12" s="18" t="s">
        <v>89</v>
      </c>
      <c r="N12" s="18">
        <v>0.125</v>
      </c>
    </row>
    <row r="13" spans="2:14">
      <c r="B13" s="18" t="s">
        <v>61</v>
      </c>
      <c r="C13" s="18">
        <v>1000</v>
      </c>
      <c r="D13" s="19">
        <v>43132</v>
      </c>
      <c r="E13" s="19">
        <v>43203.625</v>
      </c>
      <c r="F13" s="19">
        <v>43203</v>
      </c>
      <c r="G13" s="19">
        <v>43203.625</v>
      </c>
      <c r="H13" s="18">
        <v>3650.00000142</v>
      </c>
      <c r="I13" s="18">
        <v>-429999.99489999999</v>
      </c>
      <c r="J13" s="18" t="s">
        <v>5</v>
      </c>
      <c r="K13" s="18" t="s">
        <v>87</v>
      </c>
      <c r="L13" s="18" t="s">
        <v>57</v>
      </c>
      <c r="M13" s="18" t="s">
        <v>89</v>
      </c>
      <c r="N13" s="18">
        <v>0.125</v>
      </c>
    </row>
    <row r="14" spans="2:14">
      <c r="B14" s="18" t="s">
        <v>61</v>
      </c>
      <c r="C14" s="18">
        <v>1000</v>
      </c>
      <c r="D14" s="19">
        <v>43132</v>
      </c>
      <c r="E14" s="19">
        <v>43203.625</v>
      </c>
      <c r="F14" s="19">
        <v>43203</v>
      </c>
      <c r="G14" s="19">
        <v>43203.625</v>
      </c>
      <c r="H14" s="18">
        <v>3650.00000142</v>
      </c>
      <c r="I14" s="18">
        <v>-429999.99489999999</v>
      </c>
      <c r="J14" s="18" t="s">
        <v>5</v>
      </c>
      <c r="K14" s="18" t="s">
        <v>87</v>
      </c>
      <c r="L14" s="18" t="s">
        <v>57</v>
      </c>
      <c r="M14" s="18" t="s">
        <v>89</v>
      </c>
      <c r="N14" s="18">
        <v>0.125</v>
      </c>
    </row>
    <row r="15" spans="2:14">
      <c r="B15" s="18" t="s">
        <v>62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5</v>
      </c>
      <c r="K15" s="18" t="s">
        <v>87</v>
      </c>
      <c r="L15" s="18" t="s">
        <v>57</v>
      </c>
      <c r="M15" s="18" t="s">
        <v>89</v>
      </c>
      <c r="N15" s="18">
        <v>0.125</v>
      </c>
    </row>
    <row r="16" spans="2:14">
      <c r="B16" s="18"/>
      <c r="C16" s="18"/>
      <c r="D16" s="19"/>
      <c r="E16" s="19"/>
      <c r="F16" s="19"/>
      <c r="G16" s="19"/>
      <c r="H16" s="18"/>
      <c r="I16" s="18"/>
      <c r="J16" s="18"/>
      <c r="K16" s="18"/>
      <c r="L16" s="18"/>
      <c r="M16" s="18"/>
      <c r="N16" s="18"/>
    </row>
    <row r="17" spans="2:14">
      <c r="B17" s="18" t="s">
        <v>63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5</v>
      </c>
      <c r="K17" s="18" t="s">
        <v>87</v>
      </c>
      <c r="L17" s="18" t="s">
        <v>57</v>
      </c>
      <c r="M17" s="18" t="s">
        <v>89</v>
      </c>
      <c r="N17" s="18">
        <v>0.125</v>
      </c>
    </row>
    <row r="18" spans="2:14">
      <c r="B18" s="18"/>
      <c r="C18" s="18"/>
      <c r="D18" s="19"/>
      <c r="E18" s="19"/>
      <c r="F18" s="19"/>
      <c r="G18" s="19"/>
      <c r="H18" s="18"/>
      <c r="I18" s="18"/>
      <c r="J18" s="18"/>
      <c r="K18" s="18"/>
      <c r="L18" s="18"/>
      <c r="M18" s="18"/>
      <c r="N18" s="18"/>
    </row>
    <row r="19" spans="2:14">
      <c r="B19" s="18"/>
      <c r="C19" s="18"/>
      <c r="D19" s="19"/>
      <c r="E19" s="19"/>
      <c r="F19" s="19"/>
      <c r="G19" s="19"/>
      <c r="H19" s="18"/>
      <c r="I19" s="18"/>
      <c r="J19" s="18"/>
      <c r="K19" s="18"/>
      <c r="L19" s="18"/>
      <c r="M19" s="18"/>
      <c r="N19" s="18"/>
    </row>
    <row r="20" spans="2:14">
      <c r="B20" s="18"/>
      <c r="C20" s="18"/>
      <c r="D20" s="19"/>
      <c r="E20" s="19"/>
      <c r="F20" s="19"/>
      <c r="G20" s="19"/>
      <c r="H20" s="18"/>
      <c r="I20" s="18"/>
      <c r="J20" s="18"/>
      <c r="K20" s="18"/>
      <c r="L20" s="18"/>
      <c r="M20" s="18"/>
      <c r="N20" s="18"/>
    </row>
    <row r="21" spans="2:14">
      <c r="B21" s="18"/>
      <c r="C21" s="18"/>
      <c r="D21" s="19"/>
      <c r="E21" s="19"/>
      <c r="F21" s="19"/>
      <c r="G21" s="19"/>
      <c r="H21" s="18"/>
      <c r="I21" s="18"/>
      <c r="J21" s="18"/>
      <c r="K21" s="18"/>
      <c r="L21" s="18"/>
      <c r="M21" s="18"/>
      <c r="N21" s="18"/>
    </row>
    <row r="22" spans="2:14">
      <c r="B22" s="18"/>
      <c r="C22" s="18"/>
      <c r="D22" s="19"/>
      <c r="E22" s="19"/>
      <c r="F22" s="19"/>
      <c r="G22" s="19"/>
      <c r="H22" s="18"/>
      <c r="I22" s="18"/>
      <c r="J22" s="18"/>
      <c r="K22" s="18"/>
      <c r="L22" s="18"/>
      <c r="M22" s="18"/>
      <c r="N22" s="18"/>
    </row>
    <row r="23" spans="2:14">
      <c r="B23" s="18"/>
      <c r="C23" s="18"/>
      <c r="D23" s="19"/>
      <c r="E23" s="19"/>
      <c r="F23" s="19"/>
      <c r="G23" s="19"/>
      <c r="H23" s="18"/>
      <c r="I23" s="18"/>
      <c r="J23" s="18"/>
      <c r="K23" s="18"/>
      <c r="L23" s="18"/>
      <c r="M23" s="18"/>
      <c r="N23" s="18"/>
    </row>
    <row r="24" spans="2:14">
      <c r="B24" s="18"/>
      <c r="C24" s="18"/>
      <c r="D24" s="19"/>
      <c r="E24" s="19"/>
      <c r="F24" s="19"/>
      <c r="G24" s="19"/>
      <c r="H24" s="18"/>
      <c r="I24" s="18"/>
      <c r="J24" s="18"/>
      <c r="K24" s="18"/>
      <c r="L24" s="18"/>
      <c r="M24" s="18"/>
      <c r="N24" s="18"/>
    </row>
    <row r="25" spans="2:14">
      <c r="B25" s="18"/>
      <c r="C25" s="18"/>
      <c r="D25" s="19"/>
      <c r="E25" s="19"/>
      <c r="F25" s="19"/>
      <c r="G25" s="19"/>
      <c r="H25" s="18"/>
      <c r="I25" s="18"/>
      <c r="J25" s="18"/>
      <c r="K25" s="18"/>
      <c r="L25" s="18"/>
      <c r="M25" s="18"/>
      <c r="N25" s="18"/>
    </row>
    <row r="26" spans="2:14">
      <c r="B26" s="18"/>
      <c r="C26" s="18"/>
      <c r="D26" s="19"/>
      <c r="E26" s="19"/>
      <c r="F26" s="19"/>
      <c r="G26" s="19"/>
      <c r="H26" s="18"/>
      <c r="I26" s="18"/>
      <c r="J26" s="18"/>
      <c r="K26" s="18"/>
      <c r="L26" s="18"/>
      <c r="M26" s="18"/>
      <c r="N26" s="18"/>
    </row>
    <row r="27" spans="2:14">
      <c r="B27" s="18"/>
      <c r="C27" s="18"/>
      <c r="D27" s="19"/>
      <c r="E27" s="19"/>
      <c r="F27" s="19"/>
      <c r="G27" s="19"/>
      <c r="H27" s="18"/>
      <c r="I27" s="18"/>
      <c r="J27" s="18"/>
      <c r="K27" s="18"/>
      <c r="L27" s="18"/>
      <c r="M27" s="18"/>
      <c r="N27" s="18"/>
    </row>
    <row r="28" spans="2:14">
      <c r="B28" s="18"/>
      <c r="C28" s="18"/>
      <c r="D28" s="19"/>
      <c r="E28" s="19"/>
      <c r="F28" s="19"/>
      <c r="G28" s="19"/>
      <c r="H28" s="18"/>
      <c r="I28" s="18"/>
      <c r="J28" s="18"/>
      <c r="K28" s="18"/>
      <c r="L28" s="18"/>
      <c r="M28" s="18"/>
      <c r="N28" s="18"/>
    </row>
    <row r="29" spans="2:14">
      <c r="B29" s="18"/>
      <c r="C29" s="18"/>
      <c r="D29" s="19"/>
      <c r="E29" s="19"/>
      <c r="F29" s="19"/>
      <c r="G29" s="19"/>
      <c r="H29" s="18"/>
      <c r="I29" s="18"/>
      <c r="J29" s="18"/>
      <c r="K29" s="18"/>
      <c r="L29" s="18"/>
      <c r="M29" s="18"/>
      <c r="N29" s="18"/>
    </row>
    <row r="30" spans="2:14">
      <c r="B30" s="18"/>
      <c r="C30" s="18"/>
      <c r="D30" s="19"/>
      <c r="E30" s="19"/>
      <c r="F30" s="19"/>
      <c r="G30" s="19"/>
      <c r="H30" s="18"/>
      <c r="I30" s="18"/>
      <c r="J30" s="18"/>
      <c r="K30" s="18"/>
      <c r="L30" s="18"/>
      <c r="M30" s="18"/>
      <c r="N30" s="18"/>
    </row>
    <row r="31" spans="2:14">
      <c r="B31" s="18"/>
      <c r="C31" s="18"/>
      <c r="D31" s="19"/>
      <c r="E31" s="19"/>
      <c r="F31" s="19"/>
      <c r="G31" s="19"/>
      <c r="H31" s="20"/>
      <c r="I31" s="20"/>
      <c r="J31" s="18"/>
      <c r="K31" s="18"/>
      <c r="L31" s="18"/>
      <c r="M31" s="18"/>
      <c r="N31" s="18"/>
    </row>
    <row r="32" spans="2:14">
      <c r="B32" s="18"/>
      <c r="C32" s="18"/>
      <c r="D32" s="19"/>
      <c r="E32" s="19"/>
      <c r="F32" s="19"/>
      <c r="G32" s="19"/>
      <c r="H32" s="20"/>
      <c r="I32" s="20"/>
      <c r="J32" s="18"/>
      <c r="K32" s="18"/>
      <c r="L32" s="18"/>
      <c r="M32" s="18"/>
      <c r="N32" s="18"/>
    </row>
    <row r="33" spans="2:14">
      <c r="B33" s="18"/>
      <c r="C33" s="18"/>
      <c r="D33" s="19"/>
      <c r="E33" s="19"/>
      <c r="F33" s="19"/>
      <c r="G33" s="19"/>
      <c r="H33" s="20"/>
      <c r="I33" s="20"/>
      <c r="J33" s="18"/>
      <c r="K33" s="18"/>
      <c r="L33" s="18"/>
      <c r="M33" s="18"/>
      <c r="N33" s="18"/>
    </row>
    <row r="34" spans="2:14">
      <c r="B34" s="18"/>
      <c r="C34" s="18"/>
      <c r="D34" s="19"/>
      <c r="E34" s="19"/>
      <c r="F34" s="19"/>
      <c r="G34" s="19"/>
      <c r="H34" s="20"/>
      <c r="I34" s="20"/>
      <c r="J34" s="18"/>
      <c r="K34" s="18"/>
      <c r="L34" s="18"/>
      <c r="M34" s="18"/>
      <c r="N34" s="18"/>
    </row>
    <row r="35" spans="2:14">
      <c r="B35" s="18"/>
      <c r="C35" s="18"/>
      <c r="D35" s="19"/>
      <c r="E35" s="19"/>
      <c r="F35" s="19"/>
      <c r="G35" s="19"/>
      <c r="H35" s="20"/>
      <c r="I35" s="20"/>
      <c r="J35" s="18"/>
      <c r="K35" s="18"/>
      <c r="L35" s="18"/>
      <c r="M35" s="18"/>
      <c r="N35" s="18"/>
    </row>
    <row r="36" spans="2:14">
      <c r="B36" s="18"/>
      <c r="C36" s="18"/>
      <c r="D36" s="19"/>
      <c r="E36" s="19"/>
      <c r="F36" s="19"/>
      <c r="G36" s="19"/>
      <c r="H36" s="20"/>
      <c r="I36" s="20"/>
      <c r="J36" s="18"/>
      <c r="K36" s="18"/>
      <c r="L36" s="18"/>
      <c r="M36" s="18"/>
      <c r="N36" s="18"/>
    </row>
    <row r="37" spans="2:14">
      <c r="B37" s="18"/>
      <c r="C37" s="18"/>
      <c r="D37" s="19"/>
      <c r="E37" s="19"/>
      <c r="F37" s="19"/>
      <c r="G37" s="19"/>
      <c r="H37" s="27"/>
      <c r="I37" s="20"/>
      <c r="J37" s="18"/>
      <c r="K37" s="18"/>
      <c r="L37" s="18"/>
      <c r="M37" s="18"/>
      <c r="N37" s="18"/>
    </row>
    <row r="38" spans="2:14">
      <c r="B38" s="18"/>
      <c r="C38" s="18"/>
      <c r="D38" s="19"/>
      <c r="E38" s="19"/>
      <c r="F38" s="19"/>
      <c r="G38" s="19"/>
      <c r="H38" s="18"/>
      <c r="I38" s="18"/>
      <c r="J38" s="18"/>
      <c r="K38" s="18"/>
      <c r="L38" s="18"/>
      <c r="M38" s="18"/>
      <c r="N38" s="18"/>
    </row>
    <row r="39" spans="2:14" ht="13.5">
      <c r="B39" s="18"/>
      <c r="C39" s="33"/>
      <c r="D39" s="31"/>
      <c r="E39" s="19"/>
      <c r="F39" s="19"/>
      <c r="G39" s="19"/>
      <c r="H39" s="30"/>
      <c r="I39" s="18"/>
      <c r="J39"/>
      <c r="K39" s="18"/>
      <c r="L39" s="18"/>
      <c r="M39" s="18"/>
      <c r="N39" s="18"/>
    </row>
    <row r="40" spans="2:14" ht="13.5">
      <c r="B40" s="18"/>
      <c r="C40" s="33"/>
      <c r="D40" s="31"/>
      <c r="E40" s="19"/>
      <c r="F40" s="19"/>
      <c r="G40" s="19"/>
      <c r="H40" s="30"/>
      <c r="I40" s="18"/>
      <c r="J40"/>
      <c r="K40" s="18"/>
      <c r="L40" s="18"/>
      <c r="M40" s="18"/>
      <c r="N40" s="18"/>
    </row>
    <row r="41" spans="2:14" ht="13.5">
      <c r="B41" s="18"/>
      <c r="C41" s="33"/>
      <c r="D41" s="31"/>
      <c r="E41" s="19"/>
      <c r="F41" s="19"/>
      <c r="G41" s="19"/>
      <c r="H41" s="30"/>
      <c r="I41" s="20"/>
      <c r="J41"/>
      <c r="K41" s="18"/>
      <c r="L41" s="18"/>
      <c r="M41" s="18"/>
      <c r="N41" s="18"/>
    </row>
    <row r="42" spans="2:14" ht="13.5">
      <c r="B42" s="18"/>
      <c r="C42" s="33"/>
      <c r="D42" s="31"/>
      <c r="E42" s="19"/>
      <c r="F42" s="19"/>
      <c r="G42" s="19"/>
      <c r="H42" s="30"/>
      <c r="I42" s="20"/>
      <c r="J42"/>
      <c r="K42" s="18"/>
      <c r="L42" s="18"/>
      <c r="M42" s="18"/>
      <c r="N42" s="18"/>
    </row>
    <row r="43" spans="2:14" ht="13.5">
      <c r="B43" s="18"/>
      <c r="C43" s="33"/>
      <c r="D43" s="31"/>
      <c r="E43" s="19"/>
      <c r="F43" s="19"/>
      <c r="G43" s="19"/>
      <c r="H43" s="30"/>
      <c r="I43" s="20"/>
      <c r="J43"/>
      <c r="K43" s="18"/>
      <c r="L43" s="18"/>
      <c r="M43" s="18"/>
      <c r="N43" s="18"/>
    </row>
    <row r="44" spans="2:14">
      <c r="B44" s="18"/>
      <c r="C44" s="18"/>
      <c r="D44" s="19"/>
      <c r="E44" s="19"/>
      <c r="F44" s="19"/>
      <c r="G44" s="19"/>
      <c r="H44" s="20"/>
      <c r="I44" s="20"/>
      <c r="J44" s="18"/>
      <c r="K44" s="18"/>
      <c r="L44" s="18"/>
      <c r="M44" s="18"/>
      <c r="N44" s="18"/>
    </row>
    <row r="45" spans="2:14" ht="12">
      <c r="B45" s="18"/>
      <c r="C45" s="34"/>
      <c r="D45" s="35"/>
      <c r="E45" s="35"/>
      <c r="F45" s="35"/>
      <c r="G45" s="35"/>
      <c r="H45" s="34"/>
      <c r="I45" s="20"/>
      <c r="J45" s="18"/>
      <c r="K45" s="18"/>
      <c r="L45" s="18"/>
      <c r="M45" s="34"/>
      <c r="N45" s="18"/>
    </row>
    <row r="46" spans="2:14" ht="12">
      <c r="B46" s="18"/>
      <c r="C46" s="34"/>
      <c r="D46" s="35"/>
      <c r="E46" s="35"/>
      <c r="F46" s="35"/>
      <c r="G46" s="35"/>
      <c r="H46" s="34"/>
      <c r="I46" s="18"/>
      <c r="J46" s="18"/>
      <c r="K46" s="18"/>
      <c r="L46" s="18"/>
      <c r="M46" s="34"/>
      <c r="N46" s="18"/>
    </row>
    <row r="47" spans="2:14" ht="12">
      <c r="B47" s="18"/>
      <c r="C47" s="18"/>
      <c r="D47" s="35"/>
      <c r="E47" s="35"/>
      <c r="F47" s="35"/>
      <c r="G47" s="35"/>
      <c r="H47" s="18"/>
      <c r="I47" s="36"/>
      <c r="J47" s="18"/>
      <c r="K47" s="18"/>
      <c r="L47" s="18"/>
      <c r="M47" s="18"/>
      <c r="N47" s="18"/>
    </row>
    <row r="48" spans="2:14">
      <c r="G48" s="32"/>
      <c r="I48" s="32"/>
    </row>
    <row r="49" spans="7:9">
      <c r="G49" s="32"/>
      <c r="I49" s="32"/>
    </row>
    <row r="50" spans="7:9">
      <c r="G50" s="32"/>
      <c r="I50" s="32"/>
    </row>
    <row r="51" spans="7:9">
      <c r="I51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J18" sqref="J18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8" t="s">
        <v>13</v>
      </c>
      <c r="C5" s="38"/>
      <c r="D5" s="38"/>
      <c r="E5" s="38"/>
      <c r="F5" s="38"/>
      <c r="G5" s="38"/>
      <c r="H5" s="38"/>
      <c r="I5" s="12"/>
    </row>
    <row r="6" spans="2:10">
      <c r="B6" s="1" t="s">
        <v>12</v>
      </c>
      <c r="C6" s="1" t="s">
        <v>77</v>
      </c>
      <c r="D6" s="1" t="s">
        <v>34</v>
      </c>
      <c r="E6" s="1" t="s">
        <v>79</v>
      </c>
      <c r="F6" s="1" t="s">
        <v>64</v>
      </c>
      <c r="G6" s="1" t="s">
        <v>0</v>
      </c>
      <c r="H6" s="1" t="s">
        <v>11</v>
      </c>
      <c r="I6" s="1" t="s">
        <v>149</v>
      </c>
      <c r="J6" s="1" t="s">
        <v>78</v>
      </c>
    </row>
    <row r="7" spans="2:10">
      <c r="B7" s="1" t="s">
        <v>36</v>
      </c>
      <c r="C7" s="1" t="s">
        <v>2</v>
      </c>
      <c r="D7" s="1" t="s">
        <v>35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43202</v>
      </c>
      <c r="J7" s="14">
        <f ca="1">[1]!s_dq_close(E7,I7,1)</f>
        <v>50950</v>
      </c>
    </row>
    <row r="8" spans="2:10">
      <c r="B8" s="1" t="s">
        <v>28</v>
      </c>
      <c r="C8" s="1" t="s">
        <v>7</v>
      </c>
      <c r="D8" s="1" t="s">
        <v>35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43202</v>
      </c>
      <c r="J8" s="14">
        <f ca="1">[1]!s_dq_close(E8,I8,1)</f>
        <v>14285</v>
      </c>
    </row>
    <row r="9" spans="2:10">
      <c r="B9" s="1" t="s">
        <v>29</v>
      </c>
      <c r="C9" s="1" t="s">
        <v>3</v>
      </c>
      <c r="D9" s="1" t="s">
        <v>35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43202</v>
      </c>
      <c r="J9" s="14">
        <f ca="1">[1]!s_dq_close(E9,I9,1)</f>
        <v>3655</v>
      </c>
    </row>
    <row r="10" spans="2:10">
      <c r="B10" s="1" t="s">
        <v>41</v>
      </c>
      <c r="C10" s="1" t="s">
        <v>39</v>
      </c>
      <c r="D10" s="1" t="s">
        <v>40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43202</v>
      </c>
      <c r="J10" s="14">
        <f ca="1">[1]!s_dq_close(E10,I10,1)</f>
        <v>9390</v>
      </c>
    </row>
    <row r="11" spans="2:10">
      <c r="B11" s="1" t="s">
        <v>58</v>
      </c>
      <c r="C11" s="1" t="s">
        <v>56</v>
      </c>
      <c r="D11" s="1" t="s">
        <v>35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43202</v>
      </c>
      <c r="J11" s="14">
        <f ca="1">[1]!s_dq_close(E11,I11,1)</f>
        <v>3395</v>
      </c>
    </row>
    <row r="12" spans="2:10">
      <c r="B12" s="1" t="s">
        <v>105</v>
      </c>
      <c r="C12" s="1" t="s">
        <v>106</v>
      </c>
      <c r="D12" s="1" t="s">
        <v>103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43202</v>
      </c>
      <c r="J12" s="14">
        <f ca="1">[1]!s_dq_close(E12,I12,1)</f>
        <v>3663</v>
      </c>
    </row>
    <row r="13" spans="2:10">
      <c r="B13" s="1" t="s">
        <v>102</v>
      </c>
      <c r="C13" s="1" t="s">
        <v>80</v>
      </c>
      <c r="D13" s="1" t="s">
        <v>81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43202</v>
      </c>
      <c r="J13" s="14">
        <f ca="1">[1]!s_dq_close(E13,I13,1)</f>
        <v>435.5</v>
      </c>
    </row>
    <row r="14" spans="2:10">
      <c r="B14" s="1" t="s">
        <v>95</v>
      </c>
      <c r="C14" s="1" t="s">
        <v>98</v>
      </c>
      <c r="D14" s="1" t="s">
        <v>103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43202</v>
      </c>
      <c r="J14" s="14">
        <f ca="1">[1]!s_dq_close(E14,I14,1)</f>
        <v>11085</v>
      </c>
    </row>
    <row r="15" spans="2:10">
      <c r="B15" s="1" t="s">
        <v>96</v>
      </c>
      <c r="C15" s="1" t="s">
        <v>100</v>
      </c>
      <c r="D15" s="1" t="s">
        <v>101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43202</v>
      </c>
      <c r="J15" s="14">
        <f ca="1">[1]!s_dq_close(E15,I15,1)</f>
        <v>1264.5</v>
      </c>
    </row>
    <row r="16" spans="2:10">
      <c r="B16" s="1" t="s">
        <v>143</v>
      </c>
      <c r="C16" s="1" t="s">
        <v>158</v>
      </c>
      <c r="D16" s="1" t="s">
        <v>142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43202</v>
      </c>
      <c r="J16" s="14">
        <f ca="1">[1]!s_dq_close(E16,I16,1)</f>
        <v>0</v>
      </c>
    </row>
    <row r="17" spans="2:10">
      <c r="B17" s="1" t="s">
        <v>144</v>
      </c>
      <c r="C17" s="1" t="s">
        <v>158</v>
      </c>
      <c r="D17" s="1" t="s">
        <v>142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43202</v>
      </c>
      <c r="J17" s="14">
        <f ca="1">[1]!s_dq_close(E17,I17,1)</f>
        <v>16.670000000000002</v>
      </c>
    </row>
    <row r="18" spans="2:10">
      <c r="B18" s="1" t="s">
        <v>147</v>
      </c>
      <c r="C18" s="1" t="s">
        <v>157</v>
      </c>
      <c r="D18" s="1" t="s">
        <v>148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43202</v>
      </c>
      <c r="J18" s="14">
        <f ca="1">[1]!s_dq_close(E18,I18,1)</f>
        <v>2248.5</v>
      </c>
    </row>
    <row r="19" spans="2:10">
      <c r="B19" s="1" t="s">
        <v>166</v>
      </c>
      <c r="C19" s="1" t="s">
        <v>167</v>
      </c>
      <c r="D19" s="1" t="s">
        <v>168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43202</v>
      </c>
      <c r="J19" s="14">
        <f ca="1">[1]!s_dq_close(E19,I19,1)</f>
        <v>6911.5</v>
      </c>
    </row>
    <row r="20" spans="2:10">
      <c r="B20" s="1" t="s">
        <v>170</v>
      </c>
      <c r="C20" s="1" t="s">
        <v>156</v>
      </c>
      <c r="D20" s="1" t="s">
        <v>142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43202</v>
      </c>
      <c r="J20" s="28">
        <f ca="1">[1]!s_dq_close(E20,I20,1)</f>
        <v>16.739999999999998</v>
      </c>
    </row>
    <row r="21" spans="2:10">
      <c r="B21" s="1" t="s">
        <v>186</v>
      </c>
      <c r="C21" s="1" t="s">
        <v>171</v>
      </c>
      <c r="D21" s="1" t="s">
        <v>172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43202</v>
      </c>
      <c r="J21" s="14">
        <f ca="1">[1]!s_dq_close(E21,I21,1)</f>
        <v>1376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9" t="s">
        <v>8</v>
      </c>
      <c r="C5" s="39"/>
      <c r="D5" s="39"/>
      <c r="E5" s="39"/>
      <c r="F5" s="39"/>
    </row>
    <row r="6" spans="2:42">
      <c r="B6" s="9" t="s">
        <v>146</v>
      </c>
      <c r="C6" s="9" t="s">
        <v>10</v>
      </c>
      <c r="D6" s="9" t="s">
        <v>9</v>
      </c>
      <c r="E6" s="9" t="s">
        <v>107</v>
      </c>
      <c r="F6" s="9" t="s">
        <v>6</v>
      </c>
      <c r="G6" s="9" t="s">
        <v>108</v>
      </c>
      <c r="H6" s="9" t="s">
        <v>109</v>
      </c>
      <c r="I6" s="9" t="s">
        <v>1</v>
      </c>
      <c r="J6" s="9" t="s">
        <v>99</v>
      </c>
      <c r="K6" s="9" t="s">
        <v>110</v>
      </c>
      <c r="L6" s="9" t="s">
        <v>111</v>
      </c>
      <c r="M6" s="9" t="s">
        <v>112</v>
      </c>
      <c r="N6" s="9" t="s">
        <v>55</v>
      </c>
      <c r="O6" s="9" t="s">
        <v>113</v>
      </c>
      <c r="P6" s="9" t="s">
        <v>114</v>
      </c>
      <c r="Q6" s="9" t="s">
        <v>115</v>
      </c>
      <c r="R6" s="9" t="s">
        <v>116</v>
      </c>
      <c r="S6" s="9" t="s">
        <v>5</v>
      </c>
      <c r="T6" s="9" t="s">
        <v>117</v>
      </c>
      <c r="U6" s="9" t="s">
        <v>118</v>
      </c>
      <c r="V6" s="9" t="s">
        <v>119</v>
      </c>
      <c r="W6" s="9" t="s">
        <v>120</v>
      </c>
      <c r="X6" s="9" t="s">
        <v>121</v>
      </c>
      <c r="Y6" s="9" t="s">
        <v>122</v>
      </c>
      <c r="Z6" s="9" t="s">
        <v>37</v>
      </c>
      <c r="AA6" s="9" t="s">
        <v>123</v>
      </c>
      <c r="AB6" s="9" t="s">
        <v>124</v>
      </c>
      <c r="AC6" s="9" t="s">
        <v>125</v>
      </c>
      <c r="AD6" s="9" t="s">
        <v>126</v>
      </c>
      <c r="AE6" s="9" t="s">
        <v>127</v>
      </c>
      <c r="AF6" s="9" t="s">
        <v>38</v>
      </c>
      <c r="AG6" s="9" t="s">
        <v>128</v>
      </c>
      <c r="AH6" s="9" t="s">
        <v>97</v>
      </c>
      <c r="AI6" s="9" t="s">
        <v>129</v>
      </c>
      <c r="AJ6" s="9" t="s">
        <v>151</v>
      </c>
      <c r="AK6" s="9" t="s">
        <v>152</v>
      </c>
      <c r="AL6" s="9" t="s">
        <v>153</v>
      </c>
      <c r="AM6" s="9" t="s">
        <v>154</v>
      </c>
      <c r="AN6" s="9" t="s">
        <v>155</v>
      </c>
      <c r="AO6" s="9" t="s">
        <v>156</v>
      </c>
      <c r="AP6" s="9" t="s">
        <v>165</v>
      </c>
    </row>
    <row r="7" spans="2:42">
      <c r="B7" s="9" t="s">
        <v>93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92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91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90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89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94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104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160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145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173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31</v>
      </c>
      <c r="D6" t="s">
        <v>30</v>
      </c>
      <c r="E6" t="s">
        <v>83</v>
      </c>
    </row>
    <row r="7" spans="2:5">
      <c r="B7" t="s">
        <v>33</v>
      </c>
      <c r="C7">
        <v>1</v>
      </c>
      <c r="D7">
        <v>1</v>
      </c>
      <c r="E7">
        <v>1</v>
      </c>
    </row>
    <row r="8" spans="2:5">
      <c r="B8" t="s">
        <v>16</v>
      </c>
      <c r="C8" t="s">
        <v>130</v>
      </c>
      <c r="D8">
        <v>1</v>
      </c>
      <c r="E8">
        <v>1</v>
      </c>
    </row>
    <row r="9" spans="2:5">
      <c r="B9" t="s">
        <v>17</v>
      </c>
      <c r="C9" t="s">
        <v>131</v>
      </c>
      <c r="D9">
        <v>1</v>
      </c>
      <c r="E9">
        <v>1</v>
      </c>
    </row>
    <row r="10" spans="2:5">
      <c r="B10" t="s">
        <v>18</v>
      </c>
      <c r="C10" t="s">
        <v>132</v>
      </c>
      <c r="D10">
        <v>1</v>
      </c>
      <c r="E10">
        <v>1</v>
      </c>
    </row>
    <row r="11" spans="2:5">
      <c r="B11" t="s">
        <v>19</v>
      </c>
      <c r="C11" t="s">
        <v>133</v>
      </c>
      <c r="D11">
        <v>1</v>
      </c>
      <c r="E11">
        <v>1</v>
      </c>
    </row>
    <row r="12" spans="2:5">
      <c r="B12" t="s">
        <v>20</v>
      </c>
      <c r="C12" t="s">
        <v>134</v>
      </c>
      <c r="D12">
        <v>1</v>
      </c>
      <c r="E12">
        <v>1</v>
      </c>
    </row>
    <row r="13" spans="2:5">
      <c r="B13" t="s">
        <v>21</v>
      </c>
      <c r="C13" t="s">
        <v>138</v>
      </c>
      <c r="D13">
        <v>1</v>
      </c>
      <c r="E13">
        <v>1</v>
      </c>
    </row>
    <row r="14" spans="2:5">
      <c r="B14" t="s">
        <v>22</v>
      </c>
      <c r="C14" t="s">
        <v>132</v>
      </c>
      <c r="D14" s="11" t="s">
        <v>136</v>
      </c>
      <c r="E14" s="5">
        <v>1</v>
      </c>
    </row>
    <row r="15" spans="2:5">
      <c r="B15" t="s">
        <v>23</v>
      </c>
      <c r="C15" t="s">
        <v>132</v>
      </c>
      <c r="D15" t="s">
        <v>137</v>
      </c>
      <c r="E15">
        <v>1</v>
      </c>
    </row>
    <row r="16" spans="2:5">
      <c r="B16" t="s">
        <v>24</v>
      </c>
      <c r="C16" t="s">
        <v>135</v>
      </c>
      <c r="D16" s="11" t="s">
        <v>136</v>
      </c>
      <c r="E16" s="5">
        <v>1</v>
      </c>
    </row>
    <row r="17" spans="2:5">
      <c r="B17" t="s">
        <v>25</v>
      </c>
      <c r="C17" s="23" t="s">
        <v>161</v>
      </c>
      <c r="D17" s="23" t="s">
        <v>162</v>
      </c>
      <c r="E17" s="24">
        <v>1</v>
      </c>
    </row>
    <row r="18" spans="2:5">
      <c r="B18" t="s">
        <v>26</v>
      </c>
      <c r="C18" s="25" t="s">
        <v>163</v>
      </c>
      <c r="D18" s="25">
        <v>1</v>
      </c>
      <c r="E18" s="26">
        <v>0.35</v>
      </c>
    </row>
    <row r="19" spans="2:5">
      <c r="B19" t="s">
        <v>27</v>
      </c>
      <c r="C19" s="23" t="s">
        <v>164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2018-04-12T07:06:31Z</dcterms:modified>
</cp:coreProperties>
</file>