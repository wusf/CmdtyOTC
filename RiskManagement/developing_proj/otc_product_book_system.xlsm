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 firstSheet="8" activeTab="8"/>
  </bookViews>
  <sheets>
    <sheet name="Form_NewTreades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onfigs" sheetId="17" r:id="rId9"/>
    <sheet name="Cfgs_Misc" sheetId="6" r:id="rId10"/>
    <sheet name="Cfg_Underlying" sheetId="13" r:id="rId11"/>
    <sheet name="Info_Client" sheetId="16" r:id="rId12"/>
    <sheet name="Info_Underlying" sheetId="18" r:id="rId13"/>
  </sheets>
  <functionGroup name="ExcelUDFOptionPricingFunctions A"/>
  <externalReferences>
    <externalReference r:id="rId14"/>
    <externalReference r:id="rId15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5" i="18"/>
  <c r="C10" i="18"/>
  <c r="C7" i="18"/>
  <c r="C15" i="13"/>
  <c r="D8" i="4"/>
  <c r="C17" i="13"/>
  <c r="C9" i="13"/>
  <c r="C4" i="13"/>
  <c r="C6" i="13"/>
  <c r="C8" i="18"/>
  <c r="C3" i="13"/>
  <c r="C14" i="13"/>
  <c r="C9" i="18"/>
  <c r="D10" i="4"/>
  <c r="C8" i="4"/>
  <c r="C11" i="18"/>
  <c r="C10" i="4"/>
  <c r="C10" i="13"/>
  <c r="C6" i="18"/>
  <c r="B10" i="4"/>
  <c r="C3" i="18"/>
  <c r="M8" i="4"/>
  <c r="C13" i="18"/>
  <c r="C16" i="18"/>
  <c r="G8" i="4"/>
  <c r="J985" i="4"/>
  <c r="C16" i="13"/>
  <c r="I8" i="4"/>
  <c r="B6" i="4"/>
  <c r="C19" i="18"/>
  <c r="C17" i="18"/>
  <c r="C13" i="13"/>
  <c r="D6" i="4"/>
  <c r="H8" i="4"/>
  <c r="C4" i="18"/>
  <c r="F8" i="4"/>
  <c r="C7" i="13"/>
  <c r="C20" i="18"/>
  <c r="E8" i="4"/>
  <c r="C19" i="13"/>
  <c r="K8" i="4"/>
  <c r="C15" i="18"/>
  <c r="B8" i="4"/>
  <c r="J988" i="4"/>
  <c r="C18" i="18"/>
  <c r="C8" i="13"/>
  <c r="C6" i="4"/>
  <c r="C14" i="18"/>
  <c r="C5" i="13"/>
  <c r="C12" i="13"/>
  <c r="J8" i="4"/>
  <c r="L8" i="4"/>
  <c r="C18" i="13"/>
  <c r="C11" i="13"/>
  <c r="C20" i="13"/>
  <c r="C12" i="18"/>
</calcChain>
</file>

<file path=xl/sharedStrings.xml><?xml version="1.0" encoding="utf-8"?>
<sst xmlns="http://schemas.openxmlformats.org/spreadsheetml/2006/main" count="699" uniqueCount="361">
  <si>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</si>
  <si>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</si>
  <si>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</si>
  <si>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</si>
  <si>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</si>
  <si>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</si>
  <si>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</si>
  <si>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</si>
  <si>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</si>
  <si>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</si>
  <si>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</si>
  <si>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</si>
  <si>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</si>
  <si>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</si>
  <si>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</si>
  <si>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</si>
  <si>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</si>
  <si>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</si>
  <si>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</si>
  <si>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</si>
  <si>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</si>
  <si>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</si>
  <si>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</si>
  <si>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</si>
  <si>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</si>
  <si>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</si>
  <si>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</si>
  <si>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</si>
  <si>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</si>
  <si>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</si>
  <si>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</si>
  <si>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</si>
  <si>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</si>
  <si>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</si>
  <si>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</si>
  <si>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</si>
  <si>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</si>
  <si>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</si>
  <si>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</si>
  <si>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</si>
  <si>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</si>
  <si>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</si>
  <si>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</si>
  <si>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</si>
  <si>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</si>
  <si>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</si>
  <si>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</si>
  <si>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</si>
  <si>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</si>
  <si>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</si>
  <si>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</si>
  <si>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</si>
  <si>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</si>
  <si>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</si>
  <si>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</si>
  <si>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</si>
  <si>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</si>
  <si>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</si>
  <si>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</si>
  <si>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</si>
  <si>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</si>
  <si>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</si>
  <si>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</si>
  <si>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</si>
  <si>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</si>
  <si>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</si>
  <si>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</si>
  <si>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</si>
  <si>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</si>
  <si>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</si>
  <si>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</si>
  <si>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</si>
  <si>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</si>
  <si>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</si>
  <si>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</si>
  <si>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</si>
  <si>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</si>
  <si>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</si>
  <si>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</si>
  <si>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</si>
  <si>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</si>
  <si>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</si>
  <si>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</si>
  <si>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</si>
  <si>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</si>
  <si>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</si>
  <si>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</si>
  <si>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</si>
  <si>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</si>
  <si>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</si>
  <si>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</si>
  <si>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</si>
  <si>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</si>
  <si>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</si>
  <si>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</si>
  <si>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</si>
  <si>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</si>
  <si>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</si>
  <si>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</si>
  <si>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</si>
  <si>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</si>
  <si>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</si>
  <si>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</si>
  <si>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</si>
  <si>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</si>
  <si>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</si>
  <si>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</si>
  <si>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</si>
  <si>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</si>
  <si>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</si>
  <si>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</si>
  <si>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</si>
  <si>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</si>
  <si>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</si>
  <si>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</si>
  <si>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</si>
  <si>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</si>
  <si>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</si>
  <si>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</si>
  <si>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</si>
  <si>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</si>
  <si>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</si>
  <si>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</si>
  <si>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</si>
  <si>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</si>
  <si>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</si>
  <si>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</si>
  <si>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</si>
  <si>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</si>
  <si>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</si>
  <si>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</si>
  <si>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</si>
  <si>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</si>
  <si>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</si>
  <si>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</si>
  <si>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</si>
  <si>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</si>
  <si>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</si>
  <si>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</si>
  <si>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</si>
  <si>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</si>
  <si>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</si>
  <si>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</si>
  <si>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</si>
  <si>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</si>
  <si>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</si>
  <si>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</si>
  <si>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</si>
  <si>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</si>
  <si>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</si>
  <si>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</si>
  <si>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</si>
  <si>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</si>
  <si>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</si>
  <si>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</si>
  <si>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</si>
  <si>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</si>
  <si>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</si>
  <si>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</si>
  <si>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</si>
  <si>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</si>
  <si>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</si>
  <si>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</si>
  <si>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</si>
  <si>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</si>
  <si>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</si>
  <si>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</si>
  <si>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</si>
  <si>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</si>
  <si>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</si>
  <si>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</si>
  <si>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</si>
  <si>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</si>
  <si>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</si>
  <si>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</si>
  <si>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</si>
  <si>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</si>
  <si>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</si>
  <si>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</si>
  <si>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</si>
  <si>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</si>
  <si>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</si>
  <si>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</si>
  <si>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</si>
  <si>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</si>
  <si>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</si>
  <si>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</si>
  <si>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</si>
  <si>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</si>
  <si>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</si>
  <si>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</si>
  <si>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</si>
  <si>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</si>
  <si>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</si>
  <si>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</si>
  <si>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</si>
  <si>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</si>
  <si>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</si>
  <si>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</si>
  <si>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</si>
  <si>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</si>
  <si>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</si>
  <si>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</si>
  <si>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</si>
  <si>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</si>
  <si>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</si>
  <si>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</si>
  <si>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</si>
  <si>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</si>
  <si>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</si>
  <si>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</si>
  <si>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</si>
  <si>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</si>
  <si>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</si>
  <si>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</si>
  <si>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</si>
  <si>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</si>
  <si>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</si>
  <si>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</si>
  <si>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</si>
  <si>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</si>
  <si>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</si>
  <si>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</si>
  <si>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</si>
  <si>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</si>
  <si>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</si>
  <si>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</si>
  <si>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</si>
  <si>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</si>
  <si>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</si>
  <si>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</si>
  <si>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</si>
  <si>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</si>
  <si>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</si>
  <si>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</si>
  <si>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</si>
  <si>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</si>
  <si>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</si>
  <si>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</si>
  <si>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</si>
  <si>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</si>
  <si>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</si>
  <si>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</si>
  <si>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</si>
  <si>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</si>
  <si>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</si>
  <si>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</si>
  <si>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</si>
  <si>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</si>
  <si>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</si>
  <si>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</si>
  <si>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</si>
  <si>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</si>
  <si>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</si>
  <si>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</si>
  <si>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</si>
  <si>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</si>
  <si>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</si>
  <si>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</si>
  <si>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</si>
  <si>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</si>
  <si>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</si>
  <si>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</si>
  <si>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</si>
  <si>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</si>
  <si>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</si>
  <si>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</si>
  <si>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</si>
  <si>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</si>
  <si>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</si>
  <si>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</si>
  <si>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</si>
  <si>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</si>
  <si>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</si>
  <si>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</si>
  <si>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</si>
  <si>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</si>
  <si>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</si>
  <si>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</si>
  <si>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</si>
  <si>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</si>
  <si>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</si>
  <si>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</si>
  <si>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</si>
  <si>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</si>
  <si>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</si>
  <si>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</si>
  <si>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</si>
  <si>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</si>
  <si>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</si>
  <si>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</si>
  <si>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</si>
  <si>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</si>
  <si>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</si>
  <si>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</si>
  <si>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</si>
  <si>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</si>
  <si>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</si>
  <si>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</si>
  <si>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</si>
  <si>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</si>
  <si>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</si>
  <si>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</si>
  <si>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</si>
  <si>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</si>
  <si>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</si>
  <si>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</si>
  <si>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</si>
  <si>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</si>
  <si>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</si>
  <si>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</si>
  <si>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</si>
  <si>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</si>
  <si>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</si>
  <si>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</si>
  <si>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</si>
  <si>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</si>
  <si>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</si>
  <si>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</si>
  <si>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</si>
  <si>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</si>
  <si>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</si>
  <si>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</si>
  <si>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</si>
  <si>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</si>
  <si>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</si>
  <si>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</si>
  <si>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</si>
  <si>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</si>
  <si>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</si>
  <si>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</si>
  <si>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</si>
  <si>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</si>
  <si>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</si>
  <si>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</si>
  <si>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</si>
  <si>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</si>
  <si>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</si>
  <si>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</si>
  <si>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</si>
  <si>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</si>
  <si>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</si>
  <si>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</si>
  <si>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</si>
  <si>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</si>
  <si>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</si>
  <si>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</si>
  <si>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</si>
  <si>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</si>
  <si>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</si>
  <si>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</si>
  <si>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</si>
  <si>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</si>
  <si>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Form_NewTrades</t>
    <phoneticPr fontId="1" type="noConversion"/>
  </si>
  <si>
    <t>Templtate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</si>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</sst>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AU1806.SHF</stp>
        <stp>LastPrice</stp>
        <tr r="D10" s="4"/>
      </tp>
      <tp t="e">
        <v>#N/A</v>
        <stp/>
        <stp>AU1712.SHF</stp>
        <stp>LastPrice</stp>
        <tr r="C10" s="4"/>
      </tp>
      <tp t="e">
        <v>#N/A</v>
        <stp/>
        <stp>IC1709.CFE</stp>
        <stp>LastPrice</stp>
        <tr r="K8" s="4"/>
      </tp>
      <tp t="e">
        <v>#N/A</v>
        <stp/>
        <stp>IH1712.CFE</stp>
        <stp>LastPrice</stp>
        <tr r="H8" s="4"/>
      </tp>
      <tp t="e">
        <v>#N/A</v>
        <stp/>
        <stp>IC1708.CFE</stp>
        <stp>LastPrice</stp>
        <tr r="J8" s="4"/>
      </tp>
      <tp t="e">
        <v>#N/A</v>
        <stp/>
        <stp>IH1803.CFE</stp>
        <stp>LastPrice</stp>
        <tr r="I8" s="4"/>
      </tp>
      <tp t="e">
        <v>#N/A</v>
        <stp/>
        <stp>IF1708.CFE</stp>
        <stp>LastPrice</stp>
        <tr r="B8" s="4"/>
      </tp>
      <tp t="e">
        <v>#N/A</v>
        <stp/>
        <stp>IF1709.CFE</stp>
        <stp>LastPrice</stp>
        <tr r="C8" s="4"/>
      </tp>
      <tp t="e">
        <v>#N/A</v>
        <stp/>
        <stp>IH1708.CFE</stp>
        <stp>LastPrice</stp>
        <tr r="F8" s="4"/>
      </tp>
      <tp t="e">
        <v>#N/A</v>
        <stp/>
        <stp>IC1803.CFE</stp>
        <stp>LastPrice</stp>
        <tr r="M8" s="4"/>
      </tp>
      <tp t="e">
        <v>#N/A</v>
        <stp/>
        <stp>IH1709.CFE</stp>
        <stp>LastPrice</stp>
        <tr r="G8" s="4"/>
      </tp>
      <tp t="e">
        <v>#N/A</v>
        <stp/>
        <stp>IC1712.CFE</stp>
        <stp>LastPrice</stp>
        <tr r="L8" s="4"/>
      </tp>
      <tp t="e">
        <v>#N/A</v>
        <stp/>
        <stp>IF1712.CFE</stp>
        <stp>LastPrice</stp>
        <tr r="D8" s="4"/>
      </tp>
      <tp t="e">
        <v>#N/A</v>
        <stp/>
        <stp>IF1803.CFE</stp>
        <stp>LastPrice</stp>
        <tr r="J988" s="4"/>
        <tr r="E8" s="4"/>
      </tp>
      <tp t="e">
        <v>#N/A</v>
        <stp/>
        <stp>000300.SH</stp>
        <stp>LastPrice</stp>
        <tr r="B6" s="4"/>
      </tp>
      <tp t="e">
        <v>#N/A</v>
        <stp/>
        <stp>000905.SH</stp>
        <stp>LastPrice</stp>
        <tr r="C6" s="4"/>
      </tp>
      <tp t="e">
        <v>#N/A</v>
        <stp/>
        <stp>000016.SH</stp>
        <stp>LastPrice</stp>
        <tr r="D6" s="4"/>
      </tp>
      <tp t="e">
        <v>#N/A</v>
        <stp/>
        <stp>Structure</stp>
        <stp>LastPrice</stp>
        <tr r="J985" s="4"/>
      </tp>
      <tp t="e">
        <v>#N/A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zoomScaleNormal="100" workbookViewId="0">
      <selection activeCell="J13" sqref="J13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352</v>
      </c>
      <c r="C1" s="98"/>
      <c r="D1" s="98"/>
      <c r="E1" s="98"/>
      <c r="F1" s="98"/>
      <c r="G1" s="98"/>
      <c r="H1" s="98"/>
      <c r="I1" s="52" t="s">
        <v>240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43110.630518634258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69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219</v>
      </c>
      <c r="C5" s="84" t="s">
        <v>45</v>
      </c>
      <c r="D5" s="84" t="s">
        <v>218</v>
      </c>
      <c r="E5" s="84"/>
      <c r="F5" s="84"/>
      <c r="G5" s="84"/>
      <c r="H5" s="84"/>
      <c r="I5" s="84"/>
      <c r="J5" s="84"/>
      <c r="K5" s="84"/>
      <c r="L5" s="84"/>
      <c r="M5" s="84"/>
      <c r="N5" s="45"/>
      <c r="O5" s="41"/>
      <c r="P5" s="45"/>
      <c r="Q5" s="41"/>
      <c r="R5" s="41"/>
      <c r="S5" s="41"/>
      <c r="V5" s="8"/>
    </row>
    <row r="6" spans="1:24" x14ac:dyDescent="0.15">
      <c r="A6" s="40"/>
      <c r="B6" s="90" t="e">
        <f>RTD("wdf.rtq",,"000300.SH","LastPrice")</f>
        <v>#N/A</v>
      </c>
      <c r="C6" s="91" t="e">
        <f>RTD("wdf.rtq",,"000905.SH","LastPrice")</f>
        <v>#N/A</v>
      </c>
      <c r="D6" s="91" t="e">
        <f>RTD("wdf.rtq",,"000016.SH","LastPrice")</f>
        <v>#N/A</v>
      </c>
      <c r="E6" s="91"/>
      <c r="F6" s="91"/>
      <c r="G6" s="91"/>
      <c r="H6" s="91"/>
      <c r="I6" s="91"/>
      <c r="J6" s="91"/>
      <c r="K6" s="91"/>
      <c r="L6" s="91"/>
      <c r="M6" s="91"/>
      <c r="N6" s="41"/>
      <c r="O6" s="41"/>
      <c r="P6" s="4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41"/>
      <c r="O7" s="41"/>
      <c r="P7" s="41"/>
      <c r="Q7" s="41"/>
      <c r="R7" s="41"/>
      <c r="S7" s="41"/>
      <c r="V7" s="8"/>
    </row>
    <row r="8" spans="1:24" x14ac:dyDescent="0.15">
      <c r="A8" s="40"/>
      <c r="B8" s="90" t="e">
        <f>RTD("wdf.rtq",,"IF1708.CFE","LastPrice")</f>
        <v>#N/A</v>
      </c>
      <c r="C8" s="92" t="e">
        <f>RTD("wdf.rtq",,"IF1709.CFE","LastPrice")</f>
        <v>#N/A</v>
      </c>
      <c r="D8" s="91" t="e">
        <f>RTD("wdf.rtq",,"IF1712.CFE","LastPrice")</f>
        <v>#N/A</v>
      </c>
      <c r="E8" s="91" t="e">
        <f>RTD("wdf.rtq",,"IF1803.CFE","LastPrice")</f>
        <v>#N/A</v>
      </c>
      <c r="F8" s="91" t="e">
        <f>RTD("wdf.rtq",,"IH1708.CFE","LastPrice")</f>
        <v>#N/A</v>
      </c>
      <c r="G8" s="91" t="e">
        <f>RTD("wdf.rtq",,"IH1709.CFE","LastPrice")</f>
        <v>#N/A</v>
      </c>
      <c r="H8" s="91" t="e">
        <f>RTD("wdf.rtq",,"IH1712.CFE","LastPrice")</f>
        <v>#N/A</v>
      </c>
      <c r="I8" s="91" t="e">
        <f>RTD("wdf.rtq",,"IH1803.CFE","LastPrice")</f>
        <v>#N/A</v>
      </c>
      <c r="J8" s="91" t="e">
        <f>RTD("wdf.rtq",,"IC1708.CFE","LastPrice")</f>
        <v>#N/A</v>
      </c>
      <c r="K8" s="91" t="e">
        <f>RTD("wdf.rtq",,"IC1709.CFE","LastPrice")</f>
        <v>#N/A</v>
      </c>
      <c r="L8" s="91" t="e">
        <f>RTD("wdf.rtq",,"IC1712.CFE","LastPrice")</f>
        <v>#N/A</v>
      </c>
      <c r="M8" s="91" t="e">
        <f>RTD("wdf.rtq",,"IC1803.CFE","LastPrice")</f>
        <v>#N/A</v>
      </c>
      <c r="N8" s="41"/>
      <c r="O8" s="41"/>
      <c r="P8" s="41"/>
      <c r="Q8" s="41"/>
      <c r="R8" s="41"/>
      <c r="S8" s="41"/>
      <c r="V8" s="8"/>
    </row>
    <row r="9" spans="1:24" x14ac:dyDescent="0.15">
      <c r="A9" s="40"/>
      <c r="B9" s="89" t="s">
        <v>221</v>
      </c>
      <c r="C9" s="84" t="s">
        <v>58</v>
      </c>
      <c r="D9" s="84" t="s">
        <v>222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 t="e">
        <f>RTD("wdf.rtq",,"Au(T+D).SGE","LastPrice")</f>
        <v>#N/A</v>
      </c>
      <c r="C10" s="91" t="e">
        <f>RTD("wdf.rtq",,"AU1712.SHF","LastPrice")</f>
        <v>#N/A</v>
      </c>
      <c r="D10" s="91" t="e">
        <f>RTD("wdf.rtq",,"AU1806.SHF","LastPrice")</f>
        <v>#N/A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70</v>
      </c>
      <c r="B13" s="99" t="s">
        <v>316</v>
      </c>
      <c r="C13" s="99"/>
      <c r="D13" s="99"/>
      <c r="E13" s="99"/>
      <c r="F13" s="99"/>
      <c r="G13" s="99"/>
      <c r="H13" s="99"/>
      <c r="I13" s="81" t="s">
        <v>59</v>
      </c>
      <c r="J13" s="82" t="s">
        <v>330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335</v>
      </c>
      <c r="C14" s="96"/>
      <c r="D14" s="96"/>
      <c r="E14" s="96"/>
      <c r="F14" s="96"/>
      <c r="G14" s="83" t="s">
        <v>329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331</v>
      </c>
      <c r="C15" s="83" t="s">
        <v>333</v>
      </c>
      <c r="D15" s="83" t="s">
        <v>332</v>
      </c>
      <c r="E15" s="83" t="s">
        <v>334</v>
      </c>
      <c r="F15" s="83" t="s">
        <v>336</v>
      </c>
      <c r="G15" s="83" t="s">
        <v>72</v>
      </c>
      <c r="H15" s="83" t="s">
        <v>186</v>
      </c>
      <c r="I15" s="83" t="s">
        <v>337</v>
      </c>
      <c r="J15" s="84" t="s">
        <v>338</v>
      </c>
      <c r="K15" s="84" t="s">
        <v>339</v>
      </c>
      <c r="L15" s="83" t="s">
        <v>144</v>
      </c>
      <c r="M15" s="83" t="s">
        <v>348</v>
      </c>
      <c r="N15" s="83" t="s">
        <v>349</v>
      </c>
      <c r="O15" s="83" t="s">
        <v>350</v>
      </c>
      <c r="P15" s="83" t="s">
        <v>351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86</v>
      </c>
      <c r="C17" s="83" t="s">
        <v>340</v>
      </c>
      <c r="D17" s="83" t="s">
        <v>161</v>
      </c>
      <c r="E17" s="83" t="s">
        <v>343</v>
      </c>
      <c r="F17" s="83" t="s">
        <v>244</v>
      </c>
      <c r="G17" s="83" t="s">
        <v>341</v>
      </c>
      <c r="H17" s="83" t="s">
        <v>342</v>
      </c>
      <c r="I17" s="83" t="s">
        <v>168</v>
      </c>
      <c r="J17" s="83" t="s">
        <v>347</v>
      </c>
      <c r="K17" s="83" t="s">
        <v>213</v>
      </c>
      <c r="L17" s="83" t="s">
        <v>216</v>
      </c>
      <c r="M17" s="83" t="s">
        <v>345</v>
      </c>
      <c r="N17" s="83" t="s">
        <v>82</v>
      </c>
      <c r="O17" s="83" t="s">
        <v>344</v>
      </c>
      <c r="P17" s="83" t="s">
        <v>346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201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223</v>
      </c>
      <c r="B26" s="99" t="s">
        <v>217</v>
      </c>
      <c r="C26" s="99"/>
      <c r="D26" s="99"/>
      <c r="E26" s="99"/>
      <c r="F26" s="99"/>
      <c r="G26" s="99"/>
      <c r="H26" s="99"/>
      <c r="I26" s="48"/>
      <c r="J26" s="99" t="s">
        <v>317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318</v>
      </c>
      <c r="C27" s="54"/>
      <c r="D27" s="55"/>
      <c r="E27" s="56"/>
      <c r="F27" s="51"/>
      <c r="G27" s="42"/>
      <c r="H27" s="50"/>
      <c r="I27" s="48"/>
      <c r="J27" s="81" t="s">
        <v>326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319</v>
      </c>
      <c r="C28" s="81" t="s">
        <v>320</v>
      </c>
      <c r="D28" s="81" t="s">
        <v>321</v>
      </c>
      <c r="E28" s="81" t="s">
        <v>322</v>
      </c>
      <c r="F28" s="81" t="s">
        <v>323</v>
      </c>
      <c r="G28" s="81" t="s">
        <v>324</v>
      </c>
      <c r="H28" s="81" t="s">
        <v>325</v>
      </c>
      <c r="I28" s="41"/>
      <c r="J28" s="81" t="s">
        <v>170</v>
      </c>
      <c r="K28" s="81" t="s">
        <v>208</v>
      </c>
      <c r="L28" s="81" t="s">
        <v>327</v>
      </c>
      <c r="M28" s="81" t="s">
        <v>181</v>
      </c>
      <c r="N28" s="81" t="s">
        <v>157</v>
      </c>
      <c r="O28" s="81" t="s">
        <v>328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223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3" spans="2:16" ht="14.25" thickBot="1" x14ac:dyDescent="0.2">
      <c r="B983" s="93" t="s">
        <v>202</v>
      </c>
      <c r="C983" s="93"/>
      <c r="D983" s="93"/>
      <c r="E983" s="93"/>
      <c r="F983" s="93"/>
      <c r="G983" s="93"/>
      <c r="H983" s="93"/>
      <c r="I983" s="16" t="s">
        <v>59</v>
      </c>
      <c r="J983" s="22" t="s">
        <v>169</v>
      </c>
    </row>
    <row r="984" spans="2:16" ht="14.25" thickBot="1" x14ac:dyDescent="0.2">
      <c r="B984" s="30" t="s">
        <v>1</v>
      </c>
      <c r="C984" s="94"/>
      <c r="D984" s="95"/>
      <c r="E984" s="95"/>
      <c r="F984" s="95"/>
      <c r="G984" s="31" t="s">
        <v>203</v>
      </c>
      <c r="H984" s="27" t="s">
        <v>205</v>
      </c>
    </row>
    <row r="985" spans="2:16" x14ac:dyDescent="0.15">
      <c r="B985" s="29" t="s">
        <v>207</v>
      </c>
      <c r="C985" s="28" t="s">
        <v>170</v>
      </c>
      <c r="D985" s="28" t="s">
        <v>105</v>
      </c>
      <c r="E985" s="28" t="s">
        <v>0</v>
      </c>
      <c r="F985" s="28" t="s">
        <v>60</v>
      </c>
      <c r="G985" s="28" t="s">
        <v>71</v>
      </c>
      <c r="H985" s="28" t="s">
        <v>72</v>
      </c>
      <c r="I985" s="13" t="s">
        <v>106</v>
      </c>
      <c r="J985" s="21" t="e">
        <f>RTD("wdf.rtq",,"Structure","LastPrice")</f>
        <v>#N/A</v>
      </c>
      <c r="K985" s="21" t="s">
        <v>209</v>
      </c>
      <c r="L985" s="13" t="s">
        <v>144</v>
      </c>
      <c r="M985" s="13" t="s">
        <v>186</v>
      </c>
      <c r="N985" s="13" t="s">
        <v>107</v>
      </c>
      <c r="O985" s="13" t="s">
        <v>200</v>
      </c>
      <c r="P985" s="13" t="s">
        <v>84</v>
      </c>
    </row>
    <row r="986" spans="2:16" ht="14.25" thickBot="1" x14ac:dyDescent="0.2">
      <c r="B986" s="17" t="s">
        <v>211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15" t="s">
        <v>86</v>
      </c>
      <c r="C987" s="13" t="s">
        <v>188</v>
      </c>
      <c r="D987" s="13" t="s">
        <v>64</v>
      </c>
      <c r="E987" s="13" t="s">
        <v>74</v>
      </c>
      <c r="F987" s="13" t="s">
        <v>210</v>
      </c>
      <c r="G987" s="13" t="s">
        <v>5</v>
      </c>
      <c r="H987" s="13" t="s">
        <v>77</v>
      </c>
      <c r="I987" s="13" t="s">
        <v>168</v>
      </c>
      <c r="J987" s="13" t="s">
        <v>212</v>
      </c>
      <c r="K987" s="13" t="s">
        <v>78</v>
      </c>
      <c r="L987" s="13" t="s">
        <v>79</v>
      </c>
      <c r="M987" s="13" t="s">
        <v>80</v>
      </c>
      <c r="N987" s="13" t="s">
        <v>81</v>
      </c>
      <c r="O987" s="13" t="s">
        <v>82</v>
      </c>
      <c r="P987" s="13" t="s">
        <v>83</v>
      </c>
    </row>
    <row r="988" spans="2:16" x14ac:dyDescent="0.15">
      <c r="B988" s="9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 t="e">
        <f>RTD("wdf.rtq",,"IF1803.CFE","LastPrice")</f>
        <v>#N/A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x14ac:dyDescent="0.15">
      <c r="B991" s="17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B992" s="11"/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283</v>
      </c>
      <c r="C1" s="104"/>
      <c r="D1" s="104"/>
      <c r="E1" s="104"/>
      <c r="F1" s="104"/>
      <c r="G1" s="104"/>
      <c r="H1" s="52" t="s">
        <v>240</v>
      </c>
      <c r="I1" s="6" t="s">
        <v>270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43110.630518634258</v>
      </c>
    </row>
    <row r="6" spans="2:19" ht="12" thickBot="1" x14ac:dyDescent="0.2">
      <c r="B6" s="105" t="s">
        <v>247</v>
      </c>
      <c r="C6" s="105"/>
      <c r="D6" s="105"/>
      <c r="E6" s="105"/>
      <c r="F6" s="105"/>
      <c r="G6" s="105"/>
      <c r="H6" s="105"/>
      <c r="J6" s="6" t="s">
        <v>296</v>
      </c>
      <c r="K6" s="6" t="s">
        <v>252</v>
      </c>
    </row>
    <row r="7" spans="2:19" x14ac:dyDescent="0.15">
      <c r="I7" s="6" t="s">
        <v>271</v>
      </c>
      <c r="J7" s="108" t="s">
        <v>275</v>
      </c>
      <c r="K7" s="109"/>
      <c r="L7" s="67" t="s">
        <v>293</v>
      </c>
      <c r="M7" s="67" t="s">
        <v>292</v>
      </c>
      <c r="N7" s="67" t="s">
        <v>298</v>
      </c>
      <c r="O7" s="67" t="s">
        <v>274</v>
      </c>
      <c r="P7" s="67" t="s">
        <v>299</v>
      </c>
      <c r="Q7" s="67" t="s">
        <v>300</v>
      </c>
      <c r="R7" s="67" t="s">
        <v>302</v>
      </c>
      <c r="S7" s="68" t="s">
        <v>303</v>
      </c>
    </row>
    <row r="8" spans="2:19" x14ac:dyDescent="0.15">
      <c r="B8" s="57" t="s">
        <v>251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254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255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253</v>
      </c>
      <c r="C20" s="57"/>
      <c r="D20" s="57"/>
      <c r="E20" s="57"/>
      <c r="F20" s="57"/>
      <c r="G20" s="57"/>
      <c r="H20" s="57"/>
      <c r="J20" s="6" t="s">
        <v>297</v>
      </c>
      <c r="K20" s="6" t="s">
        <v>252</v>
      </c>
    </row>
    <row r="21" spans="2:19" ht="13.5" customHeight="1" x14ac:dyDescent="0.15">
      <c r="I21" s="6" t="s">
        <v>272</v>
      </c>
      <c r="J21" s="108" t="s">
        <v>1</v>
      </c>
      <c r="K21" s="109"/>
      <c r="L21" s="79" t="s">
        <v>305</v>
      </c>
      <c r="M21" s="79" t="s">
        <v>298</v>
      </c>
      <c r="N21" s="79" t="s">
        <v>64</v>
      </c>
      <c r="O21" s="79" t="s">
        <v>307</v>
      </c>
      <c r="P21" s="79" t="s">
        <v>299</v>
      </c>
      <c r="Q21" s="79" t="s">
        <v>306</v>
      </c>
      <c r="R21" s="79" t="s">
        <v>308</v>
      </c>
      <c r="S21" s="80" t="s">
        <v>304</v>
      </c>
    </row>
    <row r="22" spans="2:19" x14ac:dyDescent="0.15">
      <c r="J22" s="106" t="s">
        <v>260</v>
      </c>
      <c r="K22" s="107"/>
      <c r="L22" s="74" t="s">
        <v>294</v>
      </c>
      <c r="M22" s="75" t="s">
        <v>295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284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250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249</v>
      </c>
      <c r="F31" s="6" t="s">
        <v>248</v>
      </c>
      <c r="G31" s="6" t="s">
        <v>248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L17" sqref="L17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93</v>
      </c>
      <c r="C1" s="1" t="s">
        <v>185</v>
      </c>
      <c r="D1" s="1" t="s">
        <v>68</v>
      </c>
      <c r="E1" s="1" t="s">
        <v>187</v>
      </c>
      <c r="F1" s="1" t="s">
        <v>66</v>
      </c>
      <c r="G1" s="1" t="s">
        <v>181</v>
      </c>
      <c r="H1" s="1" t="s">
        <v>182</v>
      </c>
    </row>
    <row r="2" spans="1:8" x14ac:dyDescent="0.15">
      <c r="A2">
        <v>1</v>
      </c>
      <c r="B2" t="s">
        <v>184</v>
      </c>
      <c r="C2" t="s">
        <v>183</v>
      </c>
      <c r="D2" s="23">
        <v>42957</v>
      </c>
      <c r="E2" s="23" t="s">
        <v>143</v>
      </c>
      <c r="F2" t="s">
        <v>189</v>
      </c>
      <c r="G2" t="s">
        <v>190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289</v>
      </c>
      <c r="B1" s="3" t="s">
        <v>61</v>
      </c>
      <c r="C1" s="3" t="s">
        <v>207</v>
      </c>
      <c r="D1" s="4" t="s">
        <v>105</v>
      </c>
      <c r="E1" s="4" t="s">
        <v>288</v>
      </c>
      <c r="F1" s="4" t="s">
        <v>243</v>
      </c>
      <c r="G1" s="4" t="s">
        <v>244</v>
      </c>
      <c r="H1" s="4" t="s">
        <v>5</v>
      </c>
      <c r="I1" s="4" t="s">
        <v>6</v>
      </c>
      <c r="J1" s="4" t="s">
        <v>269</v>
      </c>
      <c r="K1" s="4" t="s">
        <v>64</v>
      </c>
      <c r="L1" s="4" t="s">
        <v>156</v>
      </c>
      <c r="M1" s="4" t="s">
        <v>2</v>
      </c>
      <c r="N1" s="3" t="s">
        <v>291</v>
      </c>
      <c r="O1" s="4" t="s">
        <v>144</v>
      </c>
      <c r="P1" s="4" t="s">
        <v>290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260</v>
      </c>
      <c r="C2" s="4" t="s">
        <v>242</v>
      </c>
      <c r="D2" s="4" t="s">
        <v>257</v>
      </c>
      <c r="E2" s="4" t="s">
        <v>267</v>
      </c>
      <c r="F2" s="4" t="s">
        <v>147</v>
      </c>
      <c r="G2" s="4" t="s">
        <v>276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268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263</v>
      </c>
      <c r="C3" s="4" t="s">
        <v>242</v>
      </c>
      <c r="D3" s="4" t="s">
        <v>262</v>
      </c>
      <c r="F3" s="4" t="s">
        <v>147</v>
      </c>
      <c r="G3" s="4" t="s">
        <v>276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266</v>
      </c>
      <c r="C4" s="4" t="s">
        <v>242</v>
      </c>
      <c r="D4" s="4" t="s">
        <v>265</v>
      </c>
      <c r="F4" s="4" t="s">
        <v>147</v>
      </c>
      <c r="G4" s="4" t="s">
        <v>276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104</v>
      </c>
      <c r="B1" s="1" t="s">
        <v>87</v>
      </c>
      <c r="C1" s="1" t="s">
        <v>88</v>
      </c>
      <c r="D1" s="1" t="s">
        <v>229</v>
      </c>
      <c r="E1" s="1" t="s">
        <v>227</v>
      </c>
      <c r="F1" s="1" t="s">
        <v>185</v>
      </c>
      <c r="G1" s="1" t="s">
        <v>230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231</v>
      </c>
      <c r="M1" s="1" t="s">
        <v>309</v>
      </c>
      <c r="N1" s="1" t="s">
        <v>310</v>
      </c>
      <c r="O1" s="1" t="s">
        <v>312</v>
      </c>
      <c r="P1" s="1" t="s">
        <v>301</v>
      </c>
      <c r="Q1" s="1" t="s">
        <v>311</v>
      </c>
      <c r="R1" s="1" t="s">
        <v>232</v>
      </c>
      <c r="S1" s="1" t="s">
        <v>233</v>
      </c>
      <c r="T1" s="1" t="s">
        <v>234</v>
      </c>
      <c r="U1" s="1" t="s">
        <v>235</v>
      </c>
      <c r="V1" s="1" t="s">
        <v>94</v>
      </c>
      <c r="W1" s="1" t="s">
        <v>95</v>
      </c>
      <c r="X1" s="1" t="s">
        <v>85</v>
      </c>
      <c r="Y1" s="1" t="s">
        <v>236</v>
      </c>
      <c r="Z1" s="1" t="s">
        <v>237</v>
      </c>
      <c r="AA1" s="1" t="s">
        <v>246</v>
      </c>
      <c r="AB1" s="1" t="s">
        <v>245</v>
      </c>
      <c r="AC1" s="1" t="s">
        <v>97</v>
      </c>
      <c r="AD1" s="1" t="s">
        <v>98</v>
      </c>
      <c r="AE1" s="1" t="s">
        <v>238</v>
      </c>
      <c r="AF1" s="1" t="s">
        <v>96</v>
      </c>
      <c r="AG1" s="1" t="s">
        <v>239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264</v>
      </c>
    </row>
    <row r="2" spans="1:39" s="1" customFormat="1" ht="12" x14ac:dyDescent="0.15">
      <c r="A2" s="1">
        <v>1</v>
      </c>
      <c r="B2" s="1" t="s">
        <v>241</v>
      </c>
      <c r="C2" s="1" t="s">
        <v>273</v>
      </c>
      <c r="D2" s="1" t="s">
        <v>261</v>
      </c>
      <c r="E2" s="1" t="s">
        <v>242</v>
      </c>
      <c r="F2" s="1" t="s">
        <v>256</v>
      </c>
      <c r="G2" s="1" t="s">
        <v>257</v>
      </c>
      <c r="H2" s="65">
        <v>42983</v>
      </c>
      <c r="I2" s="65">
        <v>42983</v>
      </c>
      <c r="J2" s="1">
        <v>43013</v>
      </c>
      <c r="K2" s="1">
        <v>30</v>
      </c>
      <c r="L2" s="1" t="s">
        <v>258</v>
      </c>
      <c r="R2" s="1">
        <v>1643.8356164383561</v>
      </c>
      <c r="S2" s="1">
        <v>42983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287</v>
      </c>
      <c r="Y2" s="1" t="s">
        <v>259</v>
      </c>
      <c r="Z2" s="1" t="s">
        <v>45</v>
      </c>
      <c r="AA2" s="1" t="s">
        <v>147</v>
      </c>
      <c r="AB2" s="1" t="s">
        <v>285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143</v>
      </c>
      <c r="AI2" s="1" t="s">
        <v>143</v>
      </c>
      <c r="AJ2" s="1" t="s">
        <v>143</v>
      </c>
      <c r="AK2" s="1" t="s">
        <v>143</v>
      </c>
      <c r="AL2" s="1" t="s">
        <v>143</v>
      </c>
    </row>
    <row r="3" spans="1:39" s="1" customFormat="1" ht="12" x14ac:dyDescent="0.15">
      <c r="A3" s="1">
        <v>2</v>
      </c>
      <c r="B3" s="1" t="s">
        <v>241</v>
      </c>
      <c r="C3" s="1" t="s">
        <v>263</v>
      </c>
      <c r="D3" s="1" t="s">
        <v>261</v>
      </c>
      <c r="E3" s="1" t="s">
        <v>242</v>
      </c>
      <c r="F3" s="1" t="s">
        <v>256</v>
      </c>
      <c r="G3" s="1" t="s">
        <v>262</v>
      </c>
      <c r="H3" s="65">
        <v>42983</v>
      </c>
      <c r="I3" s="65">
        <v>42983</v>
      </c>
      <c r="J3" s="1">
        <v>43013</v>
      </c>
      <c r="K3" s="1">
        <v>30</v>
      </c>
      <c r="L3" s="1" t="s">
        <v>258</v>
      </c>
      <c r="R3" s="1">
        <v>1643.8356164383561</v>
      </c>
      <c r="S3" s="1">
        <v>42983</v>
      </c>
      <c r="T3" s="1" t="s">
        <v>143</v>
      </c>
      <c r="U3" s="1" t="s">
        <v>143</v>
      </c>
      <c r="V3" s="1" t="s">
        <v>143</v>
      </c>
      <c r="W3" s="1" t="s">
        <v>143</v>
      </c>
      <c r="X3" s="1" t="s">
        <v>286</v>
      </c>
      <c r="Y3" s="1" t="s">
        <v>259</v>
      </c>
      <c r="Z3" s="1" t="s">
        <v>45</v>
      </c>
      <c r="AA3" s="1" t="s">
        <v>147</v>
      </c>
      <c r="AB3" s="1" t="s">
        <v>285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143</v>
      </c>
      <c r="AI3" s="1" t="s">
        <v>143</v>
      </c>
      <c r="AJ3" s="1" t="s">
        <v>143</v>
      </c>
      <c r="AK3" s="1" t="s">
        <v>143</v>
      </c>
      <c r="AL3" s="1" t="s">
        <v>143</v>
      </c>
    </row>
    <row r="4" spans="1:39" s="1" customFormat="1" ht="12" x14ac:dyDescent="0.15">
      <c r="A4" s="1">
        <v>3</v>
      </c>
      <c r="B4" s="1" t="s">
        <v>241</v>
      </c>
      <c r="C4" s="1" t="s">
        <v>266</v>
      </c>
      <c r="D4" s="1" t="s">
        <v>261</v>
      </c>
      <c r="E4" s="1" t="s">
        <v>242</v>
      </c>
      <c r="F4" s="1" t="s">
        <v>256</v>
      </c>
      <c r="G4" s="1" t="s">
        <v>265</v>
      </c>
      <c r="H4" s="65">
        <v>42983</v>
      </c>
      <c r="I4" s="65">
        <v>42983</v>
      </c>
      <c r="J4" s="1">
        <v>43013</v>
      </c>
      <c r="K4" s="1">
        <v>30</v>
      </c>
      <c r="L4" s="1" t="s">
        <v>258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143</v>
      </c>
      <c r="U4" s="1" t="s">
        <v>143</v>
      </c>
      <c r="V4" s="1" t="s">
        <v>143</v>
      </c>
      <c r="W4" s="1" t="s">
        <v>143</v>
      </c>
      <c r="X4" s="1" t="s">
        <v>286</v>
      </c>
      <c r="Y4" s="1" t="s">
        <v>259</v>
      </c>
      <c r="Z4" s="1" t="s">
        <v>45</v>
      </c>
      <c r="AA4" s="1" t="s">
        <v>147</v>
      </c>
      <c r="AB4" s="1" t="s">
        <v>285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143</v>
      </c>
      <c r="AI4" s="1" t="s">
        <v>143</v>
      </c>
      <c r="AJ4" s="1" t="s">
        <v>143</v>
      </c>
      <c r="AK4" s="1" t="s">
        <v>143</v>
      </c>
      <c r="AL4" s="1" t="s">
        <v>143</v>
      </c>
      <c r="AM4" s="1" t="s">
        <v>143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7"/>
  <sheetViews>
    <sheetView tabSelected="1" workbookViewId="0">
      <selection activeCell="K14" sqref="K14"/>
    </sheetView>
  </sheetViews>
  <sheetFormatPr defaultRowHeight="12" x14ac:dyDescent="0.15"/>
  <cols>
    <col min="1" max="1" width="3.875" style="1" customWidth="1"/>
    <col min="2" max="2" width="16" style="1" customWidth="1"/>
    <col min="3" max="16384" width="9" style="1"/>
  </cols>
  <sheetData>
    <row r="1" spans="1:3" x14ac:dyDescent="0.15">
      <c r="A1" s="1" t="s">
        <v>110</v>
      </c>
      <c r="B1" s="1" t="s">
        <v>353</v>
      </c>
    </row>
    <row r="2" spans="1:3" x14ac:dyDescent="0.15">
      <c r="A2" s="1" t="s">
        <v>111</v>
      </c>
      <c r="B2" s="1" t="s">
        <v>354</v>
      </c>
      <c r="C2" s="1" t="s">
        <v>360</v>
      </c>
    </row>
    <row r="3" spans="1:3" x14ac:dyDescent="0.15">
      <c r="B3" s="1" t="s">
        <v>358</v>
      </c>
      <c r="C3" s="1">
        <v>0</v>
      </c>
    </row>
    <row r="4" spans="1:3" x14ac:dyDescent="0.15">
      <c r="B4" s="1" t="s">
        <v>357</v>
      </c>
      <c r="C4" s="1">
        <v>1</v>
      </c>
    </row>
    <row r="5" spans="1:3" x14ac:dyDescent="0.15">
      <c r="B5" s="1" t="s">
        <v>359</v>
      </c>
      <c r="C5" s="1">
        <v>2</v>
      </c>
    </row>
    <row r="6" spans="1:3" x14ac:dyDescent="0.15">
      <c r="A6" s="1" t="s">
        <v>355</v>
      </c>
      <c r="B6" s="1" t="s">
        <v>354</v>
      </c>
    </row>
    <row r="7" spans="1:3" x14ac:dyDescent="0.15">
      <c r="A7" s="1" t="s">
        <v>356</v>
      </c>
      <c r="B7" s="1" t="s">
        <v>353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112</v>
      </c>
      <c r="B1" s="3" t="s">
        <v>208</v>
      </c>
    </row>
    <row r="2" spans="1:3" x14ac:dyDescent="0.15">
      <c r="A2" s="1" t="s">
        <v>113</v>
      </c>
      <c r="B2" s="3" t="s">
        <v>32</v>
      </c>
      <c r="C2" s="1" t="s">
        <v>117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108</v>
      </c>
      <c r="B5" s="3" t="s">
        <v>34</v>
      </c>
      <c r="C5" s="1">
        <v>3</v>
      </c>
    </row>
    <row r="6" spans="1:3" x14ac:dyDescent="0.15">
      <c r="A6" s="1" t="s">
        <v>109</v>
      </c>
      <c r="B6" s="3" t="s">
        <v>207</v>
      </c>
    </row>
    <row r="9" spans="1:3" x14ac:dyDescent="0.15">
      <c r="A9" s="1" t="s">
        <v>112</v>
      </c>
      <c r="B9" s="3" t="s">
        <v>122</v>
      </c>
    </row>
    <row r="10" spans="1:3" x14ac:dyDescent="0.15">
      <c r="A10" s="1" t="s">
        <v>113</v>
      </c>
      <c r="B10" s="3" t="s">
        <v>115</v>
      </c>
      <c r="C10" s="1" t="s">
        <v>117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108</v>
      </c>
      <c r="B12" s="3" t="s">
        <v>40</v>
      </c>
      <c r="C12" s="1">
        <v>2</v>
      </c>
    </row>
    <row r="13" spans="1:3" x14ac:dyDescent="0.15">
      <c r="A13" s="1" t="s">
        <v>116</v>
      </c>
      <c r="B13" s="3" t="s">
        <v>114</v>
      </c>
    </row>
    <row r="14" spans="1:3" x14ac:dyDescent="0.15">
      <c r="B14" s="3"/>
    </row>
    <row r="15" spans="1:3" x14ac:dyDescent="0.15">
      <c r="A15" s="1" t="s">
        <v>112</v>
      </c>
      <c r="B15" s="3" t="s">
        <v>191</v>
      </c>
    </row>
    <row r="16" spans="1:3" x14ac:dyDescent="0.15">
      <c r="A16" s="1" t="s">
        <v>113</v>
      </c>
      <c r="B16" s="3" t="s">
        <v>115</v>
      </c>
      <c r="C16" s="1" t="s">
        <v>117</v>
      </c>
    </row>
    <row r="17" spans="1:3" x14ac:dyDescent="0.15">
      <c r="B17" s="3" t="s">
        <v>193</v>
      </c>
      <c r="C17" s="1">
        <v>1</v>
      </c>
    </row>
    <row r="18" spans="1:3" x14ac:dyDescent="0.15">
      <c r="A18" s="1" t="s">
        <v>108</v>
      </c>
      <c r="B18" s="3" t="s">
        <v>192</v>
      </c>
      <c r="C18" s="1">
        <v>2</v>
      </c>
    </row>
    <row r="19" spans="1:3" x14ac:dyDescent="0.15">
      <c r="A19" s="1" t="s">
        <v>116</v>
      </c>
      <c r="B19" s="3" t="s">
        <v>191</v>
      </c>
    </row>
    <row r="21" spans="1:3" x14ac:dyDescent="0.15">
      <c r="A21" s="1" t="s">
        <v>112</v>
      </c>
      <c r="B21" s="3" t="s">
        <v>119</v>
      </c>
    </row>
    <row r="22" spans="1:3" x14ac:dyDescent="0.15">
      <c r="A22" s="1" t="s">
        <v>113</v>
      </c>
      <c r="B22" s="3" t="s">
        <v>32</v>
      </c>
      <c r="C22" s="1" t="s">
        <v>117</v>
      </c>
    </row>
    <row r="23" spans="1:3" x14ac:dyDescent="0.15">
      <c r="B23" s="3" t="s">
        <v>171</v>
      </c>
      <c r="C23" s="1">
        <v>1</v>
      </c>
    </row>
    <row r="24" spans="1:3" x14ac:dyDescent="0.15">
      <c r="B24" s="3" t="s">
        <v>172</v>
      </c>
      <c r="C24" s="1">
        <v>2</v>
      </c>
    </row>
    <row r="25" spans="1:3" x14ac:dyDescent="0.15">
      <c r="B25" s="3" t="s">
        <v>174</v>
      </c>
      <c r="C25" s="1">
        <v>3</v>
      </c>
    </row>
    <row r="26" spans="1:3" x14ac:dyDescent="0.15">
      <c r="B26" s="3" t="s">
        <v>173</v>
      </c>
      <c r="C26" s="1">
        <v>4</v>
      </c>
    </row>
    <row r="27" spans="1:3" x14ac:dyDescent="0.15">
      <c r="B27" s="3" t="s">
        <v>175</v>
      </c>
      <c r="C27" s="1">
        <v>5</v>
      </c>
    </row>
    <row r="28" spans="1:3" x14ac:dyDescent="0.15">
      <c r="B28" s="3" t="s">
        <v>176</v>
      </c>
      <c r="C28" s="1">
        <v>6</v>
      </c>
    </row>
    <row r="29" spans="1:3" x14ac:dyDescent="0.15">
      <c r="B29" s="3" t="s">
        <v>177</v>
      </c>
      <c r="C29" s="1">
        <v>7</v>
      </c>
    </row>
    <row r="30" spans="1:3" x14ac:dyDescent="0.15">
      <c r="B30" s="3" t="s">
        <v>178</v>
      </c>
      <c r="C30" s="1">
        <v>8</v>
      </c>
    </row>
    <row r="31" spans="1:3" x14ac:dyDescent="0.15">
      <c r="B31" s="3" t="s">
        <v>179</v>
      </c>
      <c r="C31" s="1">
        <v>9</v>
      </c>
    </row>
    <row r="32" spans="1:3" x14ac:dyDescent="0.15">
      <c r="B32" s="3" t="s">
        <v>180</v>
      </c>
      <c r="C32" s="1">
        <v>10</v>
      </c>
    </row>
    <row r="33" spans="1:5" x14ac:dyDescent="0.15">
      <c r="A33" s="1" t="s">
        <v>35</v>
      </c>
      <c r="B33" s="3" t="s">
        <v>120</v>
      </c>
      <c r="C33" s="1">
        <v>11</v>
      </c>
    </row>
    <row r="34" spans="1:5" x14ac:dyDescent="0.15">
      <c r="A34" s="1" t="s">
        <v>121</v>
      </c>
      <c r="B34" s="3" t="s">
        <v>119</v>
      </c>
    </row>
    <row r="35" spans="1:5" x14ac:dyDescent="0.15">
      <c r="B35" s="3"/>
    </row>
    <row r="36" spans="1:5" x14ac:dyDescent="0.15">
      <c r="A36" s="1" t="s">
        <v>112</v>
      </c>
      <c r="B36" s="3" t="s">
        <v>107</v>
      </c>
    </row>
    <row r="37" spans="1:5" x14ac:dyDescent="0.15">
      <c r="A37" s="1" t="s">
        <v>113</v>
      </c>
      <c r="B37" s="3" t="s">
        <v>32</v>
      </c>
      <c r="C37" s="1" t="s">
        <v>117</v>
      </c>
    </row>
    <row r="38" spans="1:5" x14ac:dyDescent="0.15">
      <c r="B38" s="3" t="s">
        <v>145</v>
      </c>
      <c r="C38" s="1">
        <v>0</v>
      </c>
    </row>
    <row r="39" spans="1:5" x14ac:dyDescent="0.15">
      <c r="B39" s="3" t="s">
        <v>123</v>
      </c>
      <c r="C39" s="1">
        <v>1</v>
      </c>
    </row>
    <row r="40" spans="1:5" x14ac:dyDescent="0.15">
      <c r="B40" s="3" t="s">
        <v>124</v>
      </c>
      <c r="C40" s="1">
        <v>2</v>
      </c>
    </row>
    <row r="41" spans="1:5" x14ac:dyDescent="0.15">
      <c r="B41" s="3" t="s">
        <v>125</v>
      </c>
      <c r="C41" s="1">
        <v>3</v>
      </c>
      <c r="E41" s="3"/>
    </row>
    <row r="42" spans="1:5" x14ac:dyDescent="0.15">
      <c r="A42" s="1" t="s">
        <v>35</v>
      </c>
      <c r="B42" s="3" t="s">
        <v>126</v>
      </c>
      <c r="C42" s="1">
        <v>4</v>
      </c>
      <c r="E42" s="3"/>
    </row>
    <row r="43" spans="1:5" x14ac:dyDescent="0.15">
      <c r="A43" s="1" t="s">
        <v>121</v>
      </c>
      <c r="B43" s="3" t="s">
        <v>107</v>
      </c>
      <c r="E43" s="3"/>
    </row>
    <row r="44" spans="1:5" x14ac:dyDescent="0.15">
      <c r="E44" s="3"/>
    </row>
    <row r="45" spans="1:5" x14ac:dyDescent="0.15">
      <c r="A45" s="1" t="s">
        <v>110</v>
      </c>
      <c r="B45" s="3" t="s">
        <v>74</v>
      </c>
      <c r="E45" s="3"/>
    </row>
    <row r="46" spans="1:5" x14ac:dyDescent="0.15">
      <c r="A46" s="1" t="s">
        <v>111</v>
      </c>
      <c r="B46" s="3" t="s">
        <v>32</v>
      </c>
      <c r="C46" s="1" t="s">
        <v>117</v>
      </c>
      <c r="E46" s="3"/>
    </row>
    <row r="47" spans="1:5" x14ac:dyDescent="0.15">
      <c r="B47" s="3" t="s">
        <v>129</v>
      </c>
      <c r="C47" s="1">
        <v>1</v>
      </c>
      <c r="E47" s="3"/>
    </row>
    <row r="48" spans="1:5" x14ac:dyDescent="0.15">
      <c r="B48" s="3" t="s">
        <v>277</v>
      </c>
      <c r="C48" s="1">
        <v>2</v>
      </c>
      <c r="E48" s="3"/>
    </row>
    <row r="49" spans="1:5" x14ac:dyDescent="0.15">
      <c r="B49" s="3" t="s">
        <v>279</v>
      </c>
      <c r="C49" s="1">
        <v>3</v>
      </c>
      <c r="E49" s="3"/>
    </row>
    <row r="50" spans="1:5" x14ac:dyDescent="0.15">
      <c r="B50" s="3" t="s">
        <v>280</v>
      </c>
      <c r="C50" s="1">
        <v>4</v>
      </c>
      <c r="E50" s="3"/>
    </row>
    <row r="51" spans="1:5" x14ac:dyDescent="0.15">
      <c r="B51" s="3" t="s">
        <v>281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131</v>
      </c>
      <c r="C53" s="1">
        <v>7</v>
      </c>
    </row>
    <row r="54" spans="1:5" x14ac:dyDescent="0.15">
      <c r="B54" s="3" t="s">
        <v>130</v>
      </c>
      <c r="C54" s="1">
        <v>8</v>
      </c>
      <c r="E54" s="3"/>
    </row>
    <row r="55" spans="1:5" x14ac:dyDescent="0.15">
      <c r="A55" s="1" t="s">
        <v>35</v>
      </c>
      <c r="B55" s="3" t="s">
        <v>282</v>
      </c>
      <c r="C55" s="1">
        <v>9</v>
      </c>
      <c r="E55" s="3"/>
    </row>
    <row r="56" spans="1:5" x14ac:dyDescent="0.15">
      <c r="A56" s="1" t="s">
        <v>109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110</v>
      </c>
      <c r="B58" s="3" t="s">
        <v>132</v>
      </c>
      <c r="E58" s="3"/>
    </row>
    <row r="59" spans="1:5" x14ac:dyDescent="0.15">
      <c r="A59" s="1" t="s">
        <v>111</v>
      </c>
      <c r="B59" s="3" t="s">
        <v>32</v>
      </c>
      <c r="C59" s="1" t="s">
        <v>117</v>
      </c>
      <c r="E59" s="3"/>
    </row>
    <row r="60" spans="1:5" x14ac:dyDescent="0.15">
      <c r="B60" s="3" t="s">
        <v>134</v>
      </c>
      <c r="C60" s="1">
        <v>1</v>
      </c>
    </row>
    <row r="61" spans="1:5" x14ac:dyDescent="0.15">
      <c r="B61" s="3" t="s">
        <v>135</v>
      </c>
      <c r="C61" s="1">
        <v>2</v>
      </c>
    </row>
    <row r="62" spans="1:5" x14ac:dyDescent="0.15">
      <c r="B62" s="3" t="s">
        <v>136</v>
      </c>
      <c r="C62" s="1">
        <v>3</v>
      </c>
    </row>
    <row r="63" spans="1:5" x14ac:dyDescent="0.15">
      <c r="A63" s="1" t="s">
        <v>35</v>
      </c>
      <c r="B63" s="3" t="s">
        <v>137</v>
      </c>
      <c r="C63" s="1">
        <v>4</v>
      </c>
    </row>
    <row r="64" spans="1:5" x14ac:dyDescent="0.15">
      <c r="A64" s="1" t="s">
        <v>109</v>
      </c>
      <c r="B64" s="3" t="s">
        <v>132</v>
      </c>
    </row>
    <row r="65" spans="1:3" x14ac:dyDescent="0.15">
      <c r="B65" s="3"/>
    </row>
    <row r="66" spans="1:3" x14ac:dyDescent="0.15">
      <c r="A66" s="1" t="s">
        <v>110</v>
      </c>
      <c r="B66" s="3" t="s">
        <v>86</v>
      </c>
    </row>
    <row r="67" spans="1:3" x14ac:dyDescent="0.15">
      <c r="A67" s="1" t="s">
        <v>111</v>
      </c>
      <c r="B67" s="3" t="s">
        <v>32</v>
      </c>
      <c r="C67" s="1" t="s">
        <v>117</v>
      </c>
    </row>
    <row r="68" spans="1:3" x14ac:dyDescent="0.15">
      <c r="B68" s="3" t="s">
        <v>133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138</v>
      </c>
      <c r="C70" s="1">
        <v>3</v>
      </c>
    </row>
    <row r="71" spans="1:3" x14ac:dyDescent="0.15">
      <c r="B71" s="3" t="s">
        <v>139</v>
      </c>
      <c r="C71" s="1">
        <v>4</v>
      </c>
    </row>
    <row r="72" spans="1:3" x14ac:dyDescent="0.15">
      <c r="B72" s="3" t="s">
        <v>140</v>
      </c>
      <c r="C72" s="1">
        <v>5</v>
      </c>
    </row>
    <row r="73" spans="1:3" x14ac:dyDescent="0.15">
      <c r="B73" s="3" t="s">
        <v>142</v>
      </c>
      <c r="C73" s="1">
        <v>6</v>
      </c>
    </row>
    <row r="74" spans="1:3" x14ac:dyDescent="0.15">
      <c r="B74" s="3" t="s">
        <v>141</v>
      </c>
      <c r="C74" s="1">
        <v>7</v>
      </c>
    </row>
    <row r="75" spans="1:3" x14ac:dyDescent="0.15">
      <c r="B75" s="3" t="s">
        <v>194</v>
      </c>
      <c r="C75" s="1">
        <v>8</v>
      </c>
    </row>
    <row r="76" spans="1:3" x14ac:dyDescent="0.15">
      <c r="B76" s="3" t="s">
        <v>195</v>
      </c>
      <c r="C76" s="1">
        <v>9</v>
      </c>
    </row>
    <row r="77" spans="1:3" x14ac:dyDescent="0.15">
      <c r="B77" s="3" t="s">
        <v>196</v>
      </c>
      <c r="C77" s="1">
        <v>10</v>
      </c>
    </row>
    <row r="78" spans="1:3" x14ac:dyDescent="0.15">
      <c r="B78" s="3" t="s">
        <v>197</v>
      </c>
      <c r="C78" s="1">
        <v>11</v>
      </c>
    </row>
    <row r="79" spans="1:3" x14ac:dyDescent="0.15">
      <c r="B79" s="3" t="s">
        <v>198</v>
      </c>
      <c r="C79" s="1">
        <v>12</v>
      </c>
    </row>
    <row r="80" spans="1:3" x14ac:dyDescent="0.15">
      <c r="A80" s="1" t="s">
        <v>35</v>
      </c>
      <c r="B80" s="3" t="s">
        <v>199</v>
      </c>
      <c r="C80" s="1">
        <v>13</v>
      </c>
    </row>
    <row r="81" spans="1:3" x14ac:dyDescent="0.15">
      <c r="A81" s="1" t="s">
        <v>109</v>
      </c>
      <c r="B81" s="3" t="s">
        <v>86</v>
      </c>
    </row>
    <row r="83" spans="1:3" x14ac:dyDescent="0.15">
      <c r="A83" s="1" t="s">
        <v>110</v>
      </c>
      <c r="B83" s="3" t="s">
        <v>59</v>
      </c>
    </row>
    <row r="84" spans="1:3" x14ac:dyDescent="0.15">
      <c r="A84" s="1" t="s">
        <v>111</v>
      </c>
      <c r="B84" s="3" t="s">
        <v>32</v>
      </c>
      <c r="C84" s="1" t="s">
        <v>117</v>
      </c>
    </row>
    <row r="85" spans="1:3" x14ac:dyDescent="0.15">
      <c r="B85" s="3" t="s">
        <v>315</v>
      </c>
      <c r="C85" s="1">
        <v>1</v>
      </c>
    </row>
    <row r="86" spans="1:3" x14ac:dyDescent="0.15">
      <c r="B86" s="3" t="s">
        <v>313</v>
      </c>
      <c r="C86" s="1">
        <v>2</v>
      </c>
    </row>
    <row r="87" spans="1:3" x14ac:dyDescent="0.15">
      <c r="A87" s="1" t="s">
        <v>35</v>
      </c>
      <c r="B87" s="3" t="s">
        <v>314</v>
      </c>
      <c r="C87" s="1">
        <v>3</v>
      </c>
    </row>
    <row r="88" spans="1:3" x14ac:dyDescent="0.15">
      <c r="A88" s="1" t="s">
        <v>109</v>
      </c>
      <c r="B88" s="3" t="s">
        <v>146</v>
      </c>
    </row>
    <row r="89" spans="1:3" x14ac:dyDescent="0.15">
      <c r="B89" s="3"/>
    </row>
    <row r="90" spans="1:3" x14ac:dyDescent="0.15">
      <c r="A90" s="1" t="s">
        <v>110</v>
      </c>
      <c r="B90" s="3" t="s">
        <v>148</v>
      </c>
    </row>
    <row r="91" spans="1:3" x14ac:dyDescent="0.15">
      <c r="A91" s="1" t="s">
        <v>111</v>
      </c>
      <c r="B91" s="3" t="s">
        <v>32</v>
      </c>
      <c r="C91" s="1" t="s">
        <v>117</v>
      </c>
    </row>
    <row r="92" spans="1:3" x14ac:dyDescent="0.15">
      <c r="B92" s="3" t="s">
        <v>228</v>
      </c>
      <c r="C92" s="1">
        <v>0</v>
      </c>
    </row>
    <row r="93" spans="1:3" x14ac:dyDescent="0.15">
      <c r="B93" s="3" t="s">
        <v>149</v>
      </c>
      <c r="C93" s="1">
        <v>1</v>
      </c>
    </row>
    <row r="94" spans="1:3" x14ac:dyDescent="0.15">
      <c r="B94" s="3" t="s">
        <v>150</v>
      </c>
      <c r="C94" s="1">
        <v>2</v>
      </c>
    </row>
    <row r="95" spans="1:3" x14ac:dyDescent="0.15">
      <c r="B95" s="3" t="s">
        <v>151</v>
      </c>
      <c r="C95" s="1">
        <v>3</v>
      </c>
    </row>
    <row r="96" spans="1:3" x14ac:dyDescent="0.15">
      <c r="A96" s="1" t="s">
        <v>35</v>
      </c>
      <c r="B96" s="3" t="s">
        <v>152</v>
      </c>
      <c r="C96" s="1">
        <v>4</v>
      </c>
    </row>
    <row r="97" spans="1:6" x14ac:dyDescent="0.15">
      <c r="A97" s="1" t="s">
        <v>109</v>
      </c>
      <c r="B97" s="3" t="s">
        <v>148</v>
      </c>
    </row>
    <row r="99" spans="1:6" x14ac:dyDescent="0.15">
      <c r="A99" s="1" t="s">
        <v>110</v>
      </c>
      <c r="B99" s="3" t="s">
        <v>158</v>
      </c>
      <c r="C99" s="3"/>
    </row>
    <row r="100" spans="1:6" x14ac:dyDescent="0.15">
      <c r="A100" s="1" t="s">
        <v>111</v>
      </c>
      <c r="B100" s="3" t="s">
        <v>159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162</v>
      </c>
      <c r="C102" s="2" t="s">
        <v>86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155</v>
      </c>
      <c r="C107" s="2" t="s">
        <v>160</v>
      </c>
    </row>
    <row r="108" spans="1:6" x14ac:dyDescent="0.15">
      <c r="B108" s="2" t="s">
        <v>154</v>
      </c>
      <c r="C108" s="2" t="s">
        <v>160</v>
      </c>
    </row>
    <row r="109" spans="1:6" x14ac:dyDescent="0.15">
      <c r="B109" s="2" t="s">
        <v>64</v>
      </c>
      <c r="C109" s="2" t="s">
        <v>161</v>
      </c>
    </row>
    <row r="110" spans="1:6" x14ac:dyDescent="0.15">
      <c r="B110" s="2" t="s">
        <v>156</v>
      </c>
      <c r="C110" s="2" t="s">
        <v>160</v>
      </c>
    </row>
    <row r="111" spans="1:6" x14ac:dyDescent="0.15">
      <c r="B111" s="2" t="s">
        <v>157</v>
      </c>
      <c r="C111" s="2" t="s">
        <v>160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160</v>
      </c>
    </row>
    <row r="114" spans="1:3" x14ac:dyDescent="0.15">
      <c r="B114" s="2" t="s">
        <v>62</v>
      </c>
      <c r="C114" s="2" t="s">
        <v>160</v>
      </c>
    </row>
    <row r="115" spans="1:3" x14ac:dyDescent="0.15">
      <c r="B115" s="2" t="s">
        <v>144</v>
      </c>
      <c r="C115" s="2" t="s">
        <v>144</v>
      </c>
    </row>
    <row r="116" spans="1:3" x14ac:dyDescent="0.15">
      <c r="A116" s="1" t="s">
        <v>35</v>
      </c>
      <c r="B116" s="2" t="s">
        <v>153</v>
      </c>
      <c r="C116" s="2" t="s">
        <v>160</v>
      </c>
    </row>
    <row r="117" spans="1:3" x14ac:dyDescent="0.15">
      <c r="A117" s="1" t="s">
        <v>109</v>
      </c>
      <c r="B117" s="3" t="s">
        <v>158</v>
      </c>
    </row>
    <row r="119" spans="1:3" x14ac:dyDescent="0.15">
      <c r="A119" s="1" t="s">
        <v>110</v>
      </c>
      <c r="B119" s="3" t="s">
        <v>204</v>
      </c>
    </row>
    <row r="120" spans="1:3" x14ac:dyDescent="0.15">
      <c r="A120" s="1" t="s">
        <v>111</v>
      </c>
      <c r="B120" s="3" t="s">
        <v>32</v>
      </c>
      <c r="C120" s="1" t="s">
        <v>117</v>
      </c>
    </row>
    <row r="121" spans="1:3" x14ac:dyDescent="0.15">
      <c r="B121" s="3" t="s">
        <v>205</v>
      </c>
      <c r="C121" s="1">
        <v>1</v>
      </c>
    </row>
    <row r="122" spans="1:3" x14ac:dyDescent="0.15">
      <c r="A122" s="1" t="s">
        <v>35</v>
      </c>
      <c r="B122" s="3" t="s">
        <v>206</v>
      </c>
      <c r="C122" s="1">
        <v>2</v>
      </c>
    </row>
    <row r="123" spans="1:3" x14ac:dyDescent="0.15">
      <c r="A123" s="1" t="s">
        <v>109</v>
      </c>
      <c r="B123" s="3" t="s">
        <v>204</v>
      </c>
    </row>
    <row r="125" spans="1:3" x14ac:dyDescent="0.15">
      <c r="A125" s="1" t="s">
        <v>110</v>
      </c>
      <c r="B125" s="3" t="s">
        <v>214</v>
      </c>
    </row>
    <row r="126" spans="1:3" x14ac:dyDescent="0.15">
      <c r="A126" s="1" t="s">
        <v>111</v>
      </c>
      <c r="B126" s="3" t="s">
        <v>220</v>
      </c>
      <c r="C126" s="1" t="s">
        <v>215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109</v>
      </c>
      <c r="B132" s="38" t="s">
        <v>214</v>
      </c>
      <c r="C132" s="39"/>
    </row>
    <row r="133" spans="1:3" x14ac:dyDescent="0.15">
      <c r="B133" s="39"/>
      <c r="C133" s="39"/>
    </row>
    <row r="134" spans="1:3" x14ac:dyDescent="0.15">
      <c r="A134" s="1" t="s">
        <v>110</v>
      </c>
      <c r="B134" s="3" t="s">
        <v>224</v>
      </c>
    </row>
    <row r="135" spans="1:3" x14ac:dyDescent="0.15">
      <c r="A135" s="1" t="s">
        <v>111</v>
      </c>
      <c r="B135" s="3" t="s">
        <v>32</v>
      </c>
      <c r="C135" s="1" t="s">
        <v>117</v>
      </c>
    </row>
    <row r="136" spans="1:3" x14ac:dyDescent="0.15">
      <c r="B136" s="3" t="s">
        <v>225</v>
      </c>
      <c r="C136" s="1">
        <v>1</v>
      </c>
    </row>
    <row r="137" spans="1:3" x14ac:dyDescent="0.15">
      <c r="A137" s="1" t="s">
        <v>35</v>
      </c>
      <c r="B137" s="3" t="s">
        <v>226</v>
      </c>
      <c r="C137" s="1">
        <v>2</v>
      </c>
    </row>
    <row r="138" spans="1:3" x14ac:dyDescent="0.15">
      <c r="A138" s="1" t="s">
        <v>109</v>
      </c>
      <c r="B138" s="3" t="s">
        <v>224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G21" sqref="A1:G21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Form_NewTreades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Configs</vt:lpstr>
      <vt:lpstr>Cfgs_Misc</vt:lpstr>
      <vt:lpstr>Cfg_Underlying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2018-01-10T07:13:39Z</dcterms:modified>
</cp:coreProperties>
</file>