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4000" windowHeight="9750"/>
  </bookViews>
  <sheets>
    <sheet name="Form_NewTrades" sheetId="4" r:id="rId1"/>
    <sheet name="Cfg_Misc" sheetId="17" r:id="rId2"/>
    <sheet name="Cfg_Clients" sheetId="19" r:id="rId3"/>
    <sheet name="Cfg_Underlying" sheetId="20" r:id="rId4"/>
    <sheet name="Event" sheetId="8" r:id="rId5"/>
    <sheet name="DB_DealEvent" sheetId="10" r:id="rId6"/>
    <sheet name="DB_CashFlow" sheetId="11" r:id="rId7"/>
    <sheet name="DB_Account" sheetId="14" r:id="rId8"/>
    <sheet name="DB_PrcTrades" sheetId="9" r:id="rId9"/>
    <sheet name="DB_RawTrades" sheetId="12" r:id="rId10"/>
    <sheet name="Cfg_TrdCalenda" sheetId="3" r:id="rId11"/>
    <sheet name="Cfgs_Misc" sheetId="6" r:id="rId12"/>
    <sheet name="Info_Client" sheetId="16" r:id="rId13"/>
    <sheet name="Info_Underlying" sheetId="18" r:id="rId14"/>
  </sheets>
  <functionGroups builtInGroupCount="18"/>
  <externalReferences>
    <externalReference r:id="rId15"/>
    <externalReference r:id="rId16"/>
  </externalReferences>
  <calcPr calcId="152511" calcMode="manual"/>
</workbook>
</file>

<file path=xl/calcChain.xml><?xml version="1.0" encoding="utf-8"?>
<calcChain xmlns="http://schemas.openxmlformats.org/spreadsheetml/2006/main">
  <c r="H2" i="8" l="1"/>
  <c r="I2" i="4"/>
  <c r="C128" i="6"/>
  <c r="C129" i="6"/>
  <c r="C130" i="6"/>
  <c r="C131" i="6"/>
  <c r="C127" i="6"/>
  <c r="C14" i="20"/>
  <c r="C13" i="20"/>
  <c r="C7" i="20"/>
  <c r="C6" i="18"/>
  <c r="C9" i="18"/>
  <c r="C6" i="4"/>
  <c r="E8" i="4"/>
  <c r="C20" i="20"/>
  <c r="C8" i="20"/>
  <c r="C12" i="18"/>
  <c r="H8" i="4"/>
  <c r="C4" i="20"/>
  <c r="C4" i="18"/>
  <c r="K8" i="4"/>
  <c r="C19" i="20"/>
  <c r="B8" i="4"/>
  <c r="J985" i="4"/>
  <c r="I8" i="4"/>
  <c r="C3" i="20"/>
  <c r="L8" i="4"/>
  <c r="C3" i="18"/>
  <c r="C10" i="18"/>
  <c r="C9" i="20"/>
  <c r="C13" i="18"/>
  <c r="C11" i="18"/>
  <c r="C16" i="20"/>
  <c r="C16" i="18"/>
  <c r="C6" i="20"/>
  <c r="C5" i="20"/>
  <c r="C18" i="20"/>
  <c r="D6" i="4"/>
  <c r="B6" i="4"/>
  <c r="C15" i="18"/>
  <c r="C17" i="18"/>
  <c r="C12" i="20"/>
  <c r="C18" i="18"/>
  <c r="F8" i="4"/>
  <c r="C11" i="20"/>
  <c r="C20" i="18"/>
  <c r="C7" i="18"/>
  <c r="C14" i="18"/>
  <c r="C10" i="20"/>
  <c r="J988" i="4"/>
  <c r="B10" i="4"/>
  <c r="C17" i="20"/>
  <c r="C5" i="18"/>
  <c r="C19" i="18"/>
  <c r="C15" i="20"/>
  <c r="D8" i="4"/>
  <c r="C8" i="4"/>
  <c r="C8" i="18"/>
  <c r="C10" i="4"/>
  <c r="M8" i="4"/>
  <c r="J8" i="4"/>
  <c r="G8" i="4"/>
  <c r="D10" i="4"/>
</calcChain>
</file>

<file path=xl/sharedStrings.xml><?xml version="1.0" encoding="utf-8"?>
<sst xmlns="http://schemas.openxmlformats.org/spreadsheetml/2006/main" count="797" uniqueCount="431">
  <si>
    <t>TrdDate</t>
    <phoneticPr fontId="1" type="noConversion"/>
  </si>
  <si>
    <t>ProdID</t>
    <phoneticPr fontId="1" type="noConversion"/>
  </si>
  <si>
    <t>InitPrice</t>
    <phoneticPr fontId="1" type="noConversion"/>
  </si>
  <si>
    <t>#</t>
    <phoneticPr fontId="1" type="noConversion"/>
  </si>
  <si>
    <t>Index</t>
    <phoneticPr fontId="1" type="noConversion"/>
  </si>
  <si>
    <t>ObsvBegDate</t>
    <phoneticPr fontId="1" type="noConversion"/>
  </si>
  <si>
    <t>ObsvEndDate</t>
    <phoneticPr fontId="1" type="noConversion"/>
  </si>
  <si>
    <t>SYPZ</t>
    <phoneticPr fontId="1" type="noConversion"/>
  </si>
  <si>
    <t>000300</t>
    <phoneticPr fontId="1" type="noConversion"/>
  </si>
  <si>
    <t>Class</t>
    <phoneticPr fontId="1" type="noConversion"/>
  </si>
  <si>
    <t>Exchange</t>
    <phoneticPr fontId="1" type="noConversion"/>
  </si>
  <si>
    <t>IF00</t>
    <phoneticPr fontId="1" type="noConversion"/>
  </si>
  <si>
    <t>IF01</t>
    <phoneticPr fontId="1" type="noConversion"/>
  </si>
  <si>
    <t>IF02</t>
    <phoneticPr fontId="1" type="noConversion"/>
  </si>
  <si>
    <t>IF03</t>
    <phoneticPr fontId="1" type="noConversion"/>
  </si>
  <si>
    <t>IH00</t>
    <phoneticPr fontId="1" type="noConversion"/>
  </si>
  <si>
    <t>IH01</t>
    <phoneticPr fontId="1" type="noConversion"/>
  </si>
  <si>
    <t>IH02</t>
    <phoneticPr fontId="1" type="noConversion"/>
  </si>
  <si>
    <t>IH03</t>
    <phoneticPr fontId="1" type="noConversion"/>
  </si>
  <si>
    <t>SH</t>
    <phoneticPr fontId="1" type="noConversion"/>
  </si>
  <si>
    <t>IC00</t>
    <phoneticPr fontId="1" type="noConversion"/>
  </si>
  <si>
    <t>IC01</t>
    <phoneticPr fontId="1" type="noConversion"/>
  </si>
  <si>
    <t>IC02</t>
    <phoneticPr fontId="1" type="noConversion"/>
  </si>
  <si>
    <t>IC03</t>
    <phoneticPr fontId="1" type="noConversion"/>
  </si>
  <si>
    <t>Mutiplier</t>
    <phoneticPr fontId="1" type="noConversion"/>
  </si>
  <si>
    <t>000905</t>
    <phoneticPr fontId="1" type="noConversion"/>
  </si>
  <si>
    <t>000016</t>
    <phoneticPr fontId="1" type="noConversion"/>
  </si>
  <si>
    <t>Au12M</t>
    <phoneticPr fontId="1" type="noConversion"/>
  </si>
  <si>
    <t>Au</t>
    <phoneticPr fontId="1" type="noConversion"/>
  </si>
  <si>
    <t>UnderAsset</t>
    <phoneticPr fontId="1" type="noConversion"/>
  </si>
  <si>
    <t>IndexFuture</t>
    <phoneticPr fontId="1" type="noConversion"/>
  </si>
  <si>
    <t>CmdtyFuture</t>
    <phoneticPr fontId="1" type="noConversion"/>
  </si>
  <si>
    <t>Name</t>
    <phoneticPr fontId="1" type="noConversion"/>
  </si>
  <si>
    <t>EDS</t>
    <phoneticPr fontId="1" type="noConversion"/>
  </si>
  <si>
    <t>CMDTY</t>
    <phoneticPr fontId="1" type="noConversion"/>
  </si>
  <si>
    <t>##e</t>
    <phoneticPr fontId="1" type="noConversion"/>
  </si>
  <si>
    <t>CFE</t>
    <phoneticPr fontId="1" type="noConversion"/>
  </si>
  <si>
    <t>SHF</t>
    <phoneticPr fontId="1" type="noConversion"/>
  </si>
  <si>
    <t>Au(T+D)</t>
    <phoneticPr fontId="1" type="noConversion"/>
  </si>
  <si>
    <t>SGE</t>
    <phoneticPr fontId="1" type="noConversion"/>
  </si>
  <si>
    <t>Sell</t>
    <phoneticPr fontId="1" type="noConversion"/>
  </si>
  <si>
    <t>Underlying/Hedging Ticker Information</t>
    <phoneticPr fontId="1" type="noConversion"/>
  </si>
  <si>
    <t>Au06M</t>
    <phoneticPr fontId="1" type="noConversion"/>
  </si>
  <si>
    <t>Buy</t>
    <phoneticPr fontId="1" type="noConversion"/>
  </si>
  <si>
    <t>Leg1</t>
    <phoneticPr fontId="1" type="noConversion"/>
  </si>
  <si>
    <t>000905.SH</t>
  </si>
  <si>
    <t>IF1708.CFE</t>
  </si>
  <si>
    <t>IF1709.CFE</t>
  </si>
  <si>
    <t>IF1712.CFE</t>
  </si>
  <si>
    <t>IF1803.CFE</t>
  </si>
  <si>
    <t>IH1708.CFE</t>
  </si>
  <si>
    <t>IH1709.CFE</t>
  </si>
  <si>
    <t>IH1712.CFE</t>
  </si>
  <si>
    <t>IH1803.CFE</t>
  </si>
  <si>
    <t>IC1708.CFE</t>
  </si>
  <si>
    <t>IC1709.CFE</t>
  </si>
  <si>
    <t>IC1712.CFE</t>
  </si>
  <si>
    <t>IC1803.CFE</t>
  </si>
  <si>
    <t>Template</t>
    <phoneticPr fontId="1" type="noConversion"/>
  </si>
  <si>
    <t>ProdBegDate</t>
    <phoneticPr fontId="1" type="noConversion"/>
  </si>
  <si>
    <t>ProdID</t>
    <phoneticPr fontId="1" type="noConversion"/>
  </si>
  <si>
    <t>State</t>
    <phoneticPr fontId="1" type="noConversion"/>
  </si>
  <si>
    <t>EndPrice</t>
    <phoneticPr fontId="1" type="noConversion"/>
  </si>
  <si>
    <t>Underlying</t>
    <phoneticPr fontId="1" type="noConversion"/>
  </si>
  <si>
    <t>#</t>
    <phoneticPr fontId="1" type="noConversion"/>
  </si>
  <si>
    <t>ProdID</t>
    <phoneticPr fontId="1" type="noConversion"/>
  </si>
  <si>
    <t>AcctEntity</t>
    <phoneticPr fontId="1" type="noConversion"/>
  </si>
  <si>
    <t>RecordDate</t>
    <phoneticPr fontId="1" type="noConversion"/>
  </si>
  <si>
    <t>#1</t>
    <phoneticPr fontId="1" type="noConversion"/>
  </si>
  <si>
    <t>#2</t>
    <phoneticPr fontId="1" type="noConversion"/>
  </si>
  <si>
    <t>ProdEndDate</t>
    <phoneticPr fontId="1" type="noConversion"/>
  </si>
  <si>
    <t>ProdTenor</t>
    <phoneticPr fontId="1" type="noConversion"/>
  </si>
  <si>
    <t>InitPrice</t>
    <phoneticPr fontId="1" type="noConversion"/>
  </si>
  <si>
    <t>OptionType</t>
    <phoneticPr fontId="1" type="noConversion"/>
  </si>
  <si>
    <t>PayoffStyle</t>
    <phoneticPr fontId="1" type="noConversion"/>
  </si>
  <si>
    <t>ObsvBegDate</t>
    <phoneticPr fontId="1" type="noConversion"/>
  </si>
  <si>
    <t>ObsvEndDate</t>
    <phoneticPr fontId="1" type="noConversion"/>
  </si>
  <si>
    <t>X1</t>
    <phoneticPr fontId="1" type="noConversion"/>
  </si>
  <si>
    <t>X2</t>
    <phoneticPr fontId="1" type="noConversion"/>
  </si>
  <si>
    <t>H1</t>
    <phoneticPr fontId="1" type="noConversion"/>
  </si>
  <si>
    <t>H2</t>
    <phoneticPr fontId="1" type="noConversion"/>
  </si>
  <si>
    <t>RebateRate</t>
    <phoneticPr fontId="1" type="noConversion"/>
  </si>
  <si>
    <t>TradeVol</t>
    <phoneticPr fontId="1" type="noConversion"/>
  </si>
  <si>
    <t>SpecialVol</t>
    <phoneticPr fontId="1" type="noConversion"/>
  </si>
  <si>
    <t>LegLabel</t>
  </si>
  <si>
    <t>LegLabel</t>
    <phoneticPr fontId="1" type="noConversion"/>
  </si>
  <si>
    <t>Template</t>
  </si>
  <si>
    <t>ProdID</t>
  </si>
  <si>
    <t>TrdDate</t>
  </si>
  <si>
    <t>ProdBegDate</t>
  </si>
  <si>
    <t>ProdEndDate</t>
  </si>
  <si>
    <t>ProdTenor</t>
  </si>
  <si>
    <t>CounterParty</t>
  </si>
  <si>
    <t>SpecialVol</t>
  </si>
  <si>
    <t>SpecialCorr</t>
  </si>
  <si>
    <t>InitPrice</t>
  </si>
  <si>
    <t>ObsvBegDate</t>
  </si>
  <si>
    <t>ObsvEndDate</t>
  </si>
  <si>
    <t>X2</t>
  </si>
  <si>
    <t>H1</t>
  </si>
  <si>
    <t>H2</t>
  </si>
  <si>
    <t>RebateRate</t>
  </si>
  <si>
    <t>TradeVol</t>
  </si>
  <si>
    <t>#</t>
    <phoneticPr fontId="1" type="noConversion"/>
  </si>
  <si>
    <t>Structure</t>
    <phoneticPr fontId="1" type="noConversion"/>
  </si>
  <si>
    <t>ClientBuySell</t>
    <phoneticPr fontId="1" type="noConversion"/>
  </si>
  <si>
    <t>Sales</t>
    <phoneticPr fontId="1" type="noConversion"/>
  </si>
  <si>
    <t>##e</t>
    <phoneticPr fontId="1" type="noConversion"/>
  </si>
  <si>
    <t>#e</t>
    <phoneticPr fontId="1" type="noConversion"/>
  </si>
  <si>
    <t>#b</t>
    <phoneticPr fontId="1" type="noConversion"/>
  </si>
  <si>
    <t>##b</t>
    <phoneticPr fontId="1" type="noConversion"/>
  </si>
  <si>
    <t>#b</t>
    <phoneticPr fontId="1" type="noConversion"/>
  </si>
  <si>
    <t>##b</t>
    <phoneticPr fontId="1" type="noConversion"/>
  </si>
  <si>
    <t>BuySellDirection</t>
    <phoneticPr fontId="1" type="noConversion"/>
  </si>
  <si>
    <t>Direction</t>
    <phoneticPr fontId="1" type="noConversion"/>
  </si>
  <si>
    <t>#e</t>
    <phoneticPr fontId="1" type="noConversion"/>
  </si>
  <si>
    <t>Seq</t>
    <phoneticPr fontId="1" type="noConversion"/>
  </si>
  <si>
    <t>000300</t>
    <phoneticPr fontId="1" type="noConversion"/>
  </si>
  <si>
    <t>ProductStructure</t>
    <phoneticPr fontId="1" type="noConversion"/>
  </si>
  <si>
    <t>DSF</t>
    <phoneticPr fontId="1" type="noConversion"/>
  </si>
  <si>
    <t>#e</t>
    <phoneticPr fontId="1" type="noConversion"/>
  </si>
  <si>
    <t>BuySellDirection</t>
    <phoneticPr fontId="1" type="noConversion"/>
  </si>
  <si>
    <t>QC.Zhou</t>
    <phoneticPr fontId="1" type="noConversion"/>
  </si>
  <si>
    <t>XY.Shen</t>
    <phoneticPr fontId="1" type="noConversion"/>
  </si>
  <si>
    <t>HX.Fan</t>
    <phoneticPr fontId="1" type="noConversion"/>
  </si>
  <si>
    <t>HQ.Xiong</t>
    <phoneticPr fontId="1" type="noConversion"/>
  </si>
  <si>
    <t>HedgeTool</t>
    <phoneticPr fontId="1" type="noConversion"/>
  </si>
  <si>
    <t>HedgeTicker</t>
    <phoneticPr fontId="1" type="noConversion"/>
  </si>
  <si>
    <t>Vanilla</t>
    <phoneticPr fontId="1" type="noConversion"/>
  </si>
  <si>
    <t>AutoCall</t>
    <phoneticPr fontId="1" type="noConversion"/>
  </si>
  <si>
    <t>Asian</t>
    <phoneticPr fontId="1" type="noConversion"/>
  </si>
  <si>
    <t>PayoffType</t>
    <phoneticPr fontId="1" type="noConversion"/>
  </si>
  <si>
    <t>Single</t>
    <phoneticPr fontId="1" type="noConversion"/>
  </si>
  <si>
    <t>C</t>
    <phoneticPr fontId="1" type="noConversion"/>
  </si>
  <si>
    <t>P</t>
    <phoneticPr fontId="1" type="noConversion"/>
  </si>
  <si>
    <t>CUO</t>
    <phoneticPr fontId="1" type="noConversion"/>
  </si>
  <si>
    <t>PDO</t>
    <phoneticPr fontId="1" type="noConversion"/>
  </si>
  <si>
    <t>Leg2</t>
    <phoneticPr fontId="1" type="noConversion"/>
  </si>
  <si>
    <t>Leg3</t>
    <phoneticPr fontId="1" type="noConversion"/>
  </si>
  <si>
    <t>Leg4</t>
    <phoneticPr fontId="1" type="noConversion"/>
  </si>
  <si>
    <t>Asset2</t>
    <phoneticPr fontId="1" type="noConversion"/>
  </si>
  <si>
    <t>Asset1</t>
    <phoneticPr fontId="1" type="noConversion"/>
  </si>
  <si>
    <t>Null</t>
  </si>
  <si>
    <t>TotalPrem</t>
    <phoneticPr fontId="1" type="noConversion"/>
  </si>
  <si>
    <t>Null</t>
    <phoneticPr fontId="1" type="noConversion"/>
  </si>
  <si>
    <t>Template</t>
    <phoneticPr fontId="1" type="noConversion"/>
  </si>
  <si>
    <t>Vanilla</t>
  </si>
  <si>
    <t>Entity</t>
    <phoneticPr fontId="1" type="noConversion"/>
  </si>
  <si>
    <t>CICC-SAC</t>
    <phoneticPr fontId="1" type="noConversion"/>
  </si>
  <si>
    <t>CICC-UW</t>
    <phoneticPr fontId="1" type="noConversion"/>
  </si>
  <si>
    <t>CICC-B2B</t>
    <phoneticPr fontId="1" type="noConversion"/>
  </si>
  <si>
    <t>CICC-Notes</t>
    <phoneticPr fontId="1" type="noConversion"/>
  </si>
  <si>
    <t>Intrinsic</t>
    <phoneticPr fontId="1" type="noConversion"/>
  </si>
  <si>
    <t>Tenor</t>
    <phoneticPr fontId="1" type="noConversion"/>
  </si>
  <si>
    <t>ValueDate</t>
    <phoneticPr fontId="1" type="noConversion"/>
  </si>
  <si>
    <t>Qty</t>
    <phoneticPr fontId="1" type="noConversion"/>
  </si>
  <si>
    <t>Amt</t>
    <phoneticPr fontId="1" type="noConversion"/>
  </si>
  <si>
    <t>DealStateFiled</t>
    <phoneticPr fontId="1" type="noConversion"/>
  </si>
  <si>
    <t>Field1</t>
    <phoneticPr fontId="1" type="noConversion"/>
  </si>
  <si>
    <t>Null</t>
    <phoneticPr fontId="1" type="noConversion"/>
  </si>
  <si>
    <t>Underlying</t>
    <phoneticPr fontId="1" type="noConversion"/>
  </si>
  <si>
    <t>Leg/Asset/Period</t>
    <phoneticPr fontId="1" type="noConversion"/>
  </si>
  <si>
    <t>X1</t>
    <phoneticPr fontId="1" type="noConversion"/>
  </si>
  <si>
    <t>X2</t>
    <phoneticPr fontId="1" type="noConversion"/>
  </si>
  <si>
    <t>H1`</t>
    <phoneticPr fontId="1" type="noConversion"/>
  </si>
  <si>
    <t>H2</t>
    <phoneticPr fontId="1" type="noConversion"/>
  </si>
  <si>
    <t>RebateCash</t>
    <phoneticPr fontId="1" type="noConversion"/>
  </si>
  <si>
    <t>ParRate</t>
    <phoneticPr fontId="1" type="noConversion"/>
  </si>
  <si>
    <t>Swap(AnnNtnl)</t>
  </si>
  <si>
    <t>EntityProtocal</t>
    <phoneticPr fontId="1" type="noConversion"/>
  </si>
  <si>
    <t>VAN-C</t>
    <phoneticPr fontId="1" type="noConversion"/>
  </si>
  <si>
    <t>VAN-P</t>
    <phoneticPr fontId="1" type="noConversion"/>
  </si>
  <si>
    <t>CPS-P</t>
    <phoneticPr fontId="1" type="noConversion"/>
  </si>
  <si>
    <t>CPS-C</t>
    <phoneticPr fontId="1" type="noConversion"/>
  </si>
  <si>
    <t>DIG-C</t>
    <phoneticPr fontId="1" type="noConversion"/>
  </si>
  <si>
    <t>DIG-P</t>
    <phoneticPr fontId="1" type="noConversion"/>
  </si>
  <si>
    <t>ASIAN-C</t>
    <phoneticPr fontId="1" type="noConversion"/>
  </si>
  <si>
    <t>ASIAN-P</t>
    <phoneticPr fontId="1" type="noConversion"/>
  </si>
  <si>
    <t>SF-C</t>
    <phoneticPr fontId="1" type="noConversion"/>
  </si>
  <si>
    <t>SF-P</t>
    <phoneticPr fontId="1" type="noConversion"/>
  </si>
  <si>
    <t>Item</t>
    <phoneticPr fontId="1" type="noConversion"/>
  </si>
  <si>
    <t>Amt</t>
    <phoneticPr fontId="1" type="noConversion"/>
  </si>
  <si>
    <t>CICC-Notes</t>
  </si>
  <si>
    <t>CMDTY</t>
  </si>
  <si>
    <t>EntityProtocal</t>
  </si>
  <si>
    <t>PremDate</t>
    <phoneticPr fontId="1" type="noConversion"/>
  </si>
  <si>
    <t>DueDate</t>
    <phoneticPr fontId="1" type="noConversion"/>
  </si>
  <si>
    <t>ClientDirection</t>
    <phoneticPr fontId="1" type="noConversion"/>
  </si>
  <si>
    <t>20170810-CICC-EDS-000905/000300-CPS-C-6</t>
  </si>
  <si>
    <t>Premium</t>
  </si>
  <si>
    <t>LongShortDirection</t>
    <phoneticPr fontId="1" type="noConversion"/>
  </si>
  <si>
    <t>Short</t>
    <phoneticPr fontId="1" type="noConversion"/>
  </si>
  <si>
    <t>Long</t>
    <phoneticPr fontId="1" type="noConversion"/>
  </si>
  <si>
    <t>Obsv1</t>
    <phoneticPr fontId="1" type="noConversion"/>
  </si>
  <si>
    <t>Obsv2</t>
  </si>
  <si>
    <t>Obsv3</t>
  </si>
  <si>
    <t>Obsv4</t>
  </si>
  <si>
    <t>Obsv5</t>
  </si>
  <si>
    <t>Obsv6</t>
  </si>
  <si>
    <t>SalesCredit</t>
    <phoneticPr fontId="1" type="noConversion"/>
  </si>
  <si>
    <t>#2</t>
    <phoneticPr fontId="1" type="noConversion"/>
  </si>
  <si>
    <t xml:space="preserve">Product Term Sheet Input Area </t>
    <phoneticPr fontId="1" type="noConversion"/>
  </si>
  <si>
    <t>Currency</t>
    <phoneticPr fontId="1" type="noConversion"/>
  </si>
  <si>
    <t>Currency</t>
    <phoneticPr fontId="1" type="noConversion"/>
  </si>
  <si>
    <t>RMB</t>
    <phoneticPr fontId="1" type="noConversion"/>
  </si>
  <si>
    <t>USD</t>
    <phoneticPr fontId="1" type="noConversion"/>
  </si>
  <si>
    <t>Counterparty</t>
    <phoneticPr fontId="1" type="noConversion"/>
  </si>
  <si>
    <t>Counterparty</t>
    <phoneticPr fontId="1" type="noConversion"/>
  </si>
  <si>
    <t>Prem(%)</t>
    <phoneticPr fontId="1" type="noConversion"/>
  </si>
  <si>
    <t>Call/Put</t>
    <phoneticPr fontId="1" type="noConversion"/>
  </si>
  <si>
    <t>EDS</t>
  </si>
  <si>
    <t>IntiPrice</t>
    <phoneticPr fontId="1" type="noConversion"/>
  </si>
  <si>
    <t>InitPrice</t>
    <phoneticPr fontId="1" type="noConversion"/>
  </si>
  <si>
    <t>LockCellColor</t>
    <phoneticPr fontId="1" type="noConversion"/>
  </si>
  <si>
    <t>Address</t>
    <phoneticPr fontId="1" type="noConversion"/>
  </si>
  <si>
    <t>X1</t>
    <phoneticPr fontId="1" type="noConversion"/>
  </si>
  <si>
    <t>Hedging Trades Input Area</t>
    <phoneticPr fontId="1" type="noConversion"/>
  </si>
  <si>
    <t>000016.SH</t>
    <phoneticPr fontId="1" type="noConversion"/>
  </si>
  <si>
    <t>000300.SH</t>
    <phoneticPr fontId="1" type="noConversion"/>
  </si>
  <si>
    <t>ColorIndex</t>
    <phoneticPr fontId="1" type="noConversion"/>
  </si>
  <si>
    <t>Au(T+D).SGE</t>
    <phoneticPr fontId="1" type="noConversion"/>
  </si>
  <si>
    <t>AU1806.SHF</t>
    <phoneticPr fontId="1" type="noConversion"/>
  </si>
  <si>
    <t>#3</t>
    <phoneticPr fontId="1" type="noConversion"/>
  </si>
  <si>
    <t>CashFlowItem</t>
    <phoneticPr fontId="1" type="noConversion"/>
  </si>
  <si>
    <t>Deposit</t>
    <phoneticPr fontId="1" type="noConversion"/>
  </si>
  <si>
    <t>Withdraw</t>
    <phoneticPr fontId="1" type="noConversion"/>
  </si>
  <si>
    <t>Counterparty</t>
  </si>
  <si>
    <t>CICC</t>
    <phoneticPr fontId="1" type="noConversion"/>
  </si>
  <si>
    <t>Currency</t>
  </si>
  <si>
    <t>Structure</t>
  </si>
  <si>
    <t>ClientBuySell</t>
  </si>
  <si>
    <t>TotalPrem</t>
  </si>
  <si>
    <t>PremDate</t>
  </si>
  <si>
    <t>Sales</t>
  </si>
  <si>
    <t>SalesCredit</t>
  </si>
  <si>
    <t>ClientDirection</t>
  </si>
  <si>
    <t>Underlying</t>
  </si>
  <si>
    <t>ParRate</t>
  </si>
  <si>
    <t>X1</t>
  </si>
  <si>
    <t>Date</t>
    <phoneticPr fontId="1" type="noConversion"/>
  </si>
  <si>
    <t>Swap(AnnualN.P.A.)</t>
  </si>
  <si>
    <t>SYPZ</t>
  </si>
  <si>
    <t>OptionStyle</t>
    <phoneticPr fontId="1" type="noConversion"/>
  </si>
  <si>
    <t>OptionType</t>
    <phoneticPr fontId="1" type="noConversion"/>
  </si>
  <si>
    <t>OptionType</t>
    <phoneticPr fontId="1" type="noConversion"/>
  </si>
  <si>
    <t>OptionStyle</t>
    <phoneticPr fontId="1" type="noConversion"/>
  </si>
  <si>
    <t>EndOfDay Auto Processor</t>
    <phoneticPr fontId="1" type="noConversion"/>
  </si>
  <si>
    <t>Event</t>
    <phoneticPr fontId="1" type="noConversion"/>
  </si>
  <si>
    <t>TargetProdID</t>
    <phoneticPr fontId="1" type="noConversion"/>
  </si>
  <si>
    <t>Manually Event</t>
    <phoneticPr fontId="1" type="noConversion"/>
  </si>
  <si>
    <t>1 Check underlying price</t>
    <phoneticPr fontId="1" type="noConversion"/>
  </si>
  <si>
    <t>Comfirm</t>
    <phoneticPr fontId="1" type="noConversion"/>
  </si>
  <si>
    <t>4 Check Knock out/in trades</t>
    <phoneticPr fontId="1" type="noConversion"/>
  </si>
  <si>
    <t>2 Check new products</t>
    <phoneticPr fontId="1" type="noConversion"/>
  </si>
  <si>
    <t>3 Check expired products/legs</t>
    <phoneticPr fontId="1" type="noConversion"/>
  </si>
  <si>
    <t>CICC-SAC</t>
  </si>
  <si>
    <t>CPS-C</t>
  </si>
  <si>
    <t>Buy</t>
  </si>
  <si>
    <t>Short</t>
  </si>
  <si>
    <t>20170905-CICC-SYPZ-000905-CPS-C-30</t>
  </si>
  <si>
    <t>RMB</t>
  </si>
  <si>
    <t>ASIAN-C</t>
  </si>
  <si>
    <t>20170905-CICC-SYPZ-000905-ASIAN-C-30</t>
  </si>
  <si>
    <t>SpecialParams</t>
    <phoneticPr fontId="1" type="noConversion"/>
  </si>
  <si>
    <t>DIG-C</t>
  </si>
  <si>
    <t>20170905-CICC-SYPZ-000905-DIG-C-30</t>
  </si>
  <si>
    <t>Expired</t>
    <phoneticPr fontId="1" type="noConversion"/>
  </si>
  <si>
    <t>TBD</t>
    <phoneticPr fontId="1" type="noConversion"/>
  </si>
  <si>
    <t>ReValueDate</t>
    <phoneticPr fontId="1" type="noConversion"/>
  </si>
  <si>
    <t>#0</t>
    <phoneticPr fontId="1" type="noConversion"/>
  </si>
  <si>
    <t>#1</t>
    <phoneticPr fontId="1" type="noConversion"/>
  </si>
  <si>
    <t>#2</t>
    <phoneticPr fontId="1" type="noConversion"/>
  </si>
  <si>
    <t>20170905-CICC-SYPZ-000905-CPS-C-30</t>
    <phoneticPr fontId="1" type="noConversion"/>
  </si>
  <si>
    <t>Underlying</t>
    <phoneticPr fontId="1" type="noConversion"/>
  </si>
  <si>
    <t>ProdID</t>
    <phoneticPr fontId="1" type="noConversion"/>
  </si>
  <si>
    <t>C</t>
    <phoneticPr fontId="1" type="noConversion"/>
  </si>
  <si>
    <t>Sin_Barr_E_KO</t>
    <phoneticPr fontId="1" type="noConversion"/>
  </si>
  <si>
    <t>Dig</t>
    <phoneticPr fontId="1" type="noConversion"/>
  </si>
  <si>
    <t>Sin_Barr_D_KI</t>
    <phoneticPr fontId="1" type="noConversion"/>
  </si>
  <si>
    <t>Dou_Barr_E_KO</t>
    <phoneticPr fontId="1" type="noConversion"/>
  </si>
  <si>
    <t>Dou_Barr_D_KI</t>
    <phoneticPr fontId="1" type="noConversion"/>
  </si>
  <si>
    <t>Bi_Asset_Barr_E_KO</t>
    <phoneticPr fontId="1" type="noConversion"/>
  </si>
  <si>
    <t>Event Processor</t>
    <phoneticPr fontId="1" type="noConversion"/>
  </si>
  <si>
    <t>5 Check premium/payoff</t>
    <phoneticPr fontId="1" type="noConversion"/>
  </si>
  <si>
    <t>C</t>
    <phoneticPr fontId="1" type="noConversion"/>
  </si>
  <si>
    <t>Uni</t>
    <phoneticPr fontId="1" type="noConversion"/>
  </si>
  <si>
    <t>Uni</t>
    <phoneticPr fontId="1" type="noConversion"/>
  </si>
  <si>
    <t>LegState</t>
    <phoneticPr fontId="1" type="noConversion"/>
  </si>
  <si>
    <t>#</t>
    <phoneticPr fontId="1" type="noConversion"/>
  </si>
  <si>
    <t>Payoff</t>
    <phoneticPr fontId="1" type="noConversion"/>
  </si>
  <si>
    <t>LastPrice</t>
    <phoneticPr fontId="1" type="noConversion"/>
  </si>
  <si>
    <t>Style|Type</t>
    <phoneticPr fontId="1" type="noConversion"/>
  </si>
  <si>
    <t>Structure|Leg</t>
    <phoneticPr fontId="1" type="noConversion"/>
  </si>
  <si>
    <t>Vanilla|C</t>
  </si>
  <si>
    <t>Expired</t>
  </si>
  <si>
    <t>New Trades</t>
    <phoneticPr fontId="1" type="noConversion"/>
  </si>
  <si>
    <t>Closed Trades</t>
    <phoneticPr fontId="1" type="noConversion"/>
  </si>
  <si>
    <t>EventDate</t>
    <phoneticPr fontId="1" type="noConversion"/>
  </si>
  <si>
    <t>InitPrice</t>
    <phoneticPr fontId="1" type="noConversion"/>
  </si>
  <si>
    <t>Qty</t>
    <phoneticPr fontId="1" type="noConversion"/>
  </si>
  <si>
    <t>UnitPrem</t>
    <phoneticPr fontId="1" type="noConversion"/>
  </si>
  <si>
    <t>PerPrem</t>
    <phoneticPr fontId="1" type="noConversion"/>
  </si>
  <si>
    <t>TotalPrem</t>
    <phoneticPr fontId="1" type="noConversion"/>
  </si>
  <si>
    <t>Payoff</t>
    <phoneticPr fontId="1" type="noConversion"/>
  </si>
  <si>
    <t>Leg|Style|Type</t>
    <phoneticPr fontId="1" type="noConversion"/>
  </si>
  <si>
    <t>ClosePrice</t>
    <phoneticPr fontId="1" type="noConversion"/>
  </si>
  <si>
    <t>N.P.Amt</t>
    <phoneticPr fontId="1" type="noConversion"/>
  </si>
  <si>
    <t>S|X|H|b</t>
    <phoneticPr fontId="1" type="noConversion"/>
  </si>
  <si>
    <t>N.P.Qty</t>
    <phoneticPr fontId="1" type="noConversion"/>
  </si>
  <si>
    <t>N.P.Amt</t>
    <phoneticPr fontId="1" type="noConversion"/>
  </si>
  <si>
    <t>PerPrem</t>
    <phoneticPr fontId="1" type="noConversion"/>
  </si>
  <si>
    <t>AnnN.P.A</t>
    <phoneticPr fontId="1" type="noConversion"/>
  </si>
  <si>
    <t>Option-NPQ</t>
    <phoneticPr fontId="1" type="noConversion"/>
  </si>
  <si>
    <t>Option-NPA</t>
    <phoneticPr fontId="1" type="noConversion"/>
  </si>
  <si>
    <t>SNote-AnnNPA</t>
    <phoneticPr fontId="1" type="noConversion"/>
  </si>
  <si>
    <t xml:space="preserve">Product Term Sheet Input Area </t>
    <phoneticPr fontId="1" type="noConversion"/>
  </si>
  <si>
    <t>Client Deposit/Withdraw Records Input Area</t>
    <phoneticPr fontId="1" type="noConversion"/>
  </si>
  <si>
    <t xml:space="preserve">Database </t>
    <phoneticPr fontId="1" type="noConversion"/>
  </si>
  <si>
    <t>Entity</t>
    <phoneticPr fontId="1" type="noConversion"/>
  </si>
  <si>
    <t>HedgingTicker</t>
    <phoneticPr fontId="1" type="noConversion"/>
  </si>
  <si>
    <t>TradeDate</t>
    <phoneticPr fontId="1" type="noConversion"/>
  </si>
  <si>
    <t>CICCBuySell</t>
    <phoneticPr fontId="1" type="noConversion"/>
  </si>
  <si>
    <t>Quantity</t>
    <phoneticPr fontId="1" type="noConversion"/>
  </si>
  <si>
    <t>Price</t>
    <phoneticPr fontId="1" type="noConversion"/>
  </si>
  <si>
    <t>Fee</t>
    <phoneticPr fontId="1" type="noConversion"/>
  </si>
  <si>
    <t>SourceFile</t>
    <phoneticPr fontId="1" type="noConversion"/>
  </si>
  <si>
    <t>CashFlowDate</t>
    <phoneticPr fontId="1" type="noConversion"/>
  </si>
  <si>
    <t>Remark</t>
    <phoneticPr fontId="1" type="noConversion"/>
  </si>
  <si>
    <t>AnnualNA</t>
    <phoneticPr fontId="1" type="noConversion"/>
  </si>
  <si>
    <t>ClientName</t>
    <phoneticPr fontId="1" type="noConversion"/>
  </si>
  <si>
    <t>ProdStructure</t>
    <phoneticPr fontId="1" type="noConversion"/>
  </si>
  <si>
    <t>TradeDate</t>
    <phoneticPr fontId="1" type="noConversion"/>
  </si>
  <si>
    <t>ProductID</t>
    <phoneticPr fontId="1" type="noConversion"/>
  </si>
  <si>
    <t>ProdExpiryDate</t>
    <phoneticPr fontId="1" type="noConversion"/>
  </si>
  <si>
    <t>SettleDate</t>
    <phoneticPr fontId="1" type="noConversion"/>
  </si>
  <si>
    <t>Notional(AnnualNA)</t>
    <phoneticPr fontId="1" type="noConversion"/>
  </si>
  <si>
    <t>Prem(%)</t>
    <phoneticPr fontId="1" type="noConversion"/>
  </si>
  <si>
    <t>OptionExpiryDate</t>
    <phoneticPr fontId="1" type="noConversion"/>
  </si>
  <si>
    <t>OptionTenor</t>
    <phoneticPr fontId="1" type="noConversion"/>
  </si>
  <si>
    <t>OptionStyle</t>
    <phoneticPr fontId="1" type="noConversion"/>
  </si>
  <si>
    <t>QuoteVol</t>
    <phoneticPr fontId="1" type="noConversion"/>
  </si>
  <si>
    <t>H1</t>
    <phoneticPr fontId="1" type="noConversion"/>
  </si>
  <si>
    <t>SpecialTerm</t>
    <phoneticPr fontId="1" type="noConversion"/>
  </si>
  <si>
    <t>Quantity</t>
    <phoneticPr fontId="1" type="noConversion"/>
  </si>
  <si>
    <t>Back2BackMark</t>
    <phoneticPr fontId="1" type="noConversion"/>
  </si>
  <si>
    <t>Channel|Fee</t>
    <phoneticPr fontId="1" type="noConversion"/>
  </si>
  <si>
    <t>Sales|SC</t>
    <phoneticPr fontId="1" type="noConversion"/>
  </si>
  <si>
    <t>Remark</t>
    <phoneticPr fontId="1" type="noConversion"/>
  </si>
  <si>
    <t>Derivatives Booking System</t>
    <phoneticPr fontId="1" type="noConversion"/>
  </si>
  <si>
    <t>##e</t>
    <phoneticPr fontId="1" type="noConversion"/>
  </si>
  <si>
    <t>#e</t>
    <phoneticPr fontId="1" type="noConversion"/>
  </si>
  <si>
    <t>2.Annualized(Note)</t>
    <phoneticPr fontId="1" type="noConversion"/>
  </si>
  <si>
    <t>1.NtnlQty(Opt)</t>
    <phoneticPr fontId="1" type="noConversion"/>
  </si>
  <si>
    <t>3.NtnlAmt(Opt)</t>
    <phoneticPr fontId="1" type="noConversion"/>
  </si>
  <si>
    <t>##e</t>
    <phoneticPr fontId="1" type="noConversion"/>
  </si>
  <si>
    <t>CICCBuy</t>
    <phoneticPr fontId="1" type="noConversion"/>
  </si>
  <si>
    <t>CICCSell</t>
    <phoneticPr fontId="1" type="noConversion"/>
  </si>
  <si>
    <t>TradeDirection</t>
  </si>
  <si>
    <t>TradeDirection</t>
    <phoneticPr fontId="1" type="noConversion"/>
  </si>
  <si>
    <t>Seq</t>
    <phoneticPr fontId="1" type="noConversion"/>
  </si>
  <si>
    <t>Seq</t>
    <phoneticPr fontId="1" type="noConversion"/>
  </si>
  <si>
    <t>OptionLeg</t>
  </si>
  <si>
    <t>OptionLeg</t>
    <phoneticPr fontId="1" type="noConversion"/>
  </si>
  <si>
    <t>Leg1</t>
    <phoneticPr fontId="1" type="noConversion"/>
  </si>
  <si>
    <t>Leg2</t>
    <phoneticPr fontId="1" type="noConversion"/>
  </si>
  <si>
    <t>Leg3</t>
    <phoneticPr fontId="1" type="noConversion"/>
  </si>
  <si>
    <t>Leg4</t>
    <phoneticPr fontId="1" type="noConversion"/>
  </si>
  <si>
    <t>Asset1</t>
    <phoneticPr fontId="1" type="noConversion"/>
  </si>
  <si>
    <t>Asset3</t>
    <phoneticPr fontId="1" type="noConversion"/>
  </si>
  <si>
    <t>Asset2</t>
    <phoneticPr fontId="1" type="noConversion"/>
  </si>
  <si>
    <t>Asset4</t>
    <phoneticPr fontId="1" type="noConversion"/>
  </si>
  <si>
    <t>Uni</t>
    <phoneticPr fontId="1" type="noConversion"/>
  </si>
  <si>
    <t>Obsv1</t>
    <phoneticPr fontId="1" type="noConversion"/>
  </si>
  <si>
    <t>Obsv2</t>
    <phoneticPr fontId="1" type="noConversion"/>
  </si>
  <si>
    <t>Obsv3</t>
    <phoneticPr fontId="1" type="noConversion"/>
  </si>
  <si>
    <t>Obsv4</t>
    <phoneticPr fontId="1" type="noConversion"/>
  </si>
  <si>
    <t>Obsv5</t>
    <phoneticPr fontId="1" type="noConversion"/>
  </si>
  <si>
    <t>Obsv6</t>
    <phoneticPr fontId="1" type="noConversion"/>
  </si>
  <si>
    <t>##e</t>
    <phoneticPr fontId="1" type="noConversion"/>
  </si>
  <si>
    <t>CICC|LC</t>
    <phoneticPr fontId="1" type="noConversion"/>
  </si>
  <si>
    <t>CICC|SAC</t>
    <phoneticPr fontId="1" type="noConversion"/>
  </si>
  <si>
    <t>CICC|SAC-UW</t>
    <phoneticPr fontId="1" type="noConversion"/>
  </si>
  <si>
    <t>CICC|SNote</t>
    <phoneticPr fontId="1" type="noConversion"/>
  </si>
  <si>
    <t>CICC|ISDA</t>
    <phoneticPr fontId="1" type="noConversion"/>
  </si>
  <si>
    <t>CICC|ISDA-UW</t>
    <phoneticPr fontId="1" type="noConversion"/>
  </si>
  <si>
    <t>CNY|CNY</t>
    <phoneticPr fontId="1" type="noConversion"/>
  </si>
  <si>
    <t>CNY|USD</t>
    <phoneticPr fontId="1" type="noConversion"/>
  </si>
  <si>
    <t>USD|USD</t>
    <phoneticPr fontId="1" type="noConversion"/>
  </si>
  <si>
    <t>USD|CNY</t>
    <phoneticPr fontId="1" type="noConversion"/>
  </si>
  <si>
    <t>Entity|Protocal</t>
    <phoneticPr fontId="1" type="noConversion"/>
  </si>
  <si>
    <t>Quote|SettleCrcy</t>
    <phoneticPr fontId="1" type="noConversion"/>
  </si>
  <si>
    <t>ProductTerm</t>
    <phoneticPr fontId="1" type="noConversion"/>
  </si>
  <si>
    <t>ClientInfo</t>
    <phoneticPr fontId="1" type="noConversion"/>
  </si>
  <si>
    <t>FIStructure</t>
    <phoneticPr fontId="1" type="noConversion"/>
  </si>
  <si>
    <t>Client</t>
    <phoneticPr fontId="1" type="noConversion"/>
  </si>
  <si>
    <t>FI结构组</t>
    <phoneticPr fontId="1" type="noConversion"/>
  </si>
  <si>
    <t>FIDerivative</t>
    <phoneticPr fontId="1" type="noConversion"/>
  </si>
  <si>
    <t>FI衍生品组</t>
    <phoneticPr fontId="1" type="noConversion"/>
  </si>
  <si>
    <t>Email</t>
    <phoneticPr fontId="1" type="noConversion"/>
  </si>
  <si>
    <t>Tel</t>
    <phoneticPr fontId="1" type="noConversion"/>
  </si>
  <si>
    <t>Contact</t>
    <phoneticPr fontId="1" type="noConversion"/>
  </si>
  <si>
    <t>Protocal</t>
    <phoneticPr fontId="1" type="noConversion"/>
  </si>
  <si>
    <t>CrediRating</t>
    <phoneticPr fontId="1" type="noConversion"/>
  </si>
  <si>
    <t>IMCredit</t>
    <phoneticPr fontId="1" type="noConversion"/>
  </si>
  <si>
    <t>VMCreadit</t>
    <phoneticPr fontId="1" type="noConversion"/>
  </si>
  <si>
    <t>Account</t>
    <phoneticPr fontId="1" type="noConversion"/>
  </si>
  <si>
    <t>FullName</t>
    <phoneticPr fontId="1" type="noConversion"/>
  </si>
  <si>
    <t>Channel</t>
    <phoneticPr fontId="1" type="noConversion"/>
  </si>
  <si>
    <t>IC</t>
    <phoneticPr fontId="1" type="noConversion"/>
  </si>
  <si>
    <t>OTCSales</t>
    <phoneticPr fontId="1" type="noConversion"/>
  </si>
  <si>
    <t>#e</t>
    <phoneticPr fontId="1" type="noConversion"/>
  </si>
  <si>
    <t>LZ</t>
    <phoneticPr fontId="1" type="noConversion"/>
  </si>
  <si>
    <t>SAC</t>
    <phoneticPr fontId="1" type="noConversion"/>
  </si>
  <si>
    <t>LZ</t>
    <phoneticPr fontId="1" type="noConversion"/>
  </si>
  <si>
    <t>鲁证经贸有限公司</t>
    <phoneticPr fontId="1" type="noConversion"/>
  </si>
  <si>
    <t>天物国际</t>
    <phoneticPr fontId="1" type="noConversion"/>
  </si>
  <si>
    <t>TWGJ</t>
    <phoneticPr fontId="1" type="noConversion"/>
  </si>
  <si>
    <t>王皓民</t>
    <phoneticPr fontId="1" type="noConversion"/>
  </si>
  <si>
    <t>18902091161</t>
    <phoneticPr fontId="1" type="noConversion"/>
  </si>
  <si>
    <t>wanghaomin@tewoointernational.com</t>
    <phoneticPr fontId="1" type="noConversion"/>
  </si>
  <si>
    <t>ClientCode</t>
    <phoneticPr fontId="1" type="noConversion"/>
  </si>
  <si>
    <t>Name</t>
    <phoneticPr fontId="1" type="noConversion"/>
  </si>
  <si>
    <t>WM</t>
    <phoneticPr fontId="1" type="noConversion"/>
  </si>
  <si>
    <t>财富管理</t>
    <phoneticPr fontId="1" type="noConversion"/>
  </si>
  <si>
    <t>ICMarkup</t>
    <phoneticPr fontId="1" type="noConversion"/>
  </si>
  <si>
    <t>SalesMarkup</t>
    <phoneticPr fontId="1" type="noConversion"/>
  </si>
  <si>
    <t>QQ</t>
    <phoneticPr fontId="1" type="noConversion"/>
  </si>
  <si>
    <t>ZTFut</t>
    <phoneticPr fontId="1" type="noConversion"/>
  </si>
  <si>
    <t>中投期货</t>
    <phoneticPr fontId="1" type="noConversion"/>
  </si>
  <si>
    <t>UnderlyingInfo</t>
    <phoneticPr fontId="1" type="noConversion"/>
  </si>
  <si>
    <t>AU1712.SHF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</si>
</sst>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76" formatCode="###,###,##0"/>
    <numFmt numFmtId="177" formatCode="yyyy/m/d\ h:mm;@"/>
  </numFmts>
  <fonts count="1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b/>
      <sz val="9"/>
      <color theme="0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sz val="9"/>
      <color theme="0" tint="-0.499984740745262"/>
      <name val="宋体"/>
      <family val="2"/>
      <scheme val="minor"/>
    </font>
    <font>
      <sz val="8"/>
      <color rgb="FFFF0000"/>
      <name val="宋体"/>
      <family val="3"/>
      <charset val="134"/>
      <scheme val="minor"/>
    </font>
    <font>
      <sz val="8"/>
      <color theme="1"/>
      <name val="宋体"/>
      <family val="2"/>
      <scheme val="minor"/>
    </font>
    <font>
      <sz val="9"/>
      <color theme="0"/>
      <name val="宋体"/>
      <family val="2"/>
      <scheme val="minor"/>
    </font>
    <font>
      <sz val="9"/>
      <color rgb="FF040000"/>
      <name val="宋体"/>
      <family val="2"/>
      <scheme val="minor"/>
    </font>
    <font>
      <sz val="9"/>
      <color indexed="10"/>
      <name val="宋体"/>
      <family val="2"/>
      <scheme val="minor"/>
    </font>
    <font>
      <b/>
      <sz val="16"/>
      <color theme="0"/>
      <name val="宋体"/>
      <family val="3"/>
      <charset val="134"/>
      <scheme val="minor"/>
    </font>
    <font>
      <u/>
      <sz val="11"/>
      <color theme="10"/>
      <name val="宋体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/>
  </cellStyleXfs>
  <cellXfs count="111">
    <xf numFmtId="0" fontId="0" fillId="0" borderId="0" xfId="0"/>
    <xf numFmtId="0" fontId="2" fillId="0" borderId="0" xfId="0" applyFont="1"/>
    <xf numFmtId="0" fontId="3" fillId="0" borderId="0" xfId="0" applyFont="1"/>
    <xf numFmtId="0" fontId="6" fillId="0" borderId="0" xfId="0" applyFont="1"/>
    <xf numFmtId="0" fontId="7" fillId="0" borderId="0" xfId="0" applyFont="1"/>
    <xf numFmtId="0" fontId="7" fillId="0" borderId="0" xfId="0" quotePrefix="1" applyFont="1"/>
    <xf numFmtId="0" fontId="6" fillId="3" borderId="0" xfId="0" applyFont="1" applyFill="1" applyBorder="1"/>
    <xf numFmtId="0" fontId="11" fillId="3" borderId="0" xfId="0" applyFont="1" applyFill="1" applyBorder="1"/>
    <xf numFmtId="0" fontId="0" fillId="3" borderId="0" xfId="0" applyFill="1" applyBorder="1"/>
    <xf numFmtId="0" fontId="6" fillId="8" borderId="4" xfId="0" applyFont="1" applyFill="1" applyBorder="1"/>
    <xf numFmtId="0" fontId="6" fillId="8" borderId="1" xfId="0" applyFont="1" applyFill="1" applyBorder="1"/>
    <xf numFmtId="0" fontId="6" fillId="8" borderId="5" xfId="0" applyFont="1" applyFill="1" applyBorder="1"/>
    <xf numFmtId="0" fontId="6" fillId="8" borderId="6" xfId="0" applyFont="1" applyFill="1" applyBorder="1"/>
    <xf numFmtId="0" fontId="3" fillId="6" borderId="3" xfId="0" applyFont="1" applyFill="1" applyBorder="1"/>
    <xf numFmtId="176" fontId="6" fillId="0" borderId="0" xfId="0" applyNumberFormat="1" applyFont="1"/>
    <xf numFmtId="0" fontId="3" fillId="6" borderId="2" xfId="0" applyFont="1" applyFill="1" applyBorder="1"/>
    <xf numFmtId="0" fontId="3" fillId="7" borderId="0" xfId="0" applyFont="1" applyFill="1" applyBorder="1"/>
    <xf numFmtId="0" fontId="6" fillId="8" borderId="8" xfId="0" applyFont="1" applyFill="1" applyBorder="1"/>
    <xf numFmtId="0" fontId="6" fillId="8" borderId="9" xfId="0" applyFont="1" applyFill="1" applyBorder="1"/>
    <xf numFmtId="14" fontId="6" fillId="8" borderId="9" xfId="0" applyNumberFormat="1" applyFont="1" applyFill="1" applyBorder="1"/>
    <xf numFmtId="0" fontId="6" fillId="8" borderId="9" xfId="0" applyNumberFormat="1" applyFont="1" applyFill="1" applyBorder="1"/>
    <xf numFmtId="0" fontId="3" fillId="11" borderId="3" xfId="0" applyFont="1" applyFill="1" applyBorder="1"/>
    <xf numFmtId="0" fontId="7" fillId="5" borderId="0" xfId="0" applyFont="1" applyFill="1" applyBorder="1" applyAlignment="1"/>
    <xf numFmtId="14" fontId="0" fillId="0" borderId="0" xfId="0" applyNumberFormat="1"/>
    <xf numFmtId="14" fontId="6" fillId="8" borderId="6" xfId="0" applyNumberFormat="1" applyFont="1" applyFill="1" applyBorder="1"/>
    <xf numFmtId="0" fontId="6" fillId="8" borderId="6" xfId="0" applyNumberFormat="1" applyFont="1" applyFill="1" applyBorder="1"/>
    <xf numFmtId="14" fontId="6" fillId="8" borderId="1" xfId="0" applyNumberFormat="1" applyFont="1" applyFill="1" applyBorder="1"/>
    <xf numFmtId="0" fontId="7" fillId="9" borderId="12" xfId="0" applyFont="1" applyFill="1" applyBorder="1" applyAlignment="1"/>
    <xf numFmtId="0" fontId="3" fillId="6" borderId="13" xfId="0" applyFont="1" applyFill="1" applyBorder="1"/>
    <xf numFmtId="0" fontId="3" fillId="6" borderId="14" xfId="0" applyFont="1" applyFill="1" applyBorder="1"/>
    <xf numFmtId="0" fontId="3" fillId="10" borderId="11" xfId="0" applyFont="1" applyFill="1" applyBorder="1"/>
    <xf numFmtId="0" fontId="3" fillId="10" borderId="7" xfId="0" applyFont="1" applyFill="1" applyBorder="1"/>
    <xf numFmtId="14" fontId="13" fillId="8" borderId="9" xfId="0" applyNumberFormat="1" applyFont="1" applyFill="1" applyBorder="1" applyAlignment="1">
      <alignment horizontal="center"/>
    </xf>
    <xf numFmtId="22" fontId="13" fillId="8" borderId="1" xfId="0" applyNumberFormat="1" applyFont="1" applyFill="1" applyBorder="1" applyAlignment="1">
      <alignment horizontal="center"/>
    </xf>
    <xf numFmtId="0" fontId="3" fillId="14" borderId="0" xfId="0" applyFont="1" applyFill="1" applyBorder="1"/>
    <xf numFmtId="0" fontId="6" fillId="2" borderId="0" xfId="0" applyFont="1" applyFill="1" applyBorder="1"/>
    <xf numFmtId="0" fontId="6" fillId="4" borderId="0" xfId="0" applyFont="1" applyFill="1" applyBorder="1"/>
    <xf numFmtId="0" fontId="3" fillId="12" borderId="0" xfId="0" applyFont="1" applyFill="1" applyBorder="1"/>
    <xf numFmtId="0" fontId="6" fillId="0" borderId="0" xfId="0" applyFont="1" applyBorder="1"/>
    <xf numFmtId="0" fontId="2" fillId="0" borderId="0" xfId="0" applyFont="1" applyBorder="1"/>
    <xf numFmtId="0" fontId="11" fillId="3" borderId="0" xfId="0" applyFont="1" applyFill="1" applyBorder="1" applyProtection="1"/>
    <xf numFmtId="0" fontId="6" fillId="3" borderId="0" xfId="0" applyFont="1" applyFill="1" applyBorder="1" applyProtection="1"/>
    <xf numFmtId="14" fontId="6" fillId="8" borderId="1" xfId="0" applyNumberFormat="1" applyFont="1" applyFill="1" applyBorder="1" applyProtection="1">
      <protection locked="0"/>
    </xf>
    <xf numFmtId="0" fontId="6" fillId="8" borderId="1" xfId="0" applyFont="1" applyFill="1" applyBorder="1" applyAlignment="1" applyProtection="1">
      <alignment horizontal="center"/>
      <protection locked="0"/>
    </xf>
    <xf numFmtId="0" fontId="6" fillId="8" borderId="1" xfId="0" applyFont="1" applyFill="1" applyBorder="1" applyProtection="1">
      <protection locked="0"/>
    </xf>
    <xf numFmtId="0" fontId="7" fillId="3" borderId="0" xfId="0" applyFont="1" applyFill="1" applyBorder="1" applyProtection="1"/>
    <xf numFmtId="22" fontId="11" fillId="3" borderId="0" xfId="0" applyNumberFormat="1" applyFont="1" applyFill="1" applyBorder="1" applyProtection="1"/>
    <xf numFmtId="14" fontId="11" fillId="3" borderId="0" xfId="0" applyNumberFormat="1" applyFont="1" applyFill="1" applyBorder="1" applyProtection="1"/>
    <xf numFmtId="0" fontId="0" fillId="3" borderId="0" xfId="0" applyFill="1" applyBorder="1" applyProtection="1"/>
    <xf numFmtId="0" fontId="0" fillId="0" borderId="0" xfId="0" applyProtection="1">
      <protection locked="0"/>
    </xf>
    <xf numFmtId="0" fontId="6" fillId="8" borderId="1" xfId="0" applyNumberFormat="1" applyFont="1" applyFill="1" applyBorder="1" applyProtection="1">
      <protection locked="0"/>
    </xf>
    <xf numFmtId="0" fontId="7" fillId="9" borderId="1" xfId="0" applyFont="1" applyFill="1" applyBorder="1" applyAlignment="1" applyProtection="1"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22" fontId="12" fillId="0" borderId="1" xfId="0" applyNumberFormat="1" applyFont="1" applyBorder="1" applyAlignment="1" applyProtection="1">
      <alignment horizontal="center" vertical="center"/>
      <protection locked="0"/>
    </xf>
    <xf numFmtId="0" fontId="7" fillId="9" borderId="16" xfId="0" applyFont="1" applyFill="1" applyBorder="1" applyAlignment="1" applyProtection="1">
      <protection locked="0"/>
    </xf>
    <xf numFmtId="0" fontId="7" fillId="9" borderId="17" xfId="0" applyFont="1" applyFill="1" applyBorder="1" applyAlignment="1" applyProtection="1">
      <protection locked="0"/>
    </xf>
    <xf numFmtId="0" fontId="7" fillId="9" borderId="15" xfId="0" applyFont="1" applyFill="1" applyBorder="1" applyAlignment="1" applyProtection="1">
      <protection locked="0"/>
    </xf>
    <xf numFmtId="0" fontId="6" fillId="16" borderId="0" xfId="0" applyFont="1" applyFill="1" applyBorder="1"/>
    <xf numFmtId="0" fontId="6" fillId="17" borderId="21" xfId="0" applyFont="1" applyFill="1" applyBorder="1"/>
    <xf numFmtId="0" fontId="6" fillId="17" borderId="0" xfId="0" applyFont="1" applyFill="1" applyBorder="1"/>
    <xf numFmtId="0" fontId="6" fillId="17" borderId="22" xfId="0" applyFont="1" applyFill="1" applyBorder="1"/>
    <xf numFmtId="0" fontId="6" fillId="17" borderId="23" xfId="0" applyFont="1" applyFill="1" applyBorder="1"/>
    <xf numFmtId="0" fontId="6" fillId="17" borderId="24" xfId="0" applyFont="1" applyFill="1" applyBorder="1"/>
    <xf numFmtId="0" fontId="6" fillId="17" borderId="25" xfId="0" applyFont="1" applyFill="1" applyBorder="1"/>
    <xf numFmtId="177" fontId="7" fillId="0" borderId="0" xfId="0" applyNumberFormat="1" applyFont="1"/>
    <xf numFmtId="14" fontId="2" fillId="0" borderId="0" xfId="0" applyNumberFormat="1" applyFont="1"/>
    <xf numFmtId="177" fontId="2" fillId="0" borderId="0" xfId="0" applyNumberFormat="1" applyFont="1"/>
    <xf numFmtId="0" fontId="6" fillId="6" borderId="19" xfId="0" applyFont="1" applyFill="1" applyBorder="1"/>
    <xf numFmtId="0" fontId="6" fillId="6" borderId="20" xfId="0" applyFont="1" applyFill="1" applyBorder="1"/>
    <xf numFmtId="43" fontId="6" fillId="3" borderId="0" xfId="2" applyFont="1" applyFill="1" applyBorder="1" applyAlignment="1"/>
    <xf numFmtId="43" fontId="6" fillId="3" borderId="0" xfId="0" applyNumberFormat="1" applyFont="1" applyFill="1" applyBorder="1"/>
    <xf numFmtId="14" fontId="6" fillId="17" borderId="0" xfId="0" applyNumberFormat="1" applyFont="1" applyFill="1" applyBorder="1"/>
    <xf numFmtId="14" fontId="6" fillId="17" borderId="24" xfId="0" applyNumberFormat="1" applyFont="1" applyFill="1" applyBorder="1"/>
    <xf numFmtId="0" fontId="6" fillId="17" borderId="0" xfId="0" applyFont="1" applyFill="1" applyBorder="1" applyAlignment="1">
      <alignment horizontal="left" vertical="top"/>
    </xf>
    <xf numFmtId="0" fontId="15" fillId="17" borderId="0" xfId="0" applyFont="1" applyFill="1" applyBorder="1" applyAlignment="1">
      <alignment horizontal="left" vertical="top"/>
    </xf>
    <xf numFmtId="0" fontId="16" fillId="17" borderId="0" xfId="0" applyFont="1" applyFill="1" applyBorder="1" applyAlignment="1">
      <alignment horizontal="left" vertical="top"/>
    </xf>
    <xf numFmtId="14" fontId="6" fillId="17" borderId="0" xfId="0" applyNumberFormat="1" applyFont="1" applyFill="1" applyBorder="1" applyAlignment="1">
      <alignment horizontal="left" vertical="top"/>
    </xf>
    <xf numFmtId="0" fontId="6" fillId="17" borderId="22" xfId="0" applyFont="1" applyFill="1" applyBorder="1" applyAlignment="1">
      <alignment horizontal="left" vertical="top"/>
    </xf>
    <xf numFmtId="0" fontId="6" fillId="17" borderId="0" xfId="0" applyFont="1" applyFill="1" applyBorder="1" applyAlignment="1">
      <alignment horizontal="left" vertical="top"/>
    </xf>
    <xf numFmtId="0" fontId="6" fillId="6" borderId="19" xfId="0" applyFont="1" applyFill="1" applyBorder="1" applyAlignment="1">
      <alignment horizontal="center"/>
    </xf>
    <xf numFmtId="0" fontId="6" fillId="6" borderId="20" xfId="0" applyFont="1" applyFill="1" applyBorder="1" applyAlignment="1">
      <alignment horizontal="center"/>
    </xf>
    <xf numFmtId="0" fontId="3" fillId="18" borderId="1" xfId="0" applyFont="1" applyFill="1" applyBorder="1" applyProtection="1"/>
    <xf numFmtId="0" fontId="7" fillId="8" borderId="1" xfId="0" applyFont="1" applyFill="1" applyBorder="1" applyAlignment="1" applyProtection="1">
      <protection locked="0"/>
    </xf>
    <xf numFmtId="0" fontId="7" fillId="18" borderId="1" xfId="0" applyFont="1" applyFill="1" applyBorder="1" applyProtection="1"/>
    <xf numFmtId="0" fontId="7" fillId="18" borderId="1" xfId="0" applyFont="1" applyFill="1" applyBorder="1" applyProtection="1">
      <protection locked="0"/>
    </xf>
    <xf numFmtId="0" fontId="7" fillId="8" borderId="1" xfId="0" applyFont="1" applyFill="1" applyBorder="1" applyProtection="1">
      <protection locked="0"/>
    </xf>
    <xf numFmtId="14" fontId="7" fillId="8" borderId="1" xfId="0" applyNumberFormat="1" applyFont="1" applyFill="1" applyBorder="1" applyProtection="1">
      <protection locked="0"/>
    </xf>
    <xf numFmtId="0" fontId="7" fillId="8" borderId="1" xfId="0" applyNumberFormat="1" applyFont="1" applyFill="1" applyBorder="1" applyProtection="1">
      <protection locked="0"/>
    </xf>
    <xf numFmtId="9" fontId="7" fillId="8" borderId="1" xfId="0" applyNumberFormat="1" applyFont="1" applyFill="1" applyBorder="1" applyProtection="1">
      <protection locked="0"/>
    </xf>
    <xf numFmtId="0" fontId="7" fillId="18" borderId="15" xfId="0" applyFont="1" applyFill="1" applyBorder="1" applyProtection="1">
      <protection locked="0"/>
    </xf>
    <xf numFmtId="0" fontId="7" fillId="3" borderId="15" xfId="0" applyFont="1" applyFill="1" applyBorder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8" fillId="4" borderId="0" xfId="0" applyFont="1" applyFill="1" applyBorder="1" applyAlignment="1">
      <alignment horizontal="center"/>
    </xf>
    <xf numFmtId="0" fontId="18" fillId="0" borderId="0" xfId="3"/>
    <xf numFmtId="0" fontId="7" fillId="9" borderId="11" xfId="0" applyFont="1" applyFill="1" applyBorder="1" applyAlignment="1">
      <alignment horizontal="center"/>
    </xf>
    <xf numFmtId="0" fontId="7" fillId="9" borderId="10" xfId="0" applyFont="1" applyFill="1" applyBorder="1" applyAlignment="1">
      <alignment horizontal="center"/>
    </xf>
    <xf numFmtId="0" fontId="7" fillId="8" borderId="1" xfId="0" applyFont="1" applyFill="1" applyBorder="1" applyAlignment="1" applyProtection="1">
      <alignment horizontal="center"/>
      <protection locked="0"/>
    </xf>
    <xf numFmtId="0" fontId="7" fillId="9" borderId="1" xfId="0" applyFont="1" applyFill="1" applyBorder="1" applyAlignment="1" applyProtection="1">
      <alignment horizontal="center"/>
      <protection locked="0"/>
    </xf>
    <xf numFmtId="0" fontId="17" fillId="4" borderId="1" xfId="0" applyFont="1" applyFill="1" applyBorder="1" applyAlignment="1" applyProtection="1">
      <alignment horizontal="center" vertical="center"/>
      <protection locked="0"/>
    </xf>
    <xf numFmtId="0" fontId="8" fillId="19" borderId="9" xfId="0" applyFont="1" applyFill="1" applyBorder="1" applyAlignment="1" applyProtection="1">
      <alignment horizontal="center"/>
      <protection locked="0"/>
    </xf>
    <xf numFmtId="0" fontId="6" fillId="17" borderId="21" xfId="0" applyFont="1" applyFill="1" applyBorder="1" applyAlignment="1">
      <alignment horizontal="center"/>
    </xf>
    <xf numFmtId="0" fontId="6" fillId="17" borderId="0" xfId="0" applyFont="1" applyFill="1" applyBorder="1" applyAlignment="1">
      <alignment horizontal="center"/>
    </xf>
    <xf numFmtId="0" fontId="6" fillId="17" borderId="23" xfId="0" applyFont="1" applyFill="1" applyBorder="1" applyAlignment="1">
      <alignment horizontal="center"/>
    </xf>
    <xf numFmtId="0" fontId="6" fillId="17" borderId="24" xfId="0" applyFont="1" applyFill="1" applyBorder="1" applyAlignment="1">
      <alignment horizontal="center"/>
    </xf>
    <xf numFmtId="0" fontId="10" fillId="13" borderId="1" xfId="0" applyFont="1" applyFill="1" applyBorder="1" applyAlignment="1" applyProtection="1">
      <alignment horizontal="center" vertical="center"/>
      <protection locked="0"/>
    </xf>
    <xf numFmtId="0" fontId="14" fillId="15" borderId="0" xfId="0" applyFont="1" applyFill="1" applyBorder="1" applyAlignment="1">
      <alignment horizontal="center"/>
    </xf>
    <xf numFmtId="0" fontId="6" fillId="17" borderId="21" xfId="0" applyFont="1" applyFill="1" applyBorder="1" applyAlignment="1">
      <alignment horizontal="left" vertical="top"/>
    </xf>
    <xf numFmtId="0" fontId="6" fillId="17" borderId="0" xfId="0" applyFont="1" applyFill="1" applyBorder="1" applyAlignment="1">
      <alignment horizontal="left" vertical="top"/>
    </xf>
    <xf numFmtId="0" fontId="6" fillId="6" borderId="18" xfId="0" applyFont="1" applyFill="1" applyBorder="1" applyAlignment="1">
      <alignment horizontal="center"/>
    </xf>
    <xf numFmtId="0" fontId="6" fillId="6" borderId="19" xfId="0" applyFont="1" applyFill="1" applyBorder="1" applyAlignment="1">
      <alignment horizontal="center"/>
    </xf>
  </cellXfs>
  <cellStyles count="4">
    <cellStyle name="常规" xfId="0" builtinId="0"/>
    <cellStyle name="超链接" xfId="3" builtinId="8"/>
    <cellStyle name="千位分隔" xfId="2" builtinId="3"/>
    <cellStyle name="千位分隔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 t="e">
        <v>#N/A</v>
        <stp/>
        <stp>AU1806.SHF</stp>
        <stp>LastPrice</stp>
        <tr r="D10" s="4"/>
      </tp>
      <tp t="e">
        <v>#N/A</v>
        <stp/>
        <stp>AU1712.SHF</stp>
        <stp>LastPrice</stp>
        <tr r="C10" s="4"/>
      </tp>
      <tp>
        <v>0</v>
        <stp/>
        <stp>IC1709.CFE</stp>
        <stp>LastPrice</stp>
        <tr r="K8" s="4"/>
      </tp>
      <tp>
        <v>0</v>
        <stp/>
        <stp>IH1712.CFE</stp>
        <stp>LastPrice</stp>
        <tr r="H8" s="4"/>
      </tp>
      <tp>
        <v>0</v>
        <stp/>
        <stp>IC1708.CFE</stp>
        <stp>LastPrice</stp>
        <tr r="J8" s="4"/>
      </tp>
      <tp>
        <v>0</v>
        <stp/>
        <stp>IH1803.CFE</stp>
        <stp>LastPrice</stp>
        <tr r="I8" s="4"/>
      </tp>
      <tp>
        <v>0</v>
        <stp/>
        <stp>IF1708.CFE</stp>
        <stp>LastPrice</stp>
        <tr r="B8" s="4"/>
      </tp>
      <tp>
        <v>0</v>
        <stp/>
        <stp>IF1709.CFE</stp>
        <stp>LastPrice</stp>
        <tr r="C8" s="4"/>
      </tp>
      <tp>
        <v>0</v>
        <stp/>
        <stp>IH1708.CFE</stp>
        <stp>LastPrice</stp>
        <tr r="F8" s="4"/>
      </tp>
      <tp>
        <v>0</v>
        <stp/>
        <stp>IC1803.CFE</stp>
        <stp>LastPrice</stp>
        <tr r="M8" s="4"/>
      </tp>
      <tp>
        <v>0</v>
        <stp/>
        <stp>IH1709.CFE</stp>
        <stp>LastPrice</stp>
        <tr r="G8" s="4"/>
      </tp>
      <tp>
        <v>0</v>
        <stp/>
        <stp>IC1712.CFE</stp>
        <stp>LastPrice</stp>
        <tr r="L8" s="4"/>
      </tp>
      <tp>
        <v>0</v>
        <stp/>
        <stp>IF1712.CFE</stp>
        <stp>LastPrice</stp>
        <tr r="D8" s="4"/>
      </tp>
      <tp>
        <v>0</v>
        <stp/>
        <stp>IF1803.CFE</stp>
        <stp>LastPrice</stp>
        <tr r="J988" s="4"/>
        <tr r="E8" s="4"/>
      </tp>
      <tp t="e">
        <v>#N/A</v>
        <stp/>
        <stp>000300.SH</stp>
        <stp>LastPrice</stp>
        <tr r="B6" s="4"/>
      </tp>
      <tp>
        <v>6020.57</v>
        <stp/>
        <stp>000905.SH</stp>
        <stp>LastPrice</stp>
        <tr r="C6" s="4"/>
      </tp>
      <tp>
        <v>2750.83</v>
        <stp/>
        <stp>000016.SH</stp>
        <stp>LastPrice</stp>
        <tr r="D6" s="4"/>
      </tp>
      <tp t="e">
        <v>#N/A</v>
        <stp/>
        <stp>Structure</stp>
        <stp>LastPrice</stp>
        <tr r="J985" s="4"/>
      </tp>
      <tp t="e">
        <v>#N/A</v>
        <stp/>
        <stp>Au(T+D).SGE</stp>
        <stp>LastPrice</stp>
        <tr r="B10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Backup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Change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</xdr:row>
          <xdr:rowOff>0</xdr:rowOff>
        </xdr:from>
        <xdr:to>
          <xdr:col>9</xdr:col>
          <xdr:colOff>19050</xdr:colOff>
          <xdr:row>3</xdr:row>
          <xdr:rowOff>180975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RefreshList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GenID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FillDate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12</xdr:row>
          <xdr:rowOff>180975</xdr:rowOff>
        </xdr:from>
        <xdr:to>
          <xdr:col>11</xdr:col>
          <xdr:colOff>0</xdr:colOff>
          <xdr:row>13</xdr:row>
          <xdr:rowOff>180975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GetPrice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CalcPrem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AddNewDeal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982</xdr:row>
          <xdr:rowOff>0</xdr:rowOff>
        </xdr:from>
        <xdr:to>
          <xdr:col>10</xdr:col>
          <xdr:colOff>904875</xdr:colOff>
          <xdr:row>982</xdr:row>
          <xdr:rowOff>180975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Change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983</xdr:row>
          <xdr:rowOff>0</xdr:rowOff>
        </xdr:from>
        <xdr:to>
          <xdr:col>13</xdr:col>
          <xdr:colOff>0</xdr:colOff>
          <xdr:row>984</xdr:row>
          <xdr:rowOff>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GenID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983</xdr:row>
          <xdr:rowOff>0</xdr:rowOff>
        </xdr:from>
        <xdr:to>
          <xdr:col>9</xdr:col>
          <xdr:colOff>0</xdr:colOff>
          <xdr:row>984</xdr:row>
          <xdr:rowOff>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983</xdr:row>
          <xdr:rowOff>0</xdr:rowOff>
        </xdr:from>
        <xdr:to>
          <xdr:col>10</xdr:col>
          <xdr:colOff>0</xdr:colOff>
          <xdr:row>984</xdr:row>
          <xdr:rowOff>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FillDate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982</xdr:row>
          <xdr:rowOff>180975</xdr:rowOff>
        </xdr:from>
        <xdr:to>
          <xdr:col>11</xdr:col>
          <xdr:colOff>0</xdr:colOff>
          <xdr:row>983</xdr:row>
          <xdr:rowOff>180975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GetPrice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983</xdr:row>
          <xdr:rowOff>0</xdr:rowOff>
        </xdr:from>
        <xdr:to>
          <xdr:col>12</xdr:col>
          <xdr:colOff>0</xdr:colOff>
          <xdr:row>984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CalcPrem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983</xdr:row>
          <xdr:rowOff>0</xdr:rowOff>
        </xdr:from>
        <xdr:to>
          <xdr:col>14</xdr:col>
          <xdr:colOff>0</xdr:colOff>
          <xdr:row>984</xdr:row>
          <xdr:rowOff>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AddNewDeal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0</xdr:rowOff>
        </xdr:from>
        <xdr:to>
          <xdr:col>11</xdr:col>
          <xdr:colOff>0</xdr:colOff>
          <xdr:row>0</xdr:row>
          <xdr:rowOff>171450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Lock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11</xdr:col>
          <xdr:colOff>0</xdr:colOff>
          <xdr:row>1</xdr:row>
          <xdr:rowOff>171450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26</xdr:row>
          <xdr:rowOff>0</xdr:rowOff>
        </xdr:from>
        <xdr:to>
          <xdr:col>7</xdr:col>
          <xdr:colOff>1009650</xdr:colOff>
          <xdr:row>27</xdr:row>
          <xdr:rowOff>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Sync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26</xdr:row>
          <xdr:rowOff>0</xdr:rowOff>
        </xdr:from>
        <xdr:to>
          <xdr:col>15</xdr:col>
          <xdr:colOff>1009650</xdr:colOff>
          <xdr:row>27</xdr:row>
          <xdr:rowOff>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Sync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0</xdr:rowOff>
        </xdr:from>
        <xdr:to>
          <xdr:col>14</xdr:col>
          <xdr:colOff>1009650</xdr:colOff>
          <xdr:row>27</xdr:row>
          <xdr:rowOff>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Del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1192" name="Button 168" hidden="1">
              <a:extLst>
                <a:ext uri="{63B3BB69-23CF-44E3-9099-C40C66FF867C}">
                  <a14:compatExt spid="_x0000_s1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1193" name="Button 169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ushifan\Desktop\&#25351;&#25968;&#25910;&#30410;&#20973;&#35777;&#31807;&#35760;&#21644;&#27979;&#31639;\PathDipendentOptionRiskBookOl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Zone"/>
      <sheetName val="EventZone"/>
      <sheetName val="StateRec"/>
      <sheetName val="EventRec"/>
      <sheetName val="AccountRec"/>
      <sheetName val="OptRec_Common"/>
      <sheetName val="OptRec_AutoCall"/>
      <sheetName val="OptRec_DblAssetSF"/>
      <sheetName val="Cfg_TrdCalenda"/>
      <sheetName val="Cfg_Counterparty"/>
      <sheetName val="Cfg_Underlying"/>
      <sheetName val="PathDipendentOptionRiskBookOld"/>
    </sheetNames>
    <definedNames>
      <definedName name="CopyOptionRecordZone2"/>
      <definedName name="GenDealIDZone2"/>
      <definedName name="GetUnderlyingPriceZone2"/>
      <definedName name="RefreshInputZone2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info_cod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wanghaomin@tewoointernationa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992"/>
  <sheetViews>
    <sheetView tabSelected="1" zoomScaleNormal="100" workbookViewId="0">
      <selection activeCell="B18" sqref="B18"/>
    </sheetView>
  </sheetViews>
  <sheetFormatPr defaultColWidth="9" defaultRowHeight="13.5" x14ac:dyDescent="0.15"/>
  <cols>
    <col min="1" max="1" width="5.375" style="7" customWidth="1"/>
    <col min="2" max="8" width="13.375" style="6" customWidth="1"/>
    <col min="9" max="9" width="13.25" style="6" customWidth="1"/>
    <col min="10" max="10" width="13.875" style="6" customWidth="1"/>
    <col min="11" max="22" width="13.375" style="6" customWidth="1"/>
    <col min="23" max="23" width="13.375" style="8" customWidth="1"/>
    <col min="24" max="35" width="12.625" style="8" customWidth="1"/>
    <col min="36" max="38" width="15.625" style="8" customWidth="1"/>
    <col min="39" max="16384" width="9" style="8"/>
  </cols>
  <sheetData>
    <row r="1" spans="1:24" ht="14.45" customHeight="1" x14ac:dyDescent="0.15">
      <c r="A1" s="40"/>
      <c r="B1" s="99" t="s">
        <v>348</v>
      </c>
      <c r="C1" s="99"/>
      <c r="D1" s="99"/>
      <c r="E1" s="99"/>
      <c r="F1" s="99"/>
      <c r="G1" s="99"/>
      <c r="H1" s="99"/>
      <c r="I1" s="52" t="s">
        <v>239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</row>
    <row r="2" spans="1:24" ht="14.45" customHeight="1" x14ac:dyDescent="0.15">
      <c r="A2" s="40"/>
      <c r="B2" s="99"/>
      <c r="C2" s="99"/>
      <c r="D2" s="99"/>
      <c r="E2" s="99"/>
      <c r="F2" s="99"/>
      <c r="G2" s="99"/>
      <c r="H2" s="99"/>
      <c r="I2" s="53">
        <f ca="1">NOW()</f>
        <v>43235.753272222224</v>
      </c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</row>
    <row r="3" spans="1:24" x14ac:dyDescent="0.15">
      <c r="A3" s="40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</row>
    <row r="4" spans="1:24" x14ac:dyDescent="0.15">
      <c r="A4" s="40" t="s">
        <v>68</v>
      </c>
      <c r="B4" s="100" t="s">
        <v>41</v>
      </c>
      <c r="C4" s="100"/>
      <c r="D4" s="100"/>
      <c r="E4" s="100"/>
      <c r="F4" s="100"/>
      <c r="G4" s="100"/>
      <c r="H4" s="100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</row>
    <row r="5" spans="1:24" x14ac:dyDescent="0.15">
      <c r="A5" s="40"/>
      <c r="B5" s="89" t="s">
        <v>218</v>
      </c>
      <c r="C5" s="84" t="s">
        <v>45</v>
      </c>
      <c r="D5" s="84" t="s">
        <v>217</v>
      </c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41"/>
      <c r="R5" s="41"/>
      <c r="S5" s="41"/>
      <c r="V5" s="8"/>
    </row>
    <row r="6" spans="1:24" x14ac:dyDescent="0.15">
      <c r="A6" s="40"/>
      <c r="B6" s="90" t="e">
        <f>RTD("wdf.rtq",,"000300.SH","LastPrice")</f>
        <v>#N/A</v>
      </c>
      <c r="C6" s="91">
        <f>RTD("wdf.rtq",,"000905.SH","LastPrice")</f>
        <v>6020.57</v>
      </c>
      <c r="D6" s="91">
        <f>RTD("wdf.rtq",,"000016.SH","LastPrice")</f>
        <v>2750.83</v>
      </c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41"/>
      <c r="R6" s="41"/>
      <c r="S6" s="41"/>
      <c r="V6" s="8"/>
    </row>
    <row r="7" spans="1:24" x14ac:dyDescent="0.15">
      <c r="A7" s="40"/>
      <c r="B7" s="89" t="s">
        <v>46</v>
      </c>
      <c r="C7" s="84" t="s">
        <v>47</v>
      </c>
      <c r="D7" s="84" t="s">
        <v>48</v>
      </c>
      <c r="E7" s="84" t="s">
        <v>49</v>
      </c>
      <c r="F7" s="84" t="s">
        <v>50</v>
      </c>
      <c r="G7" s="84" t="s">
        <v>51</v>
      </c>
      <c r="H7" s="84" t="s">
        <v>52</v>
      </c>
      <c r="I7" s="84" t="s">
        <v>53</v>
      </c>
      <c r="J7" s="84" t="s">
        <v>54</v>
      </c>
      <c r="K7" s="84" t="s">
        <v>55</v>
      </c>
      <c r="L7" s="84" t="s">
        <v>56</v>
      </c>
      <c r="M7" s="84" t="s">
        <v>57</v>
      </c>
      <c r="N7" s="84"/>
      <c r="O7" s="84"/>
      <c r="P7" s="84"/>
      <c r="Q7" s="41"/>
      <c r="R7" s="41"/>
      <c r="S7" s="41"/>
      <c r="V7" s="8"/>
    </row>
    <row r="8" spans="1:24" x14ac:dyDescent="0.15">
      <c r="A8" s="40"/>
      <c r="B8" s="90">
        <f>RTD("wdf.rtq",,"IF1708.CFE","LastPrice")</f>
        <v>0</v>
      </c>
      <c r="C8" s="92">
        <f>RTD("wdf.rtq",,"IF1709.CFE","LastPrice")</f>
        <v>0</v>
      </c>
      <c r="D8" s="91">
        <f>RTD("wdf.rtq",,"IF1712.CFE","LastPrice")</f>
        <v>0</v>
      </c>
      <c r="E8" s="91">
        <f>RTD("wdf.rtq",,"IF1803.CFE","LastPrice")</f>
        <v>0</v>
      </c>
      <c r="F8" s="91">
        <f>RTD("wdf.rtq",,"IH1708.CFE","LastPrice")</f>
        <v>0</v>
      </c>
      <c r="G8" s="91">
        <f>RTD("wdf.rtq",,"IH1709.CFE","LastPrice")</f>
        <v>0</v>
      </c>
      <c r="H8" s="91">
        <f>RTD("wdf.rtq",,"IH1712.CFE","LastPrice")</f>
        <v>0</v>
      </c>
      <c r="I8" s="91">
        <f>RTD("wdf.rtq",,"IH1803.CFE","LastPrice")</f>
        <v>0</v>
      </c>
      <c r="J8" s="91">
        <f>RTD("wdf.rtq",,"IC1708.CFE","LastPrice")</f>
        <v>0</v>
      </c>
      <c r="K8" s="91">
        <f>RTD("wdf.rtq",,"IC1709.CFE","LastPrice")</f>
        <v>0</v>
      </c>
      <c r="L8" s="91">
        <f>RTD("wdf.rtq",,"IC1712.CFE","LastPrice")</f>
        <v>0</v>
      </c>
      <c r="M8" s="91">
        <f>RTD("wdf.rtq",,"IC1803.CFE","LastPrice")</f>
        <v>0</v>
      </c>
      <c r="N8" s="91"/>
      <c r="O8" s="91"/>
      <c r="P8" s="91"/>
      <c r="Q8" s="41"/>
      <c r="R8" s="41"/>
      <c r="S8" s="41"/>
      <c r="V8" s="8"/>
    </row>
    <row r="9" spans="1:24" x14ac:dyDescent="0.15">
      <c r="A9" s="40"/>
      <c r="B9" s="89" t="s">
        <v>220</v>
      </c>
      <c r="C9" s="84" t="s">
        <v>430</v>
      </c>
      <c r="D9" s="84" t="s">
        <v>221</v>
      </c>
      <c r="E9" s="84"/>
      <c r="F9" s="84"/>
      <c r="G9" s="84"/>
      <c r="H9" s="84"/>
      <c r="I9" s="84"/>
      <c r="J9" s="84"/>
      <c r="K9" s="84"/>
      <c r="L9" s="84"/>
      <c r="M9" s="84"/>
      <c r="N9" s="41"/>
      <c r="O9" s="41"/>
      <c r="P9" s="41"/>
      <c r="Q9" s="41"/>
      <c r="R9" s="41"/>
      <c r="S9" s="41"/>
      <c r="V9" s="8"/>
    </row>
    <row r="10" spans="1:24" x14ac:dyDescent="0.15">
      <c r="A10" s="40"/>
      <c r="B10" s="90" t="e">
        <f>RTD("wdf.rtq",,"Au(T+D).SGE","LastPrice")</f>
        <v>#N/A</v>
      </c>
      <c r="C10" s="91" t="e">
        <f>RTD("wdf.rtq",,"AU1712.SHF","LastPrice")</f>
        <v>#N/A</v>
      </c>
      <c r="D10" s="91" t="e">
        <f>RTD("wdf.rtq",,"AU1806.SHF","LastPrice")</f>
        <v>#N/A</v>
      </c>
      <c r="E10" s="91"/>
      <c r="F10" s="91"/>
      <c r="G10" s="91"/>
      <c r="H10" s="91"/>
      <c r="I10" s="91"/>
      <c r="J10" s="91"/>
      <c r="K10" s="91"/>
      <c r="L10" s="91"/>
      <c r="M10" s="91"/>
      <c r="N10" s="41"/>
      <c r="O10" s="41"/>
      <c r="P10" s="41"/>
      <c r="Q10" s="41"/>
      <c r="R10" s="41"/>
      <c r="S10" s="41"/>
      <c r="V10" s="8"/>
    </row>
    <row r="11" spans="1:24" x14ac:dyDescent="0.15">
      <c r="A11" s="40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</row>
    <row r="12" spans="1:24" x14ac:dyDescent="0.15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</row>
    <row r="13" spans="1:24" x14ac:dyDescent="0.15">
      <c r="A13" s="40" t="s">
        <v>69</v>
      </c>
      <c r="B13" s="100" t="s">
        <v>315</v>
      </c>
      <c r="C13" s="100"/>
      <c r="D13" s="100"/>
      <c r="E13" s="100"/>
      <c r="F13" s="100"/>
      <c r="G13" s="100"/>
      <c r="H13" s="100"/>
      <c r="I13" s="81" t="s">
        <v>58</v>
      </c>
      <c r="J13" s="82" t="s">
        <v>328</v>
      </c>
      <c r="K13" s="41"/>
      <c r="L13" s="41"/>
      <c r="M13" s="41"/>
      <c r="N13" s="41"/>
      <c r="O13" s="41"/>
      <c r="P13" s="41"/>
      <c r="Q13" s="41"/>
      <c r="R13" s="41"/>
      <c r="S13" s="41"/>
      <c r="T13" s="41"/>
    </row>
    <row r="14" spans="1:24" x14ac:dyDescent="0.15">
      <c r="A14" s="40"/>
      <c r="B14" s="83" t="s">
        <v>332</v>
      </c>
      <c r="C14" s="97"/>
      <c r="D14" s="97"/>
      <c r="E14" s="97"/>
      <c r="F14" s="97"/>
      <c r="G14" s="83" t="s">
        <v>390</v>
      </c>
      <c r="H14" s="82"/>
      <c r="I14" s="45"/>
      <c r="J14" s="45"/>
      <c r="K14" s="45"/>
      <c r="L14" s="45"/>
      <c r="M14" s="45"/>
      <c r="N14" s="45"/>
      <c r="O14" s="45"/>
      <c r="P14" s="45"/>
      <c r="Q14" s="41"/>
      <c r="R14" s="41"/>
      <c r="S14" s="41"/>
      <c r="T14" s="41"/>
    </row>
    <row r="15" spans="1:24" x14ac:dyDescent="0.15">
      <c r="A15" s="46"/>
      <c r="B15" s="83" t="s">
        <v>329</v>
      </c>
      <c r="C15" s="83" t="s">
        <v>389</v>
      </c>
      <c r="D15" s="83" t="s">
        <v>330</v>
      </c>
      <c r="E15" s="83" t="s">
        <v>331</v>
      </c>
      <c r="F15" s="83" t="s">
        <v>333</v>
      </c>
      <c r="G15" s="83" t="s">
        <v>71</v>
      </c>
      <c r="H15" s="83" t="s">
        <v>185</v>
      </c>
      <c r="I15" s="83" t="s">
        <v>334</v>
      </c>
      <c r="J15" s="84" t="s">
        <v>335</v>
      </c>
      <c r="K15" s="84" t="s">
        <v>336</v>
      </c>
      <c r="L15" s="83" t="s">
        <v>143</v>
      </c>
      <c r="M15" s="83" t="s">
        <v>344</v>
      </c>
      <c r="N15" s="83" t="s">
        <v>345</v>
      </c>
      <c r="O15" s="83" t="s">
        <v>346</v>
      </c>
      <c r="P15" s="83" t="s">
        <v>347</v>
      </c>
      <c r="Q15" s="41"/>
      <c r="R15" s="41"/>
      <c r="S15" s="41"/>
      <c r="T15" s="41"/>
      <c r="W15" s="6"/>
      <c r="X15" s="6"/>
    </row>
    <row r="16" spans="1:24" x14ac:dyDescent="0.15">
      <c r="A16" s="47"/>
      <c r="B16" s="85"/>
      <c r="C16" s="86"/>
      <c r="D16" s="86"/>
      <c r="E16" s="86">
        <v>42984</v>
      </c>
      <c r="F16" s="86"/>
      <c r="G16" s="86"/>
      <c r="H16" s="87"/>
      <c r="I16" s="87"/>
      <c r="J16" s="85"/>
      <c r="K16" s="88"/>
      <c r="L16" s="85"/>
      <c r="M16" s="86"/>
      <c r="N16" s="85"/>
      <c r="O16" s="85"/>
      <c r="P16" s="85"/>
      <c r="Q16" s="41"/>
      <c r="R16" s="41"/>
      <c r="S16" s="41"/>
      <c r="T16" s="41"/>
      <c r="W16" s="6"/>
    </row>
    <row r="17" spans="1:22" x14ac:dyDescent="0.15">
      <c r="A17" s="40"/>
      <c r="B17" s="83" t="s">
        <v>362</v>
      </c>
      <c r="C17" s="83" t="s">
        <v>358</v>
      </c>
      <c r="D17" s="83" t="s">
        <v>160</v>
      </c>
      <c r="E17" s="83" t="s">
        <v>339</v>
      </c>
      <c r="F17" s="83" t="s">
        <v>243</v>
      </c>
      <c r="G17" s="83" t="s">
        <v>337</v>
      </c>
      <c r="H17" s="83" t="s">
        <v>338</v>
      </c>
      <c r="I17" s="83" t="s">
        <v>167</v>
      </c>
      <c r="J17" s="83" t="s">
        <v>343</v>
      </c>
      <c r="K17" s="83" t="s">
        <v>212</v>
      </c>
      <c r="L17" s="83" t="s">
        <v>215</v>
      </c>
      <c r="M17" s="83" t="s">
        <v>341</v>
      </c>
      <c r="N17" s="83" t="s">
        <v>81</v>
      </c>
      <c r="O17" s="83" t="s">
        <v>340</v>
      </c>
      <c r="P17" s="83" t="s">
        <v>342</v>
      </c>
      <c r="Q17" s="41"/>
      <c r="R17" s="41"/>
      <c r="S17" s="41"/>
      <c r="T17" s="41"/>
      <c r="V17" s="8"/>
    </row>
    <row r="18" spans="1:22" x14ac:dyDescent="0.15">
      <c r="A18" s="40"/>
      <c r="B18" s="44"/>
      <c r="C18" s="42"/>
      <c r="D18" s="42"/>
      <c r="E18" s="42"/>
      <c r="F18" s="42"/>
      <c r="G18" s="42">
        <v>42984.645833333336</v>
      </c>
      <c r="H18" s="42"/>
      <c r="I18" s="43"/>
      <c r="J18" s="43"/>
      <c r="K18" s="44"/>
      <c r="L18" s="44"/>
      <c r="M18" s="42"/>
      <c r="N18" s="44"/>
      <c r="O18" s="44"/>
      <c r="P18" s="44"/>
      <c r="Q18" s="41"/>
      <c r="R18" s="41"/>
      <c r="S18" s="41"/>
      <c r="T18" s="41"/>
    </row>
    <row r="19" spans="1:22" x14ac:dyDescent="0.15">
      <c r="A19" s="40"/>
      <c r="B19" s="44"/>
      <c r="C19" s="42"/>
      <c r="D19" s="42"/>
      <c r="E19" s="42"/>
      <c r="F19" s="42"/>
      <c r="G19" s="42"/>
      <c r="H19" s="42"/>
      <c r="I19" s="43"/>
      <c r="J19" s="43"/>
      <c r="K19" s="44"/>
      <c r="L19" s="44"/>
      <c r="M19" s="42"/>
      <c r="N19" s="44"/>
      <c r="O19" s="44"/>
      <c r="P19" s="44"/>
      <c r="Q19" s="41"/>
      <c r="R19" s="41"/>
      <c r="S19" s="41"/>
      <c r="T19" s="41"/>
    </row>
    <row r="20" spans="1:22" x14ac:dyDescent="0.15">
      <c r="A20" s="40"/>
      <c r="B20" s="44"/>
      <c r="C20" s="42"/>
      <c r="D20" s="42"/>
      <c r="E20" s="42"/>
      <c r="F20" s="42"/>
      <c r="G20" s="42"/>
      <c r="H20" s="50"/>
      <c r="I20" s="50"/>
      <c r="J20" s="43"/>
      <c r="K20" s="44"/>
      <c r="L20" s="44"/>
      <c r="M20" s="42"/>
      <c r="N20" s="44"/>
      <c r="O20" s="44"/>
      <c r="P20" s="44"/>
      <c r="Q20" s="41"/>
      <c r="R20" s="41"/>
      <c r="S20" s="41"/>
      <c r="T20" s="41"/>
    </row>
    <row r="21" spans="1:22" x14ac:dyDescent="0.15">
      <c r="A21" s="40"/>
      <c r="B21" s="44"/>
      <c r="C21" s="42"/>
      <c r="D21" s="42"/>
      <c r="E21" s="42"/>
      <c r="F21" s="42"/>
      <c r="G21" s="42"/>
      <c r="H21" s="50"/>
      <c r="I21" s="50"/>
      <c r="J21" s="43"/>
      <c r="K21" s="44"/>
      <c r="L21" s="44"/>
      <c r="M21" s="42"/>
      <c r="N21" s="44"/>
      <c r="O21" s="44"/>
      <c r="P21" s="44"/>
      <c r="Q21" s="41"/>
      <c r="R21" s="41"/>
      <c r="S21" s="41"/>
      <c r="T21" s="41"/>
    </row>
    <row r="22" spans="1:22" x14ac:dyDescent="0.15">
      <c r="A22" s="40"/>
      <c r="B22" s="44"/>
      <c r="C22" s="42"/>
      <c r="D22" s="42"/>
      <c r="E22" s="42"/>
      <c r="F22" s="42"/>
      <c r="G22" s="42"/>
      <c r="H22" s="50"/>
      <c r="I22" s="50"/>
      <c r="J22" s="43"/>
      <c r="K22" s="44"/>
      <c r="L22" s="44"/>
      <c r="M22" s="42"/>
      <c r="N22" s="44"/>
      <c r="O22" s="44"/>
      <c r="P22" s="44"/>
      <c r="Q22" s="41"/>
      <c r="R22" s="41"/>
      <c r="S22" s="41"/>
      <c r="T22" s="41"/>
    </row>
    <row r="23" spans="1:22" x14ac:dyDescent="0.15">
      <c r="A23" s="40" t="s">
        <v>200</v>
      </c>
      <c r="B23" s="44"/>
      <c r="C23" s="42"/>
      <c r="D23" s="42"/>
      <c r="E23" s="42"/>
      <c r="F23" s="42"/>
      <c r="G23" s="42"/>
      <c r="H23" s="50"/>
      <c r="I23" s="50"/>
      <c r="J23" s="43"/>
      <c r="K23" s="44"/>
      <c r="L23" s="44"/>
      <c r="M23" s="42"/>
      <c r="N23" s="44"/>
      <c r="O23" s="44"/>
      <c r="P23" s="44"/>
      <c r="Q23" s="41"/>
      <c r="R23" s="41"/>
      <c r="S23" s="41"/>
      <c r="T23" s="41"/>
    </row>
    <row r="24" spans="1:22" x14ac:dyDescent="0.15">
      <c r="A24" s="40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</row>
    <row r="25" spans="1:22" x14ac:dyDescent="0.15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</row>
    <row r="26" spans="1:22" x14ac:dyDescent="0.15">
      <c r="A26" s="40" t="s">
        <v>222</v>
      </c>
      <c r="B26" s="100" t="s">
        <v>216</v>
      </c>
      <c r="C26" s="100"/>
      <c r="D26" s="100"/>
      <c r="E26" s="100"/>
      <c r="F26" s="100"/>
      <c r="G26" s="100"/>
      <c r="H26" s="100"/>
      <c r="I26" s="48"/>
      <c r="J26" s="100" t="s">
        <v>316</v>
      </c>
      <c r="K26" s="100"/>
      <c r="L26" s="100"/>
      <c r="M26" s="100"/>
      <c r="N26" s="100"/>
      <c r="O26" s="100"/>
      <c r="P26" s="100"/>
      <c r="Q26" s="41"/>
      <c r="R26" s="41"/>
      <c r="S26" s="41"/>
      <c r="T26" s="41"/>
      <c r="V26" s="8"/>
    </row>
    <row r="27" spans="1:22" x14ac:dyDescent="0.15">
      <c r="A27" s="40"/>
      <c r="B27" s="81" t="s">
        <v>317</v>
      </c>
      <c r="C27" s="54"/>
      <c r="D27" s="55"/>
      <c r="E27" s="56"/>
      <c r="F27" s="51"/>
      <c r="G27" s="42"/>
      <c r="H27" s="50"/>
      <c r="I27" s="48"/>
      <c r="J27" s="81" t="s">
        <v>325</v>
      </c>
      <c r="K27" s="98"/>
      <c r="L27" s="98"/>
      <c r="M27" s="98"/>
      <c r="N27" s="56"/>
      <c r="O27" s="42"/>
      <c r="P27" s="50"/>
      <c r="Q27" s="41"/>
      <c r="R27" s="41"/>
      <c r="S27" s="41"/>
      <c r="T27" s="41"/>
      <c r="V27" s="8"/>
    </row>
    <row r="28" spans="1:22" x14ac:dyDescent="0.15">
      <c r="A28" s="40"/>
      <c r="B28" s="81" t="s">
        <v>318</v>
      </c>
      <c r="C28" s="81" t="s">
        <v>319</v>
      </c>
      <c r="D28" s="81" t="s">
        <v>320</v>
      </c>
      <c r="E28" s="81" t="s">
        <v>321</v>
      </c>
      <c r="F28" s="81" t="s">
        <v>322</v>
      </c>
      <c r="G28" s="81" t="s">
        <v>323</v>
      </c>
      <c r="H28" s="81" t="s">
        <v>324</v>
      </c>
      <c r="I28" s="41"/>
      <c r="J28" s="81" t="s">
        <v>169</v>
      </c>
      <c r="K28" s="81" t="s">
        <v>207</v>
      </c>
      <c r="L28" s="81" t="s">
        <v>326</v>
      </c>
      <c r="M28" s="81" t="s">
        <v>180</v>
      </c>
      <c r="N28" s="81" t="s">
        <v>156</v>
      </c>
      <c r="O28" s="81" t="s">
        <v>327</v>
      </c>
      <c r="P28" s="81"/>
      <c r="Q28" s="41"/>
      <c r="R28" s="41"/>
      <c r="S28" s="41"/>
      <c r="T28" s="41"/>
    </row>
    <row r="29" spans="1:22" x14ac:dyDescent="0.15">
      <c r="A29" s="40"/>
      <c r="B29" s="44"/>
      <c r="C29" s="42"/>
      <c r="D29" s="42">
        <v>42969</v>
      </c>
      <c r="E29" s="42"/>
      <c r="F29" s="42"/>
      <c r="G29" s="42"/>
      <c r="H29" s="50"/>
      <c r="I29" s="41"/>
      <c r="J29" s="44"/>
      <c r="K29" s="42"/>
      <c r="L29" s="42">
        <v>42969</v>
      </c>
      <c r="M29" s="42"/>
      <c r="N29" s="42"/>
      <c r="O29" s="42"/>
      <c r="P29" s="50"/>
      <c r="Q29" s="41"/>
      <c r="R29" s="41"/>
      <c r="S29" s="41"/>
      <c r="T29" s="41"/>
    </row>
    <row r="30" spans="1:22" x14ac:dyDescent="0.15">
      <c r="A30" s="40"/>
      <c r="B30" s="44"/>
      <c r="C30" s="42"/>
      <c r="D30" s="42"/>
      <c r="E30" s="42"/>
      <c r="F30" s="42"/>
      <c r="G30" s="42"/>
      <c r="H30" s="50"/>
      <c r="I30" s="41"/>
      <c r="J30" s="42"/>
      <c r="K30" s="42"/>
      <c r="L30" s="42"/>
      <c r="M30" s="42"/>
      <c r="N30" s="42"/>
      <c r="O30" s="42"/>
      <c r="P30" s="50"/>
      <c r="Q30" s="41"/>
      <c r="R30" s="41"/>
      <c r="S30" s="41"/>
      <c r="T30" s="41"/>
    </row>
    <row r="31" spans="1:22" x14ac:dyDescent="0.15">
      <c r="A31" s="40"/>
      <c r="B31" s="44"/>
      <c r="C31" s="42"/>
      <c r="D31" s="42"/>
      <c r="E31" s="42"/>
      <c r="F31" s="42"/>
      <c r="G31" s="42"/>
      <c r="H31" s="50"/>
      <c r="I31" s="41"/>
      <c r="J31" s="44"/>
      <c r="K31" s="42"/>
      <c r="L31" s="42"/>
      <c r="M31" s="42"/>
      <c r="N31" s="42"/>
      <c r="O31" s="42"/>
      <c r="P31" s="50"/>
      <c r="Q31" s="41"/>
      <c r="R31" s="41"/>
      <c r="S31" s="41"/>
      <c r="T31" s="41"/>
    </row>
    <row r="32" spans="1:22" x14ac:dyDescent="0.15">
      <c r="A32" s="40"/>
      <c r="B32" s="44"/>
      <c r="C32" s="42"/>
      <c r="D32" s="42"/>
      <c r="E32" s="42"/>
      <c r="F32" s="42"/>
      <c r="G32" s="42"/>
      <c r="H32" s="50"/>
      <c r="I32" s="41"/>
      <c r="J32" s="44"/>
      <c r="K32" s="42"/>
      <c r="L32" s="42"/>
      <c r="M32" s="42"/>
      <c r="N32" s="42"/>
      <c r="O32" s="42"/>
      <c r="P32" s="50"/>
      <c r="Q32" s="41"/>
      <c r="R32" s="41"/>
      <c r="S32" s="41"/>
      <c r="T32" s="41"/>
    </row>
    <row r="33" spans="1:20" x14ac:dyDescent="0.15">
      <c r="A33" s="40"/>
      <c r="B33" s="44"/>
      <c r="C33" s="42"/>
      <c r="D33" s="42"/>
      <c r="E33" s="42"/>
      <c r="F33" s="42"/>
      <c r="G33" s="42"/>
      <c r="H33" s="50"/>
      <c r="I33" s="41"/>
      <c r="J33" s="44"/>
      <c r="K33" s="44"/>
      <c r="L33" s="42"/>
      <c r="M33" s="42"/>
      <c r="N33" s="42"/>
      <c r="O33" s="42"/>
      <c r="P33" s="50"/>
      <c r="Q33" s="41"/>
      <c r="R33" s="41"/>
      <c r="S33" s="41"/>
      <c r="T33" s="41"/>
    </row>
    <row r="34" spans="1:20" x14ac:dyDescent="0.15">
      <c r="A34" s="40" t="s">
        <v>222</v>
      </c>
      <c r="B34" s="44"/>
      <c r="C34" s="42"/>
      <c r="D34" s="42"/>
      <c r="E34" s="42"/>
      <c r="F34" s="42"/>
      <c r="G34" s="42"/>
      <c r="H34" s="50"/>
      <c r="I34" s="41"/>
      <c r="J34" s="44"/>
      <c r="K34" s="42"/>
      <c r="L34" s="42"/>
      <c r="M34" s="42"/>
      <c r="N34" s="42"/>
      <c r="O34" s="42"/>
      <c r="P34" s="50"/>
      <c r="Q34" s="41"/>
      <c r="R34" s="41"/>
      <c r="S34" s="41"/>
      <c r="T34" s="41"/>
    </row>
    <row r="35" spans="1:20" x14ac:dyDescent="0.15">
      <c r="A35" s="40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</row>
    <row r="36" spans="1:20" x14ac:dyDescent="0.15">
      <c r="A36" s="40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</row>
    <row r="37" spans="1:20" x14ac:dyDescent="0.15">
      <c r="A37" s="40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</row>
    <row r="38" spans="1:20" x14ac:dyDescent="0.15">
      <c r="A38" s="40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</row>
    <row r="39" spans="1:20" x14ac:dyDescent="0.15">
      <c r="A39" s="40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</row>
    <row r="40" spans="1:20" x14ac:dyDescent="0.15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</row>
    <row r="41" spans="1:20" ht="12" customHeight="1" x14ac:dyDescent="0.15">
      <c r="A41" s="40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</row>
    <row r="42" spans="1:20" x14ac:dyDescent="0.15">
      <c r="A42" s="40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</row>
    <row r="43" spans="1:20" x14ac:dyDescent="0.15">
      <c r="A43" s="40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</row>
    <row r="44" spans="1:20" x14ac:dyDescent="0.15">
      <c r="A44" s="40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</row>
    <row r="45" spans="1:20" x14ac:dyDescent="0.15">
      <c r="A45" s="40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</row>
    <row r="46" spans="1:20" x14ac:dyDescent="0.15">
      <c r="A46" s="40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</row>
    <row r="47" spans="1:20" x14ac:dyDescent="0.15">
      <c r="A47" s="40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</row>
    <row r="48" spans="1:20" x14ac:dyDescent="0.15">
      <c r="A48" s="40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</row>
    <row r="49" spans="1:20" x14ac:dyDescent="0.15">
      <c r="A49" s="40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</row>
    <row r="50" spans="1:20" x14ac:dyDescent="0.15">
      <c r="A50" s="40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</row>
    <row r="982" spans="2:16" ht="14.25" thickBot="1" x14ac:dyDescent="0.2">
      <c r="B982" s="93" t="s">
        <v>201</v>
      </c>
    </row>
    <row r="983" spans="2:16" ht="14.25" thickBot="1" x14ac:dyDescent="0.2">
      <c r="B983" s="30" t="s">
        <v>1</v>
      </c>
      <c r="C983" s="93"/>
      <c r="D983" s="93"/>
      <c r="E983" s="93"/>
      <c r="F983" s="93"/>
      <c r="G983" s="93"/>
      <c r="H983" s="93"/>
      <c r="I983" s="16" t="s">
        <v>58</v>
      </c>
      <c r="J983" s="22" t="s">
        <v>168</v>
      </c>
    </row>
    <row r="984" spans="2:16" ht="14.25" thickBot="1" x14ac:dyDescent="0.2">
      <c r="B984" s="29" t="s">
        <v>206</v>
      </c>
      <c r="C984" s="95"/>
      <c r="D984" s="96"/>
      <c r="E984" s="96"/>
      <c r="F984" s="96"/>
      <c r="G984" s="31" t="s">
        <v>202</v>
      </c>
      <c r="H984" s="27" t="s">
        <v>204</v>
      </c>
    </row>
    <row r="985" spans="2:16" ht="14.25" thickBot="1" x14ac:dyDescent="0.2">
      <c r="B985" s="17" t="s">
        <v>210</v>
      </c>
      <c r="C985" s="28" t="s">
        <v>169</v>
      </c>
      <c r="D985" s="28" t="s">
        <v>104</v>
      </c>
      <c r="E985" s="28" t="s">
        <v>0</v>
      </c>
      <c r="F985" s="28" t="s">
        <v>59</v>
      </c>
      <c r="G985" s="28" t="s">
        <v>70</v>
      </c>
      <c r="H985" s="28" t="s">
        <v>71</v>
      </c>
      <c r="I985" s="13" t="s">
        <v>105</v>
      </c>
      <c r="J985" s="21" t="e">
        <f>RTD("wdf.rtq",,"Structure","LastPrice")</f>
        <v>#N/A</v>
      </c>
      <c r="K985" s="21" t="s">
        <v>208</v>
      </c>
      <c r="L985" s="13" t="s">
        <v>143</v>
      </c>
      <c r="M985" s="13" t="s">
        <v>185</v>
      </c>
      <c r="N985" s="13" t="s">
        <v>106</v>
      </c>
      <c r="O985" s="13" t="s">
        <v>199</v>
      </c>
      <c r="P985" s="13" t="s">
        <v>83</v>
      </c>
    </row>
    <row r="986" spans="2:16" ht="14.25" thickBot="1" x14ac:dyDescent="0.2">
      <c r="B986" s="15" t="s">
        <v>85</v>
      </c>
      <c r="C986" s="19"/>
      <c r="D986" s="19"/>
      <c r="E986" s="32">
        <v>42967</v>
      </c>
      <c r="F986" s="32">
        <v>42967</v>
      </c>
      <c r="G986" s="19">
        <v>43059</v>
      </c>
      <c r="H986" s="20">
        <v>92</v>
      </c>
      <c r="I986" s="20"/>
      <c r="J986" s="18"/>
      <c r="K986" s="18"/>
      <c r="L986" s="18"/>
      <c r="M986" s="19"/>
      <c r="N986" s="18"/>
      <c r="O986" s="18"/>
      <c r="P986" s="18"/>
    </row>
    <row r="987" spans="2:16" x14ac:dyDescent="0.15">
      <c r="B987" s="9"/>
      <c r="C987" s="13" t="s">
        <v>187</v>
      </c>
      <c r="D987" s="13" t="s">
        <v>63</v>
      </c>
      <c r="E987" s="13" t="s">
        <v>73</v>
      </c>
      <c r="F987" s="13" t="s">
        <v>209</v>
      </c>
      <c r="G987" s="13" t="s">
        <v>5</v>
      </c>
      <c r="H987" s="13" t="s">
        <v>76</v>
      </c>
      <c r="I987" s="13" t="s">
        <v>167</v>
      </c>
      <c r="J987" s="13" t="s">
        <v>211</v>
      </c>
      <c r="K987" s="13" t="s">
        <v>77</v>
      </c>
      <c r="L987" s="13" t="s">
        <v>78</v>
      </c>
      <c r="M987" s="13" t="s">
        <v>79</v>
      </c>
      <c r="N987" s="13" t="s">
        <v>80</v>
      </c>
      <c r="O987" s="13" t="s">
        <v>81</v>
      </c>
      <c r="P987" s="13" t="s">
        <v>82</v>
      </c>
    </row>
    <row r="988" spans="2:16" x14ac:dyDescent="0.15">
      <c r="B988" s="17"/>
      <c r="C988" s="26"/>
      <c r="D988" s="26" t="s">
        <v>49</v>
      </c>
      <c r="E988" s="26"/>
      <c r="F988" s="26"/>
      <c r="G988" s="26">
        <v>42967.645833333336</v>
      </c>
      <c r="H988" s="26">
        <v>43059.645833333336</v>
      </c>
      <c r="I988" s="33"/>
      <c r="J988" s="33">
        <f>RTD("wdf.rtq",,"IF1803.CFE","LastPrice")</f>
        <v>0</v>
      </c>
      <c r="K988" s="10"/>
      <c r="L988" s="10"/>
      <c r="M988" s="26"/>
      <c r="N988" s="10"/>
      <c r="O988" s="10"/>
      <c r="P988" s="10"/>
    </row>
    <row r="989" spans="2:16" x14ac:dyDescent="0.15">
      <c r="B989" s="17"/>
      <c r="C989" s="19"/>
      <c r="D989" s="19"/>
      <c r="E989" s="19"/>
      <c r="F989" s="19"/>
      <c r="G989" s="19"/>
      <c r="H989" s="20"/>
      <c r="I989" s="20"/>
      <c r="J989" s="33"/>
      <c r="K989" s="18"/>
      <c r="L989" s="18"/>
      <c r="M989" s="19"/>
      <c r="N989" s="18"/>
      <c r="O989" s="18"/>
      <c r="P989" s="18"/>
    </row>
    <row r="990" spans="2:16" x14ac:dyDescent="0.15">
      <c r="B990" s="17"/>
      <c r="C990" s="19"/>
      <c r="D990" s="19"/>
      <c r="E990" s="19"/>
      <c r="F990" s="19"/>
      <c r="G990" s="19"/>
      <c r="H990" s="20"/>
      <c r="I990" s="20"/>
      <c r="J990" s="33"/>
      <c r="K990" s="18"/>
      <c r="L990" s="18"/>
      <c r="M990" s="19"/>
      <c r="N990" s="18"/>
      <c r="O990" s="18"/>
      <c r="P990" s="18"/>
    </row>
    <row r="991" spans="2:16" ht="14.25" thickBot="1" x14ac:dyDescent="0.2">
      <c r="B991" s="11"/>
      <c r="C991" s="19"/>
      <c r="D991" s="19"/>
      <c r="E991" s="19"/>
      <c r="F991" s="19"/>
      <c r="G991" s="19"/>
      <c r="H991" s="20"/>
      <c r="I991" s="20"/>
      <c r="J991" s="33"/>
      <c r="K991" s="18"/>
      <c r="L991" s="18"/>
      <c r="M991" s="19"/>
      <c r="N991" s="18"/>
      <c r="O991" s="18"/>
      <c r="P991" s="18"/>
    </row>
    <row r="992" spans="2:16" ht="14.25" thickBot="1" x14ac:dyDescent="0.2">
      <c r="C992" s="24"/>
      <c r="D992" s="24"/>
      <c r="E992" s="24"/>
      <c r="F992" s="24"/>
      <c r="G992" s="24"/>
      <c r="H992" s="25"/>
      <c r="I992" s="25"/>
      <c r="J992" s="12"/>
      <c r="K992" s="12"/>
      <c r="L992" s="12"/>
      <c r="M992" s="24"/>
      <c r="N992" s="12"/>
      <c r="O992" s="12"/>
      <c r="P992" s="12"/>
    </row>
  </sheetData>
  <dataConsolidate/>
  <mergeCells count="8">
    <mergeCell ref="C984:F984"/>
    <mergeCell ref="C14:F14"/>
    <mergeCell ref="K27:M27"/>
    <mergeCell ref="B1:H2"/>
    <mergeCell ref="B4:H4"/>
    <mergeCell ref="B26:H26"/>
    <mergeCell ref="J26:P26"/>
    <mergeCell ref="B13:H1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" r:id="rId4" name="Button 40">
              <controlPr defaultSize="0" print="0" autoFill="0" autoPict="0" macro="[0]!按钮40_Click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" name="Button 55">
              <controlPr defaultSize="0" print="0" autoFill="0" autoPict="0" macro="[0]!ButtonConn_Input_ProductTerm_NewTrade_GenProdID">
                <anchor moveWithCells="1" sizeWithCells="1">
                  <from>
                    <xdr:col>12</xdr:col>
                    <xdr:colOff>9525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6" name="Button 90">
              <controlPr defaultSize="0" print="0" autoFill="0" autoPict="0" macro="[0]!ButtonConn_Input_NewTrade_ProductTerm_AdjustTemplate">
                <anchor moveWithCells="1" sizeWithCells="1">
                  <from>
                    <xdr:col>10</xdr:col>
                    <xdr:colOff>9525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7" name="Button 113">
              <controlPr defaultSize="0" print="0" autoFill="0" autoPict="0" macro="[0]!按钮113_Click">
                <anchor moveWithCells="1" siz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8" name="Button 116">
              <controlPr defaultSize="0" print="0" autoFill="0" autoPict="0" macro="[0]!RefreshUnderlyingTickerInfo">
                <anchor moveWithCells="1" sizeWithCells="1">
                  <from>
                    <xdr:col>8</xdr:col>
                    <xdr:colOff>19050</xdr:colOff>
                    <xdr:row>3</xdr:row>
                    <xdr:rowOff>0</xdr:rowOff>
                  </from>
                  <to>
                    <xdr:col>9</xdr:col>
                    <xdr:colOff>19050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9" name="Button 123">
              <controlPr defaultSize="0" print="0" autoFill="0" autoPict="0" macro="[0]!ButtonConn_Input_NewTrade_ProductTerm_Refresh">
                <anchor moveWithCells="1" sizeWithCells="1">
                  <from>
                    <xdr:col>8</xdr:col>
                    <xdr:colOff>19050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0" name="Button 124">
              <controlPr defaultSize="0" print="0" autoFill="0" autoPict="0" macro="[0]!ButtonConn_Input_NewTrade_ProductTerm_FillDate">
                <anchor moveWithCells="1" sizeWithCells="1">
                  <from>
                    <xdr:col>9</xdr:col>
                    <xdr:colOff>9525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1" name="Button 135">
              <controlPr defaultSize="0" print="0" autoFill="0" autoPict="0" macro="[0]!ButtonConn_Input_NewTrade_ProductTerm_FillPrice">
                <anchor moveWithCells="1" sizeWithCells="1">
                  <from>
                    <xdr:col>10</xdr:col>
                    <xdr:colOff>9525</xdr:colOff>
                    <xdr:row>12</xdr:row>
                    <xdr:rowOff>180975</xdr:rowOff>
                  </from>
                  <to>
                    <xdr:col>11</xdr:col>
                    <xdr:colOff>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2" name="Button 136">
              <controlPr defaultSize="0" print="0" autoFill="0" autoPict="0" macro="[0]!ButtonConn_Input_NewTrade_ProductTerm_CalcPrem">
                <anchor moveWithCells="1" sizeWithCells="1">
                  <from>
                    <xdr:col>11</xdr:col>
                    <xdr:colOff>9525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3" name="Button 127">
              <controlPr defaultSize="0" print="0" autoFill="0" autoPict="0" macro="[0]!ButtonConn_Input_ProductTerm_NewTrade_InsertNew">
                <anchor moveWithCells="1" sizeWithCells="1">
                  <from>
                    <xdr:col>13</xdr:col>
                    <xdr:colOff>9525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" name="Button 142">
              <controlPr defaultSize="0" print="0" autoFill="0" autoPict="0" macro="[0]!TestClass2">
                <anchor moveWithCells="1" sizeWithCells="1">
                  <from>
                    <xdr:col>10</xdr:col>
                    <xdr:colOff>9525</xdr:colOff>
                    <xdr:row>982</xdr:row>
                    <xdr:rowOff>0</xdr:rowOff>
                  </from>
                  <to>
                    <xdr:col>10</xdr:col>
                    <xdr:colOff>904875</xdr:colOff>
                    <xdr:row>982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5" name="Button 143">
              <controlPr defaultSize="0" print="0" autoFill="0" autoPict="0" macro="[1]!GenDealIDZone2">
                <anchor moveWithCells="1" sizeWithCells="1">
                  <from>
                    <xdr:col>12</xdr:col>
                    <xdr:colOff>9525</xdr:colOff>
                    <xdr:row>983</xdr:row>
                    <xdr:rowOff>0</xdr:rowOff>
                  </from>
                  <to>
                    <xdr:col>13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6" name="Button 144">
              <controlPr defaultSize="0" print="0" autoFill="0" autoPict="0" macro="[0]!ButtonConn_Input_NewTrade_ProductTerm_Refresh">
                <anchor moveWithCells="1" sizeWithCells="1">
                  <from>
                    <xdr:col>8</xdr:col>
                    <xdr:colOff>19050</xdr:colOff>
                    <xdr:row>983</xdr:row>
                    <xdr:rowOff>0</xdr:rowOff>
                  </from>
                  <to>
                    <xdr:col>9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7" name="Button 145">
              <controlPr defaultSize="0" print="0" autoFill="0" autoPict="0" macro="[0]!ButtonConn_Input_NewTrade_ProductTerm_FillDate">
                <anchor moveWithCells="1" sizeWithCells="1">
                  <from>
                    <xdr:col>9</xdr:col>
                    <xdr:colOff>9525</xdr:colOff>
                    <xdr:row>983</xdr:row>
                    <xdr:rowOff>0</xdr:rowOff>
                  </from>
                  <to>
                    <xdr:col>10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8" name="Button 146">
              <controlPr defaultSize="0" print="0" autoFill="0" autoPict="0" macro="[1]!GetUnderlyingPriceZone2">
                <anchor moveWithCells="1" sizeWithCells="1">
                  <from>
                    <xdr:col>10</xdr:col>
                    <xdr:colOff>9525</xdr:colOff>
                    <xdr:row>982</xdr:row>
                    <xdr:rowOff>180975</xdr:rowOff>
                  </from>
                  <to>
                    <xdr:col>11</xdr:col>
                    <xdr:colOff>0</xdr:colOff>
                    <xdr:row>983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9" name="Button 147">
              <controlPr defaultSize="0" print="0" autoFill="0" autoPict="0" macro="[1]!RefreshInputZone2">
                <anchor moveWithCells="1" sizeWithCells="1">
                  <from>
                    <xdr:col>11</xdr:col>
                    <xdr:colOff>9525</xdr:colOff>
                    <xdr:row>983</xdr:row>
                    <xdr:rowOff>0</xdr:rowOff>
                  </from>
                  <to>
                    <xdr:col>12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20" name="Button 148">
              <controlPr defaultSize="0" print="0" autoFill="0" autoPict="0" macro="[1]!CopyOptionRecordZone2">
                <anchor moveWithCells="1" sizeWithCells="1">
                  <from>
                    <xdr:col>13</xdr:col>
                    <xdr:colOff>9525</xdr:colOff>
                    <xdr:row>983</xdr:row>
                    <xdr:rowOff>0</xdr:rowOff>
                  </from>
                  <to>
                    <xdr:col>14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21" name="Button 158">
              <controlPr defaultSize="0" print="0" autoFill="0" autoPict="0" macro="[0]!ButtonConn_Input_LockCell">
                <anchor moveWithCells="1" sizeWithCells="1">
                  <from>
                    <xdr:col>10</xdr:col>
                    <xdr:colOff>9525</xdr:colOff>
                    <xdr:row>0</xdr:row>
                    <xdr:rowOff>0</xdr:rowOff>
                  </from>
                  <to>
                    <xdr:col>11</xdr:col>
                    <xdr:colOff>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2" name="Button 159">
              <controlPr defaultSize="0" print="0" autoFill="0" autoPict="0" macro="[0]!ButtonConn_Input_UnLockCell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11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Button 161">
              <controlPr defaultSize="0" print="0" autoFill="0" autoPict="0" macro="[0]!ButtonConn_Input_NewTrade_ProductTerm_AdjustTemplate">
                <anchor moveWithCells="1" siz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7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24" name="Button 162">
              <controlPr defaultSize="0" print="0" autoFill="0" autoPict="0" macro="[0]!ButtonConn_Input_NewTrade_ProductTerm_AdjustTemplate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25" name="Button 163">
              <controlPr defaultSize="0" print="0" autoFill="0" autoPict="0" macro="[0]!ButtonConn_Input_NewTrade_ProductTerm_AdjustTemplate">
                <anchor moveWithCells="1" sizeWithCells="1">
                  <from>
                    <xdr:col>15</xdr:col>
                    <xdr:colOff>0</xdr:colOff>
                    <xdr:row>26</xdr:row>
                    <xdr:rowOff>0</xdr:rowOff>
                  </from>
                  <to>
                    <xdr:col>15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26" name="Button 164">
              <controlPr defaultSize="0" print="0" autoFill="0" autoPict="0" macro="[0]!ButtonConn_Input_NewTrade_ProductTerm_AdjustTemplate">
                <anchor moveWithCells="1" siz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14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27" name="Button 165">
              <controlPr defaultSize="0" print="0" autoFill="0" autoPict="0" macro="[0]!按钮113_Click">
                <anchor moveWithCells="1" siz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28" name="Button 168">
              <controlPr defaultSize="0" print="0" autoFill="0" autoPict="0" macro="[0]!ButtonConn_Input_NewTrade_HedgingTrades_Refresh">
                <anchor moveWithCells="1" sizeWithCells="1">
                  <from>
                    <xdr:col>5</xdr:col>
                    <xdr:colOff>9525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29" name="Button 169">
              <controlPr defaultSize="0" print="0" autoFill="0" autoPict="0" macro="[0]!ButtonConn_Input_NewTrade_ClientDeposit_Refresh">
                <anchor moveWithCells="1" sizeWithCells="1">
                  <from>
                    <xdr:col>13</xdr:col>
                    <xdr:colOff>9525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48"/>
  <sheetViews>
    <sheetView topLeftCell="A16" workbookViewId="0">
      <selection activeCell="J51" sqref="J51"/>
    </sheetView>
  </sheetViews>
  <sheetFormatPr defaultRowHeight="11.25" x14ac:dyDescent="0.15"/>
  <cols>
    <col min="1" max="1" width="3.875" style="3" customWidth="1"/>
    <col min="2" max="2" width="16" style="3" customWidth="1"/>
    <col min="3" max="16384" width="9" style="3"/>
  </cols>
  <sheetData>
    <row r="1" spans="1:3" x14ac:dyDescent="0.15">
      <c r="A1" s="3" t="s">
        <v>109</v>
      </c>
      <c r="B1" s="3" t="s">
        <v>391</v>
      </c>
    </row>
    <row r="3" spans="1:3" x14ac:dyDescent="0.15">
      <c r="A3" s="3" t="s">
        <v>110</v>
      </c>
      <c r="B3" s="3" t="s">
        <v>58</v>
      </c>
      <c r="C3" s="3" t="s">
        <v>360</v>
      </c>
    </row>
    <row r="4" spans="1:3" x14ac:dyDescent="0.15">
      <c r="B4" s="3" t="s">
        <v>352</v>
      </c>
      <c r="C4" s="3">
        <v>0</v>
      </c>
    </row>
    <row r="5" spans="1:3" x14ac:dyDescent="0.15">
      <c r="B5" s="3" t="s">
        <v>351</v>
      </c>
      <c r="C5" s="3">
        <v>1</v>
      </c>
    </row>
    <row r="6" spans="1:3" x14ac:dyDescent="0.15">
      <c r="B6" s="3" t="s">
        <v>353</v>
      </c>
      <c r="C6" s="3">
        <v>2</v>
      </c>
    </row>
    <row r="7" spans="1:3" x14ac:dyDescent="0.15">
      <c r="A7" s="3" t="s">
        <v>349</v>
      </c>
      <c r="B7" s="3" t="s">
        <v>58</v>
      </c>
    </row>
    <row r="9" spans="1:3" x14ac:dyDescent="0.15">
      <c r="A9" s="3" t="s">
        <v>110</v>
      </c>
      <c r="B9" s="3" t="s">
        <v>357</v>
      </c>
      <c r="C9" s="3" t="s">
        <v>359</v>
      </c>
    </row>
    <row r="10" spans="1:3" x14ac:dyDescent="0.15">
      <c r="B10" s="3" t="s">
        <v>355</v>
      </c>
      <c r="C10" s="3">
        <v>0</v>
      </c>
    </row>
    <row r="11" spans="1:3" x14ac:dyDescent="0.15">
      <c r="B11" s="3" t="s">
        <v>356</v>
      </c>
      <c r="C11" s="3">
        <v>1</v>
      </c>
    </row>
    <row r="12" spans="1:3" x14ac:dyDescent="0.15">
      <c r="A12" s="3" t="s">
        <v>354</v>
      </c>
      <c r="B12" s="3" t="s">
        <v>357</v>
      </c>
    </row>
    <row r="14" spans="1:3" x14ac:dyDescent="0.15">
      <c r="A14" s="3" t="s">
        <v>110</v>
      </c>
      <c r="B14" s="3" t="s">
        <v>361</v>
      </c>
      <c r="C14" s="3" t="s">
        <v>359</v>
      </c>
    </row>
    <row r="15" spans="1:3" x14ac:dyDescent="0.15">
      <c r="B15" s="3" t="s">
        <v>371</v>
      </c>
      <c r="C15" s="3">
        <v>0</v>
      </c>
    </row>
    <row r="16" spans="1:3" x14ac:dyDescent="0.15">
      <c r="B16" s="3" t="s">
        <v>363</v>
      </c>
      <c r="C16" s="3">
        <v>1</v>
      </c>
    </row>
    <row r="17" spans="1:3" x14ac:dyDescent="0.15">
      <c r="B17" s="3" t="s">
        <v>364</v>
      </c>
      <c r="C17" s="3">
        <v>2</v>
      </c>
    </row>
    <row r="18" spans="1:3" x14ac:dyDescent="0.15">
      <c r="B18" s="3" t="s">
        <v>365</v>
      </c>
      <c r="C18" s="3">
        <v>3</v>
      </c>
    </row>
    <row r="19" spans="1:3" x14ac:dyDescent="0.15">
      <c r="B19" s="3" t="s">
        <v>366</v>
      </c>
      <c r="C19" s="3">
        <v>4</v>
      </c>
    </row>
    <row r="20" spans="1:3" x14ac:dyDescent="0.15">
      <c r="B20" s="3" t="s">
        <v>367</v>
      </c>
      <c r="C20" s="3">
        <v>5</v>
      </c>
    </row>
    <row r="21" spans="1:3" x14ac:dyDescent="0.15">
      <c r="B21" s="3" t="s">
        <v>369</v>
      </c>
      <c r="C21" s="3">
        <v>6</v>
      </c>
    </row>
    <row r="22" spans="1:3" x14ac:dyDescent="0.15">
      <c r="B22" s="3" t="s">
        <v>368</v>
      </c>
      <c r="C22" s="3">
        <v>7</v>
      </c>
    </row>
    <row r="23" spans="1:3" x14ac:dyDescent="0.15">
      <c r="B23" s="3" t="s">
        <v>370</v>
      </c>
      <c r="C23" s="3">
        <v>8</v>
      </c>
    </row>
    <row r="24" spans="1:3" x14ac:dyDescent="0.15">
      <c r="B24" s="3" t="s">
        <v>372</v>
      </c>
      <c r="C24" s="3">
        <v>9</v>
      </c>
    </row>
    <row r="25" spans="1:3" x14ac:dyDescent="0.15">
      <c r="B25" s="3" t="s">
        <v>373</v>
      </c>
      <c r="C25" s="3">
        <v>10</v>
      </c>
    </row>
    <row r="26" spans="1:3" x14ac:dyDescent="0.15">
      <c r="B26" s="3" t="s">
        <v>374</v>
      </c>
      <c r="C26" s="3">
        <v>11</v>
      </c>
    </row>
    <row r="27" spans="1:3" x14ac:dyDescent="0.15">
      <c r="B27" s="3" t="s">
        <v>375</v>
      </c>
      <c r="C27" s="3">
        <v>12</v>
      </c>
    </row>
    <row r="28" spans="1:3" x14ac:dyDescent="0.15">
      <c r="B28" s="3" t="s">
        <v>376</v>
      </c>
      <c r="C28" s="3">
        <v>13</v>
      </c>
    </row>
    <row r="29" spans="1:3" x14ac:dyDescent="0.15">
      <c r="B29" s="3" t="s">
        <v>377</v>
      </c>
      <c r="C29" s="3">
        <v>14</v>
      </c>
    </row>
    <row r="30" spans="1:3" x14ac:dyDescent="0.15">
      <c r="A30" s="3" t="s">
        <v>378</v>
      </c>
      <c r="B30" s="3" t="s">
        <v>361</v>
      </c>
    </row>
    <row r="32" spans="1:3" x14ac:dyDescent="0.15">
      <c r="A32" s="3" t="s">
        <v>110</v>
      </c>
      <c r="B32" s="3" t="s">
        <v>389</v>
      </c>
      <c r="C32" s="3" t="s">
        <v>359</v>
      </c>
    </row>
    <row r="33" spans="1:3" x14ac:dyDescent="0.15">
      <c r="B33" s="3" t="s">
        <v>379</v>
      </c>
      <c r="C33" s="3">
        <v>0</v>
      </c>
    </row>
    <row r="34" spans="1:3" x14ac:dyDescent="0.15">
      <c r="B34" s="3" t="s">
        <v>380</v>
      </c>
      <c r="C34" s="3">
        <v>1</v>
      </c>
    </row>
    <row r="35" spans="1:3" x14ac:dyDescent="0.15">
      <c r="B35" s="3" t="s">
        <v>381</v>
      </c>
      <c r="C35" s="3">
        <v>2</v>
      </c>
    </row>
    <row r="36" spans="1:3" x14ac:dyDescent="0.15">
      <c r="B36" s="3" t="s">
        <v>382</v>
      </c>
      <c r="C36" s="3">
        <v>3</v>
      </c>
    </row>
    <row r="37" spans="1:3" x14ac:dyDescent="0.15">
      <c r="B37" s="3" t="s">
        <v>383</v>
      </c>
      <c r="C37" s="3">
        <v>4</v>
      </c>
    </row>
    <row r="38" spans="1:3" x14ac:dyDescent="0.15">
      <c r="B38" s="3" t="s">
        <v>384</v>
      </c>
      <c r="C38" s="3">
        <v>5</v>
      </c>
    </row>
    <row r="39" spans="1:3" x14ac:dyDescent="0.15">
      <c r="A39" s="3" t="s">
        <v>378</v>
      </c>
      <c r="B39" s="3" t="s">
        <v>389</v>
      </c>
    </row>
    <row r="41" spans="1:3" x14ac:dyDescent="0.15">
      <c r="A41" s="3" t="s">
        <v>110</v>
      </c>
      <c r="B41" s="3" t="s">
        <v>390</v>
      </c>
      <c r="C41" s="3" t="s">
        <v>359</v>
      </c>
    </row>
    <row r="42" spans="1:3" x14ac:dyDescent="0.15">
      <c r="B42" s="3" t="s">
        <v>385</v>
      </c>
      <c r="C42" s="3">
        <v>0</v>
      </c>
    </row>
    <row r="43" spans="1:3" x14ac:dyDescent="0.15">
      <c r="B43" s="3" t="s">
        <v>386</v>
      </c>
      <c r="C43" s="3">
        <v>1</v>
      </c>
    </row>
    <row r="44" spans="1:3" x14ac:dyDescent="0.15">
      <c r="B44" s="3" t="s">
        <v>387</v>
      </c>
      <c r="C44" s="3">
        <v>2</v>
      </c>
    </row>
    <row r="45" spans="1:3" x14ac:dyDescent="0.15">
      <c r="B45" s="3" t="s">
        <v>388</v>
      </c>
      <c r="C45" s="3">
        <v>3</v>
      </c>
    </row>
    <row r="46" spans="1:3" x14ac:dyDescent="0.15">
      <c r="A46" s="3" t="s">
        <v>378</v>
      </c>
      <c r="B46" s="3" t="s">
        <v>390</v>
      </c>
    </row>
    <row r="48" spans="1:3" x14ac:dyDescent="0.15">
      <c r="A48" s="3" t="s">
        <v>350</v>
      </c>
      <c r="B48" s="3" t="s">
        <v>391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17"/>
  <sheetViews>
    <sheetView workbookViewId="0">
      <selection activeCell="A2" sqref="A2:XFD3"/>
    </sheetView>
  </sheetViews>
  <sheetFormatPr defaultRowHeight="11.25" x14ac:dyDescent="0.15"/>
  <cols>
    <col min="1" max="1" width="4.125" style="3" customWidth="1"/>
    <col min="2" max="9" width="9" style="3"/>
    <col min="10" max="10" width="10.5" style="3" customWidth="1"/>
    <col min="11" max="16384" width="9" style="3"/>
  </cols>
  <sheetData>
    <row r="1" spans="1:17" x14ac:dyDescent="0.15">
      <c r="A1" s="3" t="s">
        <v>109</v>
      </c>
      <c r="B1" s="3" t="s">
        <v>392</v>
      </c>
    </row>
    <row r="4" spans="1:17" x14ac:dyDescent="0.15">
      <c r="A4" s="3" t="s">
        <v>110</v>
      </c>
      <c r="B4" s="3" t="s">
        <v>394</v>
      </c>
      <c r="C4" s="3" t="s">
        <v>406</v>
      </c>
      <c r="D4" s="3" t="s">
        <v>420</v>
      </c>
      <c r="E4" s="3" t="s">
        <v>401</v>
      </c>
      <c r="F4" s="3" t="s">
        <v>400</v>
      </c>
      <c r="G4" s="3" t="s">
        <v>398</v>
      </c>
      <c r="H4" s="3" t="s">
        <v>399</v>
      </c>
      <c r="I4" s="3" t="s">
        <v>405</v>
      </c>
      <c r="J4" s="3" t="s">
        <v>402</v>
      </c>
      <c r="K4" s="3" t="s">
        <v>403</v>
      </c>
      <c r="L4" s="3" t="s">
        <v>404</v>
      </c>
      <c r="M4" s="3" t="s">
        <v>407</v>
      </c>
      <c r="N4" s="3" t="s">
        <v>408</v>
      </c>
      <c r="O4" s="3" t="s">
        <v>424</v>
      </c>
      <c r="P4" s="3" t="s">
        <v>409</v>
      </c>
      <c r="Q4" s="3" t="s">
        <v>425</v>
      </c>
    </row>
    <row r="5" spans="1:17" x14ac:dyDescent="0.15">
      <c r="B5" s="3" t="s">
        <v>393</v>
      </c>
      <c r="C5" s="3" t="s">
        <v>395</v>
      </c>
    </row>
    <row r="6" spans="1:17" x14ac:dyDescent="0.15">
      <c r="B6" s="3" t="s">
        <v>396</v>
      </c>
      <c r="C6" s="3" t="s">
        <v>397</v>
      </c>
    </row>
    <row r="7" spans="1:17" x14ac:dyDescent="0.15">
      <c r="B7" s="3" t="s">
        <v>33</v>
      </c>
      <c r="C7" s="3" t="s">
        <v>33</v>
      </c>
    </row>
    <row r="8" spans="1:17" x14ac:dyDescent="0.15">
      <c r="B8" s="3" t="s">
        <v>413</v>
      </c>
      <c r="C8" s="3" t="s">
        <v>414</v>
      </c>
      <c r="D8" s="3" t="s">
        <v>411</v>
      </c>
      <c r="E8" s="3" t="s">
        <v>412</v>
      </c>
    </row>
    <row r="9" spans="1:17" ht="13.5" x14ac:dyDescent="0.15">
      <c r="B9" s="3" t="s">
        <v>416</v>
      </c>
      <c r="C9" s="3" t="s">
        <v>415</v>
      </c>
      <c r="D9" s="3" t="s">
        <v>416</v>
      </c>
      <c r="E9" s="3" t="s">
        <v>412</v>
      </c>
      <c r="F9" s="3" t="s">
        <v>417</v>
      </c>
      <c r="G9" s="94" t="s">
        <v>419</v>
      </c>
      <c r="H9" s="3" t="s">
        <v>418</v>
      </c>
    </row>
    <row r="10" spans="1:17" x14ac:dyDescent="0.15">
      <c r="A10" s="3" t="s">
        <v>107</v>
      </c>
      <c r="B10" s="3" t="s">
        <v>394</v>
      </c>
    </row>
    <row r="12" spans="1:17" x14ac:dyDescent="0.15">
      <c r="A12" s="3" t="s">
        <v>110</v>
      </c>
      <c r="B12" s="3" t="s">
        <v>407</v>
      </c>
      <c r="C12" s="3" t="s">
        <v>421</v>
      </c>
      <c r="D12" s="3" t="s">
        <v>408</v>
      </c>
      <c r="E12" s="3" t="s">
        <v>409</v>
      </c>
    </row>
    <row r="13" spans="1:17" x14ac:dyDescent="0.15">
      <c r="B13" s="3" t="s">
        <v>422</v>
      </c>
      <c r="C13" s="3" t="s">
        <v>423</v>
      </c>
      <c r="E13" s="3" t="s">
        <v>426</v>
      </c>
    </row>
    <row r="14" spans="1:17" x14ac:dyDescent="0.15">
      <c r="B14" s="3" t="s">
        <v>427</v>
      </c>
      <c r="C14" s="3" t="s">
        <v>428</v>
      </c>
    </row>
    <row r="15" spans="1:17" x14ac:dyDescent="0.15">
      <c r="A15" s="3" t="s">
        <v>107</v>
      </c>
    </row>
    <row r="17" spans="1:2" x14ac:dyDescent="0.15">
      <c r="A17" s="3" t="s">
        <v>410</v>
      </c>
      <c r="B17" s="3" t="s">
        <v>392</v>
      </c>
    </row>
  </sheetData>
  <phoneticPr fontId="1" type="noConversion"/>
  <hyperlinks>
    <hyperlink ref="G9" r:id="rId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21"/>
  <sheetViews>
    <sheetView workbookViewId="0">
      <selection activeCell="J21" sqref="J21"/>
    </sheetView>
  </sheetViews>
  <sheetFormatPr defaultRowHeight="13.5" x14ac:dyDescent="0.15"/>
  <sheetData>
    <row r="1" spans="1:7" x14ac:dyDescent="0.15">
      <c r="A1" s="1" t="s">
        <v>109</v>
      </c>
      <c r="B1" s="3" t="s">
        <v>429</v>
      </c>
      <c r="C1" s="3"/>
      <c r="D1" s="3"/>
      <c r="E1" s="3"/>
      <c r="F1" s="3"/>
      <c r="G1" s="1"/>
    </row>
    <row r="2" spans="1:7" x14ac:dyDescent="0.15">
      <c r="A2" s="1" t="s">
        <v>110</v>
      </c>
      <c r="B2" s="3" t="s">
        <v>126</v>
      </c>
      <c r="C2" s="3" t="s">
        <v>127</v>
      </c>
      <c r="D2" s="3" t="s">
        <v>10</v>
      </c>
      <c r="E2" s="3" t="s">
        <v>9</v>
      </c>
      <c r="F2" s="3" t="s">
        <v>24</v>
      </c>
      <c r="G2" s="3" t="s">
        <v>29</v>
      </c>
    </row>
    <row r="3" spans="1:7" x14ac:dyDescent="0.15">
      <c r="A3" s="1"/>
      <c r="B3" s="5" t="s">
        <v>8</v>
      </c>
      <c r="C3" s="3" t="str">
        <f>[2]!s_info_code(B3)&amp;"."&amp;D3</f>
        <v>Fetching....SH</v>
      </c>
      <c r="D3" s="3" t="s">
        <v>19</v>
      </c>
      <c r="E3" s="3" t="s">
        <v>4</v>
      </c>
      <c r="F3" s="14">
        <v>300</v>
      </c>
      <c r="G3" s="5" t="s">
        <v>8</v>
      </c>
    </row>
    <row r="4" spans="1:7" x14ac:dyDescent="0.15">
      <c r="A4" s="1"/>
      <c r="B4" s="5" t="s">
        <v>25</v>
      </c>
      <c r="C4" s="3" t="str">
        <f>[2]!s_info_code(B4)&amp;"."&amp;D4</f>
        <v>Fetching....SH</v>
      </c>
      <c r="D4" s="3" t="s">
        <v>19</v>
      </c>
      <c r="E4" s="3" t="s">
        <v>4</v>
      </c>
      <c r="F4" s="14">
        <v>200</v>
      </c>
      <c r="G4" s="5" t="s">
        <v>25</v>
      </c>
    </row>
    <row r="5" spans="1:7" x14ac:dyDescent="0.15">
      <c r="A5" s="1"/>
      <c r="B5" s="5" t="s">
        <v>26</v>
      </c>
      <c r="C5" s="3" t="str">
        <f>[2]!s_info_code(B5)&amp;"."&amp;D5</f>
        <v>Fetching....SH</v>
      </c>
      <c r="D5" s="3" t="s">
        <v>19</v>
      </c>
      <c r="E5" s="3" t="s">
        <v>4</v>
      </c>
      <c r="F5" s="14">
        <v>300</v>
      </c>
      <c r="G5" s="5" t="s">
        <v>26</v>
      </c>
    </row>
    <row r="6" spans="1:7" x14ac:dyDescent="0.15">
      <c r="A6" s="1"/>
      <c r="B6" s="4" t="s">
        <v>11</v>
      </c>
      <c r="C6" s="3" t="str">
        <f>[2]!s_info_code(B6)&amp;"."&amp;D6</f>
        <v>Fetching....CFE</v>
      </c>
      <c r="D6" s="3" t="s">
        <v>36</v>
      </c>
      <c r="E6" s="3" t="s">
        <v>30</v>
      </c>
      <c r="F6" s="14">
        <v>300</v>
      </c>
      <c r="G6" s="5" t="s">
        <v>8</v>
      </c>
    </row>
    <row r="7" spans="1:7" x14ac:dyDescent="0.15">
      <c r="A7" s="1"/>
      <c r="B7" s="4" t="s">
        <v>12</v>
      </c>
      <c r="C7" s="3" t="str">
        <f>[2]!s_info_code(B7)&amp;"."&amp;D7</f>
        <v>Fetching....CFE</v>
      </c>
      <c r="D7" s="3" t="s">
        <v>36</v>
      </c>
      <c r="E7" s="3" t="s">
        <v>30</v>
      </c>
      <c r="F7" s="14">
        <v>300</v>
      </c>
      <c r="G7" s="5" t="s">
        <v>8</v>
      </c>
    </row>
    <row r="8" spans="1:7" x14ac:dyDescent="0.15">
      <c r="A8" s="1"/>
      <c r="B8" s="4" t="s">
        <v>13</v>
      </c>
      <c r="C8" s="3" t="str">
        <f>[2]!s_info_code(B8)&amp;"."&amp;D8</f>
        <v>Fetching....CFE</v>
      </c>
      <c r="D8" s="3" t="s">
        <v>36</v>
      </c>
      <c r="E8" s="3" t="s">
        <v>30</v>
      </c>
      <c r="F8" s="14">
        <v>300</v>
      </c>
      <c r="G8" s="5" t="s">
        <v>8</v>
      </c>
    </row>
    <row r="9" spans="1:7" x14ac:dyDescent="0.15">
      <c r="A9" s="1"/>
      <c r="B9" s="4" t="s">
        <v>14</v>
      </c>
      <c r="C9" s="3" t="str">
        <f>[2]!s_info_code(B9)&amp;"."&amp;D9</f>
        <v>Fetching....CFE</v>
      </c>
      <c r="D9" s="3" t="s">
        <v>36</v>
      </c>
      <c r="E9" s="3" t="s">
        <v>30</v>
      </c>
      <c r="F9" s="14">
        <v>300</v>
      </c>
      <c r="G9" s="5" t="s">
        <v>8</v>
      </c>
    </row>
    <row r="10" spans="1:7" x14ac:dyDescent="0.15">
      <c r="A10" s="1"/>
      <c r="B10" s="4" t="s">
        <v>15</v>
      </c>
      <c r="C10" s="3" t="str">
        <f>[2]!s_info_code(B10)&amp;"."&amp;D10</f>
        <v>Fetching....CFE</v>
      </c>
      <c r="D10" s="3" t="s">
        <v>36</v>
      </c>
      <c r="E10" s="3" t="s">
        <v>30</v>
      </c>
      <c r="F10" s="14">
        <v>300</v>
      </c>
      <c r="G10" s="5" t="s">
        <v>26</v>
      </c>
    </row>
    <row r="11" spans="1:7" x14ac:dyDescent="0.15">
      <c r="A11" s="1"/>
      <c r="B11" s="4" t="s">
        <v>16</v>
      </c>
      <c r="C11" s="3" t="str">
        <f>[2]!s_info_code(B11)&amp;"."&amp;D11</f>
        <v>Fetching....CFE</v>
      </c>
      <c r="D11" s="3" t="s">
        <v>36</v>
      </c>
      <c r="E11" s="3" t="s">
        <v>30</v>
      </c>
      <c r="F11" s="14">
        <v>300</v>
      </c>
      <c r="G11" s="5" t="s">
        <v>26</v>
      </c>
    </row>
    <row r="12" spans="1:7" x14ac:dyDescent="0.15">
      <c r="A12" s="1"/>
      <c r="B12" s="4" t="s">
        <v>17</v>
      </c>
      <c r="C12" s="3" t="str">
        <f>[2]!s_info_code(B12)&amp;"."&amp;D12</f>
        <v>Fetching....CFE</v>
      </c>
      <c r="D12" s="3" t="s">
        <v>36</v>
      </c>
      <c r="E12" s="3" t="s">
        <v>30</v>
      </c>
      <c r="F12" s="14">
        <v>300</v>
      </c>
      <c r="G12" s="5" t="s">
        <v>26</v>
      </c>
    </row>
    <row r="13" spans="1:7" x14ac:dyDescent="0.15">
      <c r="A13" s="1"/>
      <c r="B13" s="4" t="s">
        <v>18</v>
      </c>
      <c r="C13" s="3" t="str">
        <f>[2]!s_info_code(B13)&amp;"."&amp;D13</f>
        <v>Fetching....CFE</v>
      </c>
      <c r="D13" s="3" t="s">
        <v>36</v>
      </c>
      <c r="E13" s="3" t="s">
        <v>30</v>
      </c>
      <c r="F13" s="14">
        <v>300</v>
      </c>
      <c r="G13" s="5" t="s">
        <v>26</v>
      </c>
    </row>
    <row r="14" spans="1:7" x14ac:dyDescent="0.15">
      <c r="A14" s="1"/>
      <c r="B14" s="4" t="s">
        <v>20</v>
      </c>
      <c r="C14" s="3" t="str">
        <f>[2]!s_info_code(B14)&amp;"."&amp;D14</f>
        <v>Fetching....CFE</v>
      </c>
      <c r="D14" s="3" t="s">
        <v>36</v>
      </c>
      <c r="E14" s="3" t="s">
        <v>30</v>
      </c>
      <c r="F14" s="14">
        <v>200</v>
      </c>
      <c r="G14" s="5" t="s">
        <v>25</v>
      </c>
    </row>
    <row r="15" spans="1:7" x14ac:dyDescent="0.15">
      <c r="A15" s="1"/>
      <c r="B15" s="4" t="s">
        <v>21</v>
      </c>
      <c r="C15" s="3" t="str">
        <f>[2]!s_info_code(B15)&amp;"."&amp;D15</f>
        <v>Fetching....CFE</v>
      </c>
      <c r="D15" s="3" t="s">
        <v>36</v>
      </c>
      <c r="E15" s="3" t="s">
        <v>30</v>
      </c>
      <c r="F15" s="14">
        <v>200</v>
      </c>
      <c r="G15" s="5" t="s">
        <v>25</v>
      </c>
    </row>
    <row r="16" spans="1:7" x14ac:dyDescent="0.15">
      <c r="A16" s="1"/>
      <c r="B16" s="4" t="s">
        <v>22</v>
      </c>
      <c r="C16" s="3" t="str">
        <f>[2]!s_info_code(B16)&amp;"."&amp;D16</f>
        <v>Fetching....CFE</v>
      </c>
      <c r="D16" s="3" t="s">
        <v>36</v>
      </c>
      <c r="E16" s="3" t="s">
        <v>30</v>
      </c>
      <c r="F16" s="14">
        <v>200</v>
      </c>
      <c r="G16" s="5" t="s">
        <v>25</v>
      </c>
    </row>
    <row r="17" spans="1:7" x14ac:dyDescent="0.15">
      <c r="A17" s="1"/>
      <c r="B17" s="4" t="s">
        <v>23</v>
      </c>
      <c r="C17" s="3" t="str">
        <f>[2]!s_info_code(B17)&amp;"."&amp;D17</f>
        <v>Fetching....CFE</v>
      </c>
      <c r="D17" s="3" t="s">
        <v>36</v>
      </c>
      <c r="E17" s="3" t="s">
        <v>30</v>
      </c>
      <c r="F17" s="14">
        <v>200</v>
      </c>
      <c r="G17" s="5" t="s">
        <v>25</v>
      </c>
    </row>
    <row r="18" spans="1:7" x14ac:dyDescent="0.15">
      <c r="A18" s="1"/>
      <c r="B18" s="3" t="s">
        <v>38</v>
      </c>
      <c r="C18" s="3" t="str">
        <f>[2]!s_info_code(B18)&amp;"."&amp;D18</f>
        <v>Fetching....SGE</v>
      </c>
      <c r="D18" s="3" t="s">
        <v>39</v>
      </c>
      <c r="E18" s="3" t="s">
        <v>31</v>
      </c>
      <c r="F18" s="14">
        <v>1000</v>
      </c>
      <c r="G18" s="1" t="s">
        <v>28</v>
      </c>
    </row>
    <row r="19" spans="1:7" x14ac:dyDescent="0.15">
      <c r="A19" s="1"/>
      <c r="B19" s="4" t="s">
        <v>27</v>
      </c>
      <c r="C19" s="3" t="str">
        <f>[2]!s_info_code(B19)&amp;"."&amp;D19</f>
        <v>Fetching....SHF</v>
      </c>
      <c r="D19" s="3" t="s">
        <v>37</v>
      </c>
      <c r="E19" s="3" t="s">
        <v>31</v>
      </c>
      <c r="F19" s="14">
        <v>1000</v>
      </c>
      <c r="G19" s="1" t="s">
        <v>28</v>
      </c>
    </row>
    <row r="20" spans="1:7" x14ac:dyDescent="0.15">
      <c r="A20" s="1" t="s">
        <v>35</v>
      </c>
      <c r="B20" s="4" t="s">
        <v>42</v>
      </c>
      <c r="C20" s="3" t="str">
        <f>[2]!s_info_code(B20)&amp;"."&amp;D20</f>
        <v>Fetching....SHF</v>
      </c>
      <c r="D20" s="3" t="s">
        <v>37</v>
      </c>
      <c r="E20" s="3" t="s">
        <v>31</v>
      </c>
      <c r="F20" s="14">
        <v>1000</v>
      </c>
      <c r="G20" s="1" t="s">
        <v>28</v>
      </c>
    </row>
    <row r="21" spans="1:7" x14ac:dyDescent="0.15">
      <c r="A21" s="1" t="s">
        <v>108</v>
      </c>
      <c r="B21" s="3" t="s">
        <v>429</v>
      </c>
      <c r="C21" s="1"/>
      <c r="D21" s="1"/>
      <c r="E21" s="3"/>
      <c r="F21" s="1"/>
      <c r="G21" s="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S49"/>
  <sheetViews>
    <sheetView zoomScaleNormal="100" workbookViewId="0">
      <selection activeCell="F39" sqref="F39"/>
    </sheetView>
  </sheetViews>
  <sheetFormatPr defaultColWidth="12.625" defaultRowHeight="11.25" x14ac:dyDescent="0.15"/>
  <cols>
    <col min="1" max="1" width="2.5" style="6" customWidth="1"/>
    <col min="2" max="8" width="12.625" style="6"/>
    <col min="9" max="9" width="2.125" style="6" customWidth="1"/>
    <col min="10" max="10" width="13.5" style="6" customWidth="1"/>
    <col min="11" max="11" width="14.25" style="6" customWidth="1"/>
    <col min="12" max="12" width="11.5" style="6" customWidth="1"/>
    <col min="13" max="13" width="10.125" style="6" customWidth="1"/>
    <col min="14" max="14" width="11" style="6" customWidth="1"/>
    <col min="15" max="15" width="11.75" style="6" customWidth="1"/>
    <col min="16" max="16" width="9.125" style="6" customWidth="1"/>
    <col min="17" max="17" width="9.5" style="6" customWidth="1"/>
    <col min="18" max="16384" width="12.625" style="6"/>
  </cols>
  <sheetData>
    <row r="1" spans="2:19" ht="11.25" customHeight="1" x14ac:dyDescent="0.15">
      <c r="B1" s="105" t="s">
        <v>282</v>
      </c>
      <c r="C1" s="105"/>
      <c r="D1" s="105"/>
      <c r="E1" s="105"/>
      <c r="F1" s="105"/>
      <c r="G1" s="105"/>
      <c r="H1" s="52" t="s">
        <v>239</v>
      </c>
      <c r="I1" s="6" t="s">
        <v>269</v>
      </c>
    </row>
    <row r="2" spans="2:19" ht="12.75" customHeight="1" x14ac:dyDescent="0.15">
      <c r="B2" s="105"/>
      <c r="C2" s="105"/>
      <c r="D2" s="105"/>
      <c r="E2" s="105"/>
      <c r="F2" s="105"/>
      <c r="G2" s="105"/>
      <c r="H2" s="53">
        <f ca="1">NOW()</f>
        <v>43235.753272222224</v>
      </c>
    </row>
    <row r="6" spans="2:19" ht="12" thickBot="1" x14ac:dyDescent="0.2">
      <c r="B6" s="106" t="s">
        <v>246</v>
      </c>
      <c r="C6" s="106"/>
      <c r="D6" s="106"/>
      <c r="E6" s="106"/>
      <c r="F6" s="106"/>
      <c r="G6" s="106"/>
      <c r="H6" s="106"/>
      <c r="J6" s="6" t="s">
        <v>295</v>
      </c>
      <c r="K6" s="6" t="s">
        <v>251</v>
      </c>
    </row>
    <row r="7" spans="2:19" x14ac:dyDescent="0.15">
      <c r="I7" s="6" t="s">
        <v>270</v>
      </c>
      <c r="J7" s="109" t="s">
        <v>274</v>
      </c>
      <c r="K7" s="110"/>
      <c r="L7" s="67" t="s">
        <v>292</v>
      </c>
      <c r="M7" s="67" t="s">
        <v>291</v>
      </c>
      <c r="N7" s="67" t="s">
        <v>297</v>
      </c>
      <c r="O7" s="67" t="s">
        <v>273</v>
      </c>
      <c r="P7" s="67" t="s">
        <v>298</v>
      </c>
      <c r="Q7" s="67" t="s">
        <v>299</v>
      </c>
      <c r="R7" s="67" t="s">
        <v>301</v>
      </c>
      <c r="S7" s="68" t="s">
        <v>302</v>
      </c>
    </row>
    <row r="8" spans="2:19" x14ac:dyDescent="0.15">
      <c r="B8" s="57" t="s">
        <v>250</v>
      </c>
      <c r="C8" s="57"/>
      <c r="D8" s="57"/>
      <c r="E8" s="57"/>
      <c r="F8" s="57"/>
      <c r="G8" s="57"/>
      <c r="H8" s="57"/>
      <c r="J8" s="58"/>
      <c r="K8" s="59"/>
      <c r="L8" s="59"/>
      <c r="M8" s="59"/>
      <c r="N8" s="59"/>
      <c r="O8" s="59"/>
      <c r="P8" s="59"/>
      <c r="Q8" s="59"/>
      <c r="R8" s="59"/>
      <c r="S8" s="60"/>
    </row>
    <row r="9" spans="2:19" x14ac:dyDescent="0.15">
      <c r="J9" s="58"/>
      <c r="K9" s="59"/>
      <c r="L9" s="59"/>
      <c r="M9" s="59"/>
      <c r="N9" s="59"/>
      <c r="O9" s="59"/>
      <c r="P9" s="59"/>
      <c r="Q9" s="59"/>
      <c r="R9" s="59"/>
      <c r="S9" s="60"/>
    </row>
    <row r="10" spans="2:19" x14ac:dyDescent="0.15">
      <c r="J10" s="58"/>
      <c r="K10" s="59"/>
      <c r="L10" s="59"/>
      <c r="M10" s="59"/>
      <c r="N10" s="59"/>
      <c r="O10" s="59"/>
      <c r="P10" s="59"/>
      <c r="Q10" s="59"/>
      <c r="R10" s="59"/>
      <c r="S10" s="60"/>
    </row>
    <row r="11" spans="2:19" x14ac:dyDescent="0.15">
      <c r="J11" s="58"/>
      <c r="K11" s="59"/>
      <c r="L11" s="59"/>
      <c r="M11" s="59"/>
      <c r="N11" s="59"/>
      <c r="O11" s="59"/>
      <c r="P11" s="59"/>
      <c r="Q11" s="59"/>
      <c r="R11" s="59"/>
      <c r="S11" s="60"/>
    </row>
    <row r="12" spans="2:19" x14ac:dyDescent="0.15">
      <c r="B12" s="57" t="s">
        <v>253</v>
      </c>
      <c r="C12" s="57"/>
      <c r="D12" s="57"/>
      <c r="E12" s="57"/>
      <c r="F12" s="57"/>
      <c r="G12" s="57"/>
      <c r="H12" s="57"/>
      <c r="J12" s="58"/>
      <c r="K12" s="59"/>
      <c r="L12" s="59"/>
      <c r="M12" s="59"/>
      <c r="N12" s="59"/>
      <c r="O12" s="59"/>
      <c r="P12" s="59"/>
      <c r="Q12" s="59"/>
      <c r="R12" s="59"/>
      <c r="S12" s="60"/>
    </row>
    <row r="13" spans="2:19" x14ac:dyDescent="0.15">
      <c r="J13" s="58"/>
      <c r="K13" s="59"/>
      <c r="L13" s="59"/>
      <c r="M13" s="59"/>
      <c r="N13" s="59"/>
      <c r="O13" s="59"/>
      <c r="P13" s="59"/>
      <c r="Q13" s="59"/>
      <c r="R13" s="59"/>
      <c r="S13" s="60"/>
    </row>
    <row r="14" spans="2:19" x14ac:dyDescent="0.15">
      <c r="J14" s="58"/>
      <c r="K14" s="59"/>
      <c r="L14" s="59"/>
      <c r="M14" s="59"/>
      <c r="N14" s="59"/>
      <c r="O14" s="59"/>
      <c r="P14" s="59"/>
      <c r="Q14" s="59"/>
      <c r="R14" s="59"/>
      <c r="S14" s="60"/>
    </row>
    <row r="15" spans="2:19" x14ac:dyDescent="0.15">
      <c r="J15" s="58"/>
      <c r="K15" s="59"/>
      <c r="L15" s="59"/>
      <c r="M15" s="59"/>
      <c r="N15" s="59"/>
      <c r="O15" s="59"/>
      <c r="P15" s="59"/>
      <c r="Q15" s="59"/>
      <c r="R15" s="59"/>
      <c r="S15" s="60"/>
    </row>
    <row r="16" spans="2:19" x14ac:dyDescent="0.15">
      <c r="B16" s="57" t="s">
        <v>254</v>
      </c>
      <c r="C16" s="57"/>
      <c r="D16" s="57"/>
      <c r="E16" s="57"/>
      <c r="F16" s="57"/>
      <c r="G16" s="57"/>
      <c r="H16" s="57"/>
      <c r="J16" s="58"/>
      <c r="K16" s="59"/>
      <c r="L16" s="59"/>
      <c r="M16" s="59"/>
      <c r="N16" s="59"/>
      <c r="O16" s="59"/>
      <c r="P16" s="59"/>
      <c r="Q16" s="59"/>
      <c r="R16" s="59"/>
      <c r="S16" s="60"/>
    </row>
    <row r="17" spans="2:19" x14ac:dyDescent="0.15">
      <c r="J17" s="58"/>
      <c r="K17" s="59"/>
      <c r="L17" s="59"/>
      <c r="M17" s="59"/>
      <c r="N17" s="59"/>
      <c r="O17" s="59"/>
      <c r="P17" s="59"/>
      <c r="Q17" s="59"/>
      <c r="R17" s="59"/>
      <c r="S17" s="60"/>
    </row>
    <row r="18" spans="2:19" ht="12" thickBot="1" x14ac:dyDescent="0.2">
      <c r="J18" s="61"/>
      <c r="K18" s="62"/>
      <c r="L18" s="62"/>
      <c r="M18" s="62"/>
      <c r="N18" s="62"/>
      <c r="O18" s="62"/>
      <c r="P18" s="62"/>
      <c r="Q18" s="62"/>
      <c r="R18" s="62"/>
      <c r="S18" s="63"/>
    </row>
    <row r="20" spans="2:19" ht="12" thickBot="1" x14ac:dyDescent="0.2">
      <c r="B20" s="57" t="s">
        <v>252</v>
      </c>
      <c r="C20" s="57"/>
      <c r="D20" s="57"/>
      <c r="E20" s="57"/>
      <c r="F20" s="57"/>
      <c r="G20" s="57"/>
      <c r="H20" s="57"/>
      <c r="J20" s="6" t="s">
        <v>296</v>
      </c>
      <c r="K20" s="6" t="s">
        <v>251</v>
      </c>
    </row>
    <row r="21" spans="2:19" ht="13.5" customHeight="1" x14ac:dyDescent="0.15">
      <c r="I21" s="6" t="s">
        <v>271</v>
      </c>
      <c r="J21" s="109" t="s">
        <v>1</v>
      </c>
      <c r="K21" s="110"/>
      <c r="L21" s="79" t="s">
        <v>304</v>
      </c>
      <c r="M21" s="79" t="s">
        <v>297</v>
      </c>
      <c r="N21" s="79" t="s">
        <v>63</v>
      </c>
      <c r="O21" s="79" t="s">
        <v>306</v>
      </c>
      <c r="P21" s="79" t="s">
        <v>298</v>
      </c>
      <c r="Q21" s="79" t="s">
        <v>305</v>
      </c>
      <c r="R21" s="79" t="s">
        <v>307</v>
      </c>
      <c r="S21" s="80" t="s">
        <v>303</v>
      </c>
    </row>
    <row r="22" spans="2:19" x14ac:dyDescent="0.15">
      <c r="J22" s="107" t="s">
        <v>259</v>
      </c>
      <c r="K22" s="108"/>
      <c r="L22" s="74" t="s">
        <v>293</v>
      </c>
      <c r="M22" s="75" t="s">
        <v>294</v>
      </c>
      <c r="N22" s="78" t="s">
        <v>45</v>
      </c>
      <c r="O22" s="78"/>
      <c r="P22" s="73"/>
      <c r="Q22" s="73"/>
      <c r="R22" s="73"/>
      <c r="S22" s="77"/>
    </row>
    <row r="23" spans="2:19" x14ac:dyDescent="0.15">
      <c r="J23" s="107"/>
      <c r="K23" s="108"/>
      <c r="L23" s="73"/>
      <c r="M23" s="73"/>
      <c r="N23" s="75"/>
      <c r="O23" s="76"/>
      <c r="P23" s="73"/>
      <c r="Q23" s="73"/>
      <c r="R23" s="73"/>
      <c r="S23" s="77"/>
    </row>
    <row r="24" spans="2:19" x14ac:dyDescent="0.15">
      <c r="B24" s="57" t="s">
        <v>283</v>
      </c>
      <c r="C24" s="57"/>
      <c r="D24" s="57"/>
      <c r="E24" s="57"/>
      <c r="F24" s="57"/>
      <c r="G24" s="57"/>
      <c r="H24" s="57"/>
      <c r="J24" s="101"/>
      <c r="K24" s="102"/>
      <c r="L24" s="59"/>
      <c r="M24" s="59"/>
      <c r="N24" s="59"/>
      <c r="O24" s="71"/>
      <c r="P24" s="59"/>
      <c r="Q24" s="59"/>
      <c r="R24" s="59"/>
      <c r="S24" s="60"/>
    </row>
    <row r="25" spans="2:19" x14ac:dyDescent="0.15">
      <c r="J25" s="101"/>
      <c r="K25" s="102"/>
      <c r="L25" s="59"/>
      <c r="M25" s="59"/>
      <c r="N25" s="59"/>
      <c r="O25" s="71"/>
      <c r="P25" s="59"/>
      <c r="Q25" s="59"/>
      <c r="R25" s="59"/>
      <c r="S25" s="60"/>
    </row>
    <row r="26" spans="2:19" x14ac:dyDescent="0.15">
      <c r="J26" s="101"/>
      <c r="K26" s="102"/>
      <c r="L26" s="59"/>
      <c r="M26" s="59"/>
      <c r="N26" s="59"/>
      <c r="O26" s="71"/>
      <c r="P26" s="59"/>
      <c r="Q26" s="59"/>
      <c r="R26" s="59"/>
      <c r="S26" s="60"/>
    </row>
    <row r="27" spans="2:19" x14ac:dyDescent="0.15">
      <c r="J27" s="101"/>
      <c r="K27" s="102"/>
      <c r="L27" s="59"/>
      <c r="M27" s="59"/>
      <c r="N27" s="59"/>
      <c r="O27" s="71"/>
      <c r="P27" s="59"/>
      <c r="Q27" s="59"/>
      <c r="R27" s="59"/>
      <c r="S27" s="60"/>
    </row>
    <row r="28" spans="2:19" x14ac:dyDescent="0.15">
      <c r="J28" s="101"/>
      <c r="K28" s="102"/>
      <c r="L28" s="59"/>
      <c r="M28" s="59"/>
      <c r="N28" s="59"/>
      <c r="O28" s="71"/>
      <c r="P28" s="59"/>
      <c r="Q28" s="59"/>
      <c r="R28" s="59"/>
      <c r="S28" s="60"/>
    </row>
    <row r="29" spans="2:19" x14ac:dyDescent="0.15">
      <c r="J29" s="101"/>
      <c r="K29" s="102"/>
      <c r="L29" s="59"/>
      <c r="M29" s="59"/>
      <c r="N29" s="59"/>
      <c r="O29" s="71"/>
      <c r="P29" s="59"/>
      <c r="Q29" s="59"/>
      <c r="R29" s="59"/>
      <c r="S29" s="60"/>
    </row>
    <row r="30" spans="2:19" x14ac:dyDescent="0.15">
      <c r="B30" s="106" t="s">
        <v>249</v>
      </c>
      <c r="C30" s="106"/>
      <c r="D30" s="106"/>
      <c r="E30" s="106"/>
      <c r="F30" s="106"/>
      <c r="G30" s="106"/>
      <c r="H30" s="106"/>
      <c r="J30" s="101"/>
      <c r="K30" s="102"/>
      <c r="L30" s="59"/>
      <c r="M30" s="59"/>
      <c r="N30" s="59"/>
      <c r="O30" s="71"/>
      <c r="P30" s="59"/>
      <c r="Q30" s="59"/>
      <c r="R30" s="59"/>
      <c r="S30" s="60"/>
    </row>
    <row r="31" spans="2:19" x14ac:dyDescent="0.15">
      <c r="B31" s="6" t="s">
        <v>248</v>
      </c>
      <c r="F31" s="6" t="s">
        <v>247</v>
      </c>
      <c r="G31" s="6" t="s">
        <v>247</v>
      </c>
      <c r="J31" s="101"/>
      <c r="K31" s="102"/>
      <c r="L31" s="59"/>
      <c r="M31" s="59"/>
      <c r="N31" s="59"/>
      <c r="O31" s="71"/>
      <c r="P31" s="59"/>
      <c r="Q31" s="59"/>
      <c r="R31" s="59"/>
      <c r="S31" s="60"/>
    </row>
    <row r="32" spans="2:19" ht="12" thickBot="1" x14ac:dyDescent="0.2">
      <c r="J32" s="103"/>
      <c r="K32" s="104"/>
      <c r="L32" s="62"/>
      <c r="M32" s="62"/>
      <c r="N32" s="62"/>
      <c r="O32" s="72"/>
      <c r="P32" s="62"/>
      <c r="Q32" s="62"/>
      <c r="R32" s="62"/>
      <c r="S32" s="63"/>
    </row>
    <row r="49" spans="11:12" x14ac:dyDescent="0.15">
      <c r="K49" s="69"/>
      <c r="L49" s="70"/>
    </row>
  </sheetData>
  <mergeCells count="16">
    <mergeCell ref="J31:K31"/>
    <mergeCell ref="J32:K32"/>
    <mergeCell ref="B1:G2"/>
    <mergeCell ref="B6:H6"/>
    <mergeCell ref="B30:H30"/>
    <mergeCell ref="J22:K22"/>
    <mergeCell ref="J21:K21"/>
    <mergeCell ref="J23:K23"/>
    <mergeCell ref="J24:K24"/>
    <mergeCell ref="J25:K25"/>
    <mergeCell ref="J26:K26"/>
    <mergeCell ref="J27:K27"/>
    <mergeCell ref="J28:K28"/>
    <mergeCell ref="J29:K29"/>
    <mergeCell ref="J30:K30"/>
    <mergeCell ref="J7:K7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50"/>
  <sheetViews>
    <sheetView workbookViewId="0">
      <selection activeCell="A28" sqref="A28"/>
    </sheetView>
  </sheetViews>
  <sheetFormatPr defaultRowHeight="13.5" x14ac:dyDescent="0.15"/>
  <cols>
    <col min="3" max="3" width="11.375" customWidth="1"/>
  </cols>
  <sheetData>
    <row r="1" spans="1:21" x14ac:dyDescent="0.15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</row>
    <row r="2" spans="1:21" x14ac:dyDescent="0.15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</row>
    <row r="3" spans="1:21" x14ac:dyDescent="0.15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</row>
    <row r="4" spans="1:21" x14ac:dyDescent="0.15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</row>
    <row r="5" spans="1:21" x14ac:dyDescent="0.15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</row>
    <row r="6" spans="1:21" x14ac:dyDescent="0.15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</row>
    <row r="7" spans="1:21" x14ac:dyDescent="0.1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</row>
    <row r="8" spans="1:21" x14ac:dyDescent="0.15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</row>
    <row r="9" spans="1:21" x14ac:dyDescent="0.15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</row>
    <row r="10" spans="1:21" x14ac:dyDescent="0.15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</row>
    <row r="11" spans="1:21" x14ac:dyDescent="0.15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</row>
    <row r="12" spans="1:21" x14ac:dyDescent="0.1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</row>
    <row r="13" spans="1:21" x14ac:dyDescent="0.1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</row>
    <row r="14" spans="1:21" x14ac:dyDescent="0.1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</row>
    <row r="15" spans="1:21" x14ac:dyDescent="0.1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</row>
    <row r="16" spans="1:21" x14ac:dyDescent="0.15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</row>
    <row r="17" spans="1:21" x14ac:dyDescent="0.15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</row>
    <row r="18" spans="1:21" x14ac:dyDescent="0.15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</row>
    <row r="19" spans="1:21" x14ac:dyDescent="0.15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</row>
    <row r="20" spans="1:2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</row>
    <row r="21" spans="1:2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</row>
    <row r="22" spans="1:2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</row>
    <row r="23" spans="1:21" x14ac:dyDescent="0.15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</row>
    <row r="24" spans="1:21" x14ac:dyDescent="0.15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</row>
    <row r="25" spans="1:21" x14ac:dyDescent="0.15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</row>
    <row r="26" spans="1:21" x14ac:dyDescent="0.15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</row>
    <row r="27" spans="1:21" x14ac:dyDescent="0.15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</row>
    <row r="28" spans="1:21" x14ac:dyDescent="0.15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</row>
    <row r="29" spans="1:21" x14ac:dyDescent="0.15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</row>
    <row r="30" spans="1:21" x14ac:dyDescent="0.15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</row>
    <row r="31" spans="1:21" x14ac:dyDescent="0.15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</row>
    <row r="32" spans="1:21" x14ac:dyDescent="0.15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</row>
    <row r="33" spans="1:21" x14ac:dyDescent="0.15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</row>
    <row r="34" spans="1:21" x14ac:dyDescent="0.15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</row>
    <row r="35" spans="1:21" x14ac:dyDescent="0.15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</row>
    <row r="36" spans="1:21" x14ac:dyDescent="0.15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</row>
    <row r="37" spans="1:21" x14ac:dyDescent="0.15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</row>
    <row r="38" spans="1:21" x14ac:dyDescent="0.15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</row>
    <row r="39" spans="1:21" x14ac:dyDescent="0.15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</row>
    <row r="40" spans="1:21" x14ac:dyDescent="0.15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</row>
    <row r="41" spans="1:21" x14ac:dyDescent="0.15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</row>
    <row r="42" spans="1:21" x14ac:dyDescent="0.15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</row>
    <row r="43" spans="1:21" x14ac:dyDescent="0.15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</row>
    <row r="44" spans="1:21" x14ac:dyDescent="0.15">
      <c r="A44" s="49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</row>
    <row r="45" spans="1:21" x14ac:dyDescent="0.15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</row>
    <row r="46" spans="1:21" x14ac:dyDescent="0.15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</row>
    <row r="47" spans="1:21" x14ac:dyDescent="0.15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</row>
    <row r="48" spans="1:21" x14ac:dyDescent="0.15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</row>
    <row r="49" spans="1:21" x14ac:dyDescent="0.15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</row>
    <row r="50" spans="1:21" x14ac:dyDescent="0.15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2"/>
  <sheetViews>
    <sheetView workbookViewId="0">
      <selection activeCell="N19" sqref="N19"/>
    </sheetView>
  </sheetViews>
  <sheetFormatPr defaultRowHeight="13.5" x14ac:dyDescent="0.15"/>
  <cols>
    <col min="1" max="1" width="5.375" customWidth="1"/>
    <col min="2" max="3" width="14.5" customWidth="1"/>
    <col min="4" max="5" width="14.625" style="23" customWidth="1"/>
    <col min="6" max="6" width="19.25" customWidth="1"/>
    <col min="7" max="7" width="9.375" customWidth="1"/>
  </cols>
  <sheetData>
    <row r="1" spans="1:8" s="1" customFormat="1" ht="12" x14ac:dyDescent="0.15">
      <c r="A1" s="1" t="s">
        <v>3</v>
      </c>
      <c r="B1" s="1" t="s">
        <v>92</v>
      </c>
      <c r="C1" s="1" t="s">
        <v>184</v>
      </c>
      <c r="D1" s="1" t="s">
        <v>67</v>
      </c>
      <c r="E1" s="1" t="s">
        <v>186</v>
      </c>
      <c r="F1" s="1" t="s">
        <v>65</v>
      </c>
      <c r="G1" s="1" t="s">
        <v>180</v>
      </c>
      <c r="H1" s="1" t="s">
        <v>181</v>
      </c>
    </row>
    <row r="2" spans="1:8" x14ac:dyDescent="0.15">
      <c r="A2">
        <v>1</v>
      </c>
      <c r="B2" t="s">
        <v>183</v>
      </c>
      <c r="C2" t="s">
        <v>182</v>
      </c>
      <c r="D2" s="23">
        <v>42957</v>
      </c>
      <c r="E2" s="23" t="s">
        <v>142</v>
      </c>
      <c r="F2" t="s">
        <v>188</v>
      </c>
      <c r="G2" t="s">
        <v>189</v>
      </c>
      <c r="H2">
        <v>-39.452054794520549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"/>
  <sheetViews>
    <sheetView workbookViewId="0">
      <selection activeCell="F33" sqref="F33"/>
    </sheetView>
  </sheetViews>
  <sheetFormatPr defaultRowHeight="13.5" x14ac:dyDescent="0.15"/>
  <sheetData>
    <row r="1" spans="1:2" x14ac:dyDescent="0.15">
      <c r="A1" t="s">
        <v>64</v>
      </c>
      <c r="B1" s="1" t="s">
        <v>66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B55"/>
  <sheetViews>
    <sheetView workbookViewId="0">
      <selection activeCell="O11" sqref="O11"/>
    </sheetView>
  </sheetViews>
  <sheetFormatPr defaultRowHeight="13.5" x14ac:dyDescent="0.15"/>
  <cols>
    <col min="1" max="1" width="2" customWidth="1"/>
    <col min="2" max="2" width="27.75" customWidth="1"/>
    <col min="3" max="3" width="10.875" customWidth="1"/>
    <col min="4" max="4" width="9.5" customWidth="1"/>
    <col min="5" max="5" width="7.75" customWidth="1"/>
    <col min="6" max="6" width="9.25" customWidth="1"/>
    <col min="7" max="7" width="8.5" customWidth="1"/>
    <col min="8" max="8" width="11.25" customWidth="1"/>
    <col min="9" max="9" width="13.25" customWidth="1"/>
    <col min="10" max="10" width="13.75" customWidth="1"/>
    <col min="11" max="11" width="10.375" customWidth="1"/>
    <col min="12" max="12" width="5" customWidth="1"/>
    <col min="13" max="13" width="10.25" customWidth="1"/>
    <col min="14" max="14" width="11.125" customWidth="1"/>
    <col min="16" max="16" width="11.25" customWidth="1"/>
  </cols>
  <sheetData>
    <row r="1" spans="1:28" s="3" customFormat="1" ht="11.25" x14ac:dyDescent="0.15">
      <c r="A1" s="3" t="s">
        <v>288</v>
      </c>
      <c r="B1" s="3" t="s">
        <v>60</v>
      </c>
      <c r="C1" s="3" t="s">
        <v>206</v>
      </c>
      <c r="D1" s="4" t="s">
        <v>104</v>
      </c>
      <c r="E1" s="4" t="s">
        <v>287</v>
      </c>
      <c r="F1" s="4" t="s">
        <v>242</v>
      </c>
      <c r="G1" s="4" t="s">
        <v>243</v>
      </c>
      <c r="H1" s="4" t="s">
        <v>5</v>
      </c>
      <c r="I1" s="4" t="s">
        <v>6</v>
      </c>
      <c r="J1" s="4" t="s">
        <v>268</v>
      </c>
      <c r="K1" s="4" t="s">
        <v>63</v>
      </c>
      <c r="L1" s="4" t="s">
        <v>155</v>
      </c>
      <c r="M1" s="4" t="s">
        <v>2</v>
      </c>
      <c r="N1" s="3" t="s">
        <v>290</v>
      </c>
      <c r="O1" s="4" t="s">
        <v>143</v>
      </c>
      <c r="P1" s="4" t="s">
        <v>289</v>
      </c>
      <c r="Q1" s="4" t="s">
        <v>162</v>
      </c>
      <c r="R1" s="4" t="s">
        <v>163</v>
      </c>
      <c r="S1" s="4" t="s">
        <v>164</v>
      </c>
      <c r="T1" s="4" t="s">
        <v>165</v>
      </c>
      <c r="U1" s="4" t="s">
        <v>166</v>
      </c>
      <c r="V1" s="4"/>
      <c r="W1" s="4"/>
      <c r="X1" s="4"/>
      <c r="Y1" s="4"/>
      <c r="AA1" s="4"/>
      <c r="AB1" s="4"/>
    </row>
    <row r="2" spans="1:28" s="4" customFormat="1" ht="11.25" x14ac:dyDescent="0.15">
      <c r="A2" s="4">
        <v>1</v>
      </c>
      <c r="B2" s="4" t="s">
        <v>259</v>
      </c>
      <c r="C2" s="4" t="s">
        <v>241</v>
      </c>
      <c r="D2" s="4" t="s">
        <v>256</v>
      </c>
      <c r="E2" s="4" t="s">
        <v>266</v>
      </c>
      <c r="F2" s="4" t="s">
        <v>146</v>
      </c>
      <c r="G2" s="4" t="s">
        <v>275</v>
      </c>
      <c r="H2" s="64">
        <v>42983.645833333336</v>
      </c>
      <c r="I2" s="64">
        <v>42983.645833333336</v>
      </c>
      <c r="J2" s="64">
        <v>43035.607835648145</v>
      </c>
      <c r="K2" s="4" t="s">
        <v>45</v>
      </c>
      <c r="L2" s="4">
        <v>12.517023151486018</v>
      </c>
      <c r="M2" s="4" t="s">
        <v>267</v>
      </c>
      <c r="O2" s="4">
        <v>1643.8356164383561</v>
      </c>
      <c r="Q2" s="4">
        <v>6566.4000000000005</v>
      </c>
    </row>
    <row r="3" spans="1:28" s="4" customFormat="1" ht="11.25" x14ac:dyDescent="0.15">
      <c r="A3" s="4">
        <v>2</v>
      </c>
      <c r="B3" s="4" t="s">
        <v>262</v>
      </c>
      <c r="C3" s="4" t="s">
        <v>241</v>
      </c>
      <c r="D3" s="4" t="s">
        <v>261</v>
      </c>
      <c r="F3" s="4" t="s">
        <v>146</v>
      </c>
      <c r="G3" s="4" t="s">
        <v>275</v>
      </c>
      <c r="H3" s="64">
        <v>42983.645833333336</v>
      </c>
      <c r="I3" s="64">
        <v>43013.645833333336</v>
      </c>
      <c r="J3" s="64">
        <v>43035.607835648145</v>
      </c>
      <c r="K3" s="4" t="s">
        <v>45</v>
      </c>
      <c r="L3" s="4">
        <v>12.515555531822352</v>
      </c>
      <c r="M3" s="4">
        <v>6567.17</v>
      </c>
      <c r="O3" s="4">
        <v>1643.8356164383561</v>
      </c>
      <c r="Q3" s="4">
        <v>6567.17</v>
      </c>
    </row>
    <row r="4" spans="1:28" s="4" customFormat="1" ht="11.25" x14ac:dyDescent="0.15">
      <c r="A4" s="4">
        <v>3</v>
      </c>
      <c r="B4" s="4" t="s">
        <v>265</v>
      </c>
      <c r="C4" s="4" t="s">
        <v>241</v>
      </c>
      <c r="D4" s="4" t="s">
        <v>264</v>
      </c>
      <c r="F4" s="4" t="s">
        <v>146</v>
      </c>
      <c r="G4" s="4" t="s">
        <v>275</v>
      </c>
      <c r="H4" s="64">
        <v>42983.645833333336</v>
      </c>
      <c r="I4" s="64">
        <v>42983.645833333336</v>
      </c>
      <c r="J4" s="64">
        <v>43035.607835648145</v>
      </c>
      <c r="K4" s="4" t="s">
        <v>45</v>
      </c>
      <c r="L4" s="4">
        <v>12.509383862181782</v>
      </c>
      <c r="M4" s="4">
        <v>6567.17</v>
      </c>
      <c r="N4" s="4">
        <v>6632.63</v>
      </c>
      <c r="O4" s="4">
        <v>1643.8356164383561</v>
      </c>
      <c r="P4" s="4">
        <v>254545</v>
      </c>
      <c r="Q4" s="4">
        <v>6570.41</v>
      </c>
    </row>
    <row r="5" spans="1:28" s="4" customFormat="1" ht="11.25" x14ac:dyDescent="0.15">
      <c r="H5" s="64"/>
      <c r="I5" s="64"/>
    </row>
    <row r="6" spans="1:28" s="4" customFormat="1" ht="11.25" x14ac:dyDescent="0.15">
      <c r="H6" s="64"/>
      <c r="I6" s="64"/>
    </row>
    <row r="7" spans="1:28" s="4" customFormat="1" ht="11.25" x14ac:dyDescent="0.15">
      <c r="H7" s="64"/>
      <c r="I7" s="64"/>
    </row>
    <row r="8" spans="1:28" s="4" customFormat="1" ht="11.25" x14ac:dyDescent="0.15">
      <c r="H8" s="64"/>
      <c r="I8" s="64"/>
    </row>
    <row r="9" spans="1:28" s="4" customFormat="1" ht="11.25" x14ac:dyDescent="0.15">
      <c r="H9" s="64"/>
      <c r="I9" s="64"/>
    </row>
    <row r="10" spans="1:28" s="4" customFormat="1" ht="11.25" x14ac:dyDescent="0.15">
      <c r="H10" s="64"/>
      <c r="I10" s="64"/>
    </row>
    <row r="11" spans="1:28" s="4" customFormat="1" ht="11.25" x14ac:dyDescent="0.15">
      <c r="H11" s="64"/>
      <c r="I11" s="64"/>
    </row>
    <row r="12" spans="1:28" s="4" customFormat="1" ht="11.25" x14ac:dyDescent="0.15">
      <c r="H12" s="64"/>
      <c r="I12" s="64"/>
    </row>
    <row r="13" spans="1:28" s="4" customFormat="1" ht="11.25" x14ac:dyDescent="0.15">
      <c r="H13" s="64"/>
      <c r="I13" s="64"/>
    </row>
    <row r="14" spans="1:28" s="4" customFormat="1" ht="11.25" x14ac:dyDescent="0.15">
      <c r="H14" s="64"/>
      <c r="I14" s="64"/>
    </row>
    <row r="15" spans="1:28" s="4" customFormat="1" ht="11.25" x14ac:dyDescent="0.15">
      <c r="H15" s="64"/>
      <c r="I15" s="64"/>
    </row>
    <row r="16" spans="1:28" s="4" customFormat="1" ht="11.25" x14ac:dyDescent="0.15">
      <c r="H16" s="64"/>
      <c r="I16" s="64"/>
    </row>
    <row r="17" spans="8:9" s="4" customFormat="1" ht="11.25" x14ac:dyDescent="0.15">
      <c r="H17" s="64"/>
      <c r="I17" s="64"/>
    </row>
    <row r="18" spans="8:9" s="4" customFormat="1" ht="11.25" x14ac:dyDescent="0.15">
      <c r="H18" s="64"/>
      <c r="I18" s="64"/>
    </row>
    <row r="19" spans="8:9" s="4" customFormat="1" ht="11.25" x14ac:dyDescent="0.15">
      <c r="H19" s="64"/>
      <c r="I19" s="64"/>
    </row>
    <row r="20" spans="8:9" s="4" customFormat="1" ht="11.25" x14ac:dyDescent="0.15">
      <c r="H20" s="64"/>
      <c r="I20" s="64"/>
    </row>
    <row r="21" spans="8:9" s="4" customFormat="1" ht="11.25" x14ac:dyDescent="0.15">
      <c r="H21" s="64"/>
      <c r="I21" s="64"/>
    </row>
    <row r="22" spans="8:9" s="4" customFormat="1" ht="11.25" x14ac:dyDescent="0.15">
      <c r="H22" s="64"/>
      <c r="I22" s="64"/>
    </row>
    <row r="23" spans="8:9" s="4" customFormat="1" ht="11.25" x14ac:dyDescent="0.15">
      <c r="H23" s="64"/>
      <c r="I23" s="64"/>
    </row>
    <row r="24" spans="8:9" s="4" customFormat="1" ht="11.25" x14ac:dyDescent="0.15">
      <c r="H24" s="64"/>
      <c r="I24" s="64"/>
    </row>
    <row r="25" spans="8:9" s="4" customFormat="1" ht="11.25" x14ac:dyDescent="0.15">
      <c r="H25" s="64"/>
      <c r="I25" s="64"/>
    </row>
    <row r="26" spans="8:9" s="4" customFormat="1" ht="11.25" x14ac:dyDescent="0.15">
      <c r="H26" s="64"/>
      <c r="I26" s="64"/>
    </row>
    <row r="27" spans="8:9" s="4" customFormat="1" ht="11.25" x14ac:dyDescent="0.15">
      <c r="H27" s="64"/>
      <c r="I27" s="64"/>
    </row>
    <row r="28" spans="8:9" s="4" customFormat="1" ht="11.25" x14ac:dyDescent="0.15">
      <c r="H28" s="64"/>
      <c r="I28" s="64"/>
    </row>
    <row r="29" spans="8:9" s="4" customFormat="1" ht="11.25" x14ac:dyDescent="0.15">
      <c r="H29" s="64"/>
      <c r="I29" s="64"/>
    </row>
    <row r="30" spans="8:9" s="4" customFormat="1" ht="11.25" x14ac:dyDescent="0.15">
      <c r="H30" s="64"/>
      <c r="I30" s="64"/>
    </row>
    <row r="31" spans="8:9" s="4" customFormat="1" ht="11.25" x14ac:dyDescent="0.15">
      <c r="H31" s="64"/>
      <c r="I31" s="64"/>
    </row>
    <row r="32" spans="8:9" s="4" customFormat="1" ht="11.25" x14ac:dyDescent="0.15">
      <c r="H32" s="64"/>
    </row>
    <row r="33" spans="8:9" s="4" customFormat="1" ht="11.25" x14ac:dyDescent="0.15">
      <c r="H33" s="64"/>
      <c r="I33" s="64"/>
    </row>
    <row r="34" spans="8:9" s="4" customFormat="1" ht="11.25" x14ac:dyDescent="0.15">
      <c r="H34" s="64"/>
      <c r="I34" s="64"/>
    </row>
    <row r="35" spans="8:9" s="4" customFormat="1" ht="11.25" x14ac:dyDescent="0.15">
      <c r="H35" s="64"/>
      <c r="I35" s="64"/>
    </row>
    <row r="36" spans="8:9" s="4" customFormat="1" ht="11.25" x14ac:dyDescent="0.15">
      <c r="H36" s="64"/>
      <c r="I36" s="64"/>
    </row>
    <row r="37" spans="8:9" s="4" customFormat="1" ht="11.25" x14ac:dyDescent="0.15">
      <c r="H37" s="64"/>
      <c r="I37" s="64"/>
    </row>
    <row r="38" spans="8:9" s="4" customFormat="1" ht="11.25" x14ac:dyDescent="0.15">
      <c r="H38" s="64"/>
      <c r="I38" s="64"/>
    </row>
    <row r="39" spans="8:9" s="4" customFormat="1" ht="11.25" x14ac:dyDescent="0.15">
      <c r="H39" s="64"/>
      <c r="I39" s="64"/>
    </row>
    <row r="40" spans="8:9" s="4" customFormat="1" ht="11.25" x14ac:dyDescent="0.15">
      <c r="H40" s="64"/>
      <c r="I40" s="64"/>
    </row>
    <row r="41" spans="8:9" s="4" customFormat="1" ht="11.25" x14ac:dyDescent="0.15">
      <c r="H41" s="64"/>
      <c r="I41" s="64"/>
    </row>
    <row r="42" spans="8:9" s="4" customFormat="1" ht="11.25" x14ac:dyDescent="0.15">
      <c r="H42" s="64"/>
      <c r="I42" s="64"/>
    </row>
    <row r="43" spans="8:9" s="4" customFormat="1" ht="11.25" x14ac:dyDescent="0.15">
      <c r="H43" s="64"/>
      <c r="I43" s="64"/>
    </row>
    <row r="44" spans="8:9" s="4" customFormat="1" ht="11.25" x14ac:dyDescent="0.15">
      <c r="H44" s="64"/>
      <c r="I44" s="64"/>
    </row>
    <row r="45" spans="8:9" s="4" customFormat="1" ht="11.25" x14ac:dyDescent="0.15">
      <c r="H45" s="64"/>
      <c r="I45" s="64"/>
    </row>
    <row r="46" spans="8:9" s="4" customFormat="1" ht="11.25" x14ac:dyDescent="0.15">
      <c r="H46" s="64"/>
      <c r="I46" s="64"/>
    </row>
    <row r="47" spans="8:9" s="4" customFormat="1" ht="11.25" x14ac:dyDescent="0.15">
      <c r="H47" s="64"/>
      <c r="I47" s="64"/>
    </row>
    <row r="48" spans="8:9" s="4" customFormat="1" ht="11.25" x14ac:dyDescent="0.15">
      <c r="H48" s="64"/>
      <c r="I48" s="64"/>
    </row>
    <row r="49" spans="8:9" s="4" customFormat="1" ht="11.25" x14ac:dyDescent="0.15">
      <c r="H49" s="64"/>
      <c r="I49" s="64"/>
    </row>
    <row r="50" spans="8:9" s="4" customFormat="1" ht="11.25" x14ac:dyDescent="0.15">
      <c r="H50" s="64"/>
      <c r="I50" s="64"/>
    </row>
    <row r="51" spans="8:9" s="4" customFormat="1" ht="11.25" x14ac:dyDescent="0.15">
      <c r="H51" s="64"/>
      <c r="I51" s="64"/>
    </row>
    <row r="52" spans="8:9" s="4" customFormat="1" ht="11.25" x14ac:dyDescent="0.15">
      <c r="H52" s="64"/>
      <c r="I52" s="64"/>
    </row>
    <row r="53" spans="8:9" s="4" customFormat="1" ht="11.25" x14ac:dyDescent="0.15">
      <c r="H53" s="64"/>
      <c r="I53" s="64"/>
    </row>
    <row r="54" spans="8:9" s="4" customFormat="1" ht="11.25" x14ac:dyDescent="0.15">
      <c r="H54" s="64"/>
      <c r="I54" s="64"/>
    </row>
    <row r="55" spans="8:9" s="4" customFormat="1" ht="11.25" x14ac:dyDescent="0.15">
      <c r="H55" s="64"/>
      <c r="I55" s="64"/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237"/>
  <sheetViews>
    <sheetView workbookViewId="0">
      <selection activeCell="R23" sqref="R23"/>
    </sheetView>
  </sheetViews>
  <sheetFormatPr defaultRowHeight="13.5" x14ac:dyDescent="0.15"/>
  <cols>
    <col min="2" max="2" width="11.5" customWidth="1"/>
    <col min="3" max="3" width="32.5" customWidth="1"/>
    <col min="4" max="4" width="10.625" customWidth="1"/>
    <col min="6" max="6" width="8.5" customWidth="1"/>
    <col min="14" max="16" width="9.375" customWidth="1"/>
    <col min="17" max="17" width="11.25" customWidth="1"/>
    <col min="27" max="27" width="11.375" customWidth="1"/>
    <col min="28" max="28" width="11.625" customWidth="1"/>
    <col min="29" max="29" width="14.125" bestFit="1" customWidth="1"/>
    <col min="30" max="30" width="15.125" bestFit="1" customWidth="1"/>
  </cols>
  <sheetData>
    <row r="1" spans="1:39" s="1" customFormat="1" ht="12" x14ac:dyDescent="0.15">
      <c r="A1" s="1" t="s">
        <v>103</v>
      </c>
      <c r="B1" s="1" t="s">
        <v>86</v>
      </c>
      <c r="C1" s="1" t="s">
        <v>87</v>
      </c>
      <c r="D1" s="1" t="s">
        <v>228</v>
      </c>
      <c r="E1" s="1" t="s">
        <v>226</v>
      </c>
      <c r="F1" s="1" t="s">
        <v>184</v>
      </c>
      <c r="G1" s="1" t="s">
        <v>229</v>
      </c>
      <c r="H1" s="1" t="s">
        <v>88</v>
      </c>
      <c r="I1" s="1" t="s">
        <v>89</v>
      </c>
      <c r="J1" s="1" t="s">
        <v>90</v>
      </c>
      <c r="K1" s="1" t="s">
        <v>91</v>
      </c>
      <c r="L1" s="1" t="s">
        <v>230</v>
      </c>
      <c r="M1" s="1" t="s">
        <v>308</v>
      </c>
      <c r="N1" s="1" t="s">
        <v>309</v>
      </c>
      <c r="O1" s="1" t="s">
        <v>311</v>
      </c>
      <c r="P1" s="1" t="s">
        <v>300</v>
      </c>
      <c r="Q1" s="1" t="s">
        <v>310</v>
      </c>
      <c r="R1" s="1" t="s">
        <v>231</v>
      </c>
      <c r="S1" s="1" t="s">
        <v>232</v>
      </c>
      <c r="T1" s="1" t="s">
        <v>233</v>
      </c>
      <c r="U1" s="1" t="s">
        <v>234</v>
      </c>
      <c r="V1" s="1" t="s">
        <v>93</v>
      </c>
      <c r="W1" s="1" t="s">
        <v>94</v>
      </c>
      <c r="X1" s="1" t="s">
        <v>84</v>
      </c>
      <c r="Y1" s="1" t="s">
        <v>235</v>
      </c>
      <c r="Z1" s="1" t="s">
        <v>236</v>
      </c>
      <c r="AA1" s="1" t="s">
        <v>245</v>
      </c>
      <c r="AB1" s="1" t="s">
        <v>244</v>
      </c>
      <c r="AC1" s="1" t="s">
        <v>96</v>
      </c>
      <c r="AD1" s="1" t="s">
        <v>97</v>
      </c>
      <c r="AE1" s="1" t="s">
        <v>237</v>
      </c>
      <c r="AF1" s="1" t="s">
        <v>95</v>
      </c>
      <c r="AG1" s="1" t="s">
        <v>238</v>
      </c>
      <c r="AH1" s="1" t="s">
        <v>98</v>
      </c>
      <c r="AI1" s="1" t="s">
        <v>99</v>
      </c>
      <c r="AJ1" s="1" t="s">
        <v>100</v>
      </c>
      <c r="AK1" s="1" t="s">
        <v>101</v>
      </c>
      <c r="AL1" s="1" t="s">
        <v>102</v>
      </c>
      <c r="AM1" s="1" t="s">
        <v>263</v>
      </c>
    </row>
    <row r="2" spans="1:39" s="1" customFormat="1" ht="12" x14ac:dyDescent="0.15">
      <c r="A2" s="1">
        <v>1</v>
      </c>
      <c r="B2" s="1" t="s">
        <v>240</v>
      </c>
      <c r="C2" s="1" t="s">
        <v>272</v>
      </c>
      <c r="D2" s="1" t="s">
        <v>260</v>
      </c>
      <c r="E2" s="1" t="s">
        <v>241</v>
      </c>
      <c r="F2" s="1" t="s">
        <v>255</v>
      </c>
      <c r="G2" s="1" t="s">
        <v>256</v>
      </c>
      <c r="H2" s="65">
        <v>42983</v>
      </c>
      <c r="I2" s="65">
        <v>42983</v>
      </c>
      <c r="J2" s="1">
        <v>43013</v>
      </c>
      <c r="K2" s="1">
        <v>30</v>
      </c>
      <c r="L2" s="1" t="s">
        <v>257</v>
      </c>
      <c r="R2" s="1">
        <v>1643.8356164383561</v>
      </c>
      <c r="S2" s="1">
        <v>42983</v>
      </c>
      <c r="T2" s="1" t="s">
        <v>142</v>
      </c>
      <c r="U2" s="1" t="s">
        <v>142</v>
      </c>
      <c r="V2" s="1" t="s">
        <v>142</v>
      </c>
      <c r="W2" s="1" t="s">
        <v>142</v>
      </c>
      <c r="X2" s="1" t="s">
        <v>286</v>
      </c>
      <c r="Y2" s="1" t="s">
        <v>258</v>
      </c>
      <c r="Z2" s="1" t="s">
        <v>45</v>
      </c>
      <c r="AA2" s="1" t="s">
        <v>146</v>
      </c>
      <c r="AB2" s="1" t="s">
        <v>284</v>
      </c>
      <c r="AC2" s="66">
        <v>42983.645833333336</v>
      </c>
      <c r="AD2" s="66">
        <v>43013.645833333336</v>
      </c>
      <c r="AE2" s="1">
        <v>1</v>
      </c>
      <c r="AF2" s="1">
        <v>6571.06</v>
      </c>
      <c r="AG2" s="1">
        <v>1</v>
      </c>
      <c r="AH2" s="1" t="s">
        <v>142</v>
      </c>
      <c r="AI2" s="1" t="s">
        <v>142</v>
      </c>
      <c r="AJ2" s="1" t="s">
        <v>142</v>
      </c>
      <c r="AK2" s="1" t="s">
        <v>142</v>
      </c>
      <c r="AL2" s="1" t="s">
        <v>142</v>
      </c>
    </row>
    <row r="3" spans="1:39" s="1" customFormat="1" ht="12" x14ac:dyDescent="0.15">
      <c r="A3" s="1">
        <v>2</v>
      </c>
      <c r="B3" s="1" t="s">
        <v>240</v>
      </c>
      <c r="C3" s="1" t="s">
        <v>262</v>
      </c>
      <c r="D3" s="1" t="s">
        <v>260</v>
      </c>
      <c r="E3" s="1" t="s">
        <v>241</v>
      </c>
      <c r="F3" s="1" t="s">
        <v>255</v>
      </c>
      <c r="G3" s="1" t="s">
        <v>261</v>
      </c>
      <c r="H3" s="65">
        <v>42983</v>
      </c>
      <c r="I3" s="65">
        <v>42983</v>
      </c>
      <c r="J3" s="1">
        <v>43013</v>
      </c>
      <c r="K3" s="1">
        <v>30</v>
      </c>
      <c r="L3" s="1" t="s">
        <v>257</v>
      </c>
      <c r="R3" s="1">
        <v>1643.8356164383561</v>
      </c>
      <c r="S3" s="1">
        <v>42983</v>
      </c>
      <c r="T3" s="1" t="s">
        <v>142</v>
      </c>
      <c r="U3" s="1" t="s">
        <v>142</v>
      </c>
      <c r="V3" s="1" t="s">
        <v>142</v>
      </c>
      <c r="W3" s="1" t="s">
        <v>142</v>
      </c>
      <c r="X3" s="1" t="s">
        <v>285</v>
      </c>
      <c r="Y3" s="1" t="s">
        <v>258</v>
      </c>
      <c r="Z3" s="1" t="s">
        <v>45</v>
      </c>
      <c r="AA3" s="1" t="s">
        <v>146</v>
      </c>
      <c r="AB3" s="1" t="s">
        <v>284</v>
      </c>
      <c r="AC3" s="66">
        <v>42983.645833333336</v>
      </c>
      <c r="AD3" s="66">
        <v>43013.645833333336</v>
      </c>
      <c r="AE3" s="1">
        <v>1</v>
      </c>
      <c r="AF3" s="1">
        <v>6567.17</v>
      </c>
      <c r="AG3" s="1">
        <v>1</v>
      </c>
      <c r="AH3" s="1" t="s">
        <v>142</v>
      </c>
      <c r="AI3" s="1" t="s">
        <v>142</v>
      </c>
      <c r="AJ3" s="1" t="s">
        <v>142</v>
      </c>
      <c r="AK3" s="1" t="s">
        <v>142</v>
      </c>
      <c r="AL3" s="1" t="s">
        <v>142</v>
      </c>
    </row>
    <row r="4" spans="1:39" s="1" customFormat="1" ht="12" x14ac:dyDescent="0.15">
      <c r="A4" s="1">
        <v>3</v>
      </c>
      <c r="B4" s="1" t="s">
        <v>240</v>
      </c>
      <c r="C4" s="1" t="s">
        <v>265</v>
      </c>
      <c r="D4" s="1" t="s">
        <v>260</v>
      </c>
      <c r="E4" s="1" t="s">
        <v>241</v>
      </c>
      <c r="F4" s="1" t="s">
        <v>255</v>
      </c>
      <c r="G4" s="1" t="s">
        <v>264</v>
      </c>
      <c r="H4" s="65">
        <v>42983</v>
      </c>
      <c r="I4" s="65">
        <v>42983</v>
      </c>
      <c r="J4" s="1">
        <v>43013</v>
      </c>
      <c r="K4" s="1">
        <v>30</v>
      </c>
      <c r="L4" s="1" t="s">
        <v>257</v>
      </c>
      <c r="M4" s="1">
        <v>30</v>
      </c>
      <c r="N4" s="1">
        <v>1000000</v>
      </c>
      <c r="Q4" s="1">
        <v>0.02</v>
      </c>
      <c r="R4" s="1">
        <v>1643.8356164383561</v>
      </c>
      <c r="S4" s="1">
        <v>42983</v>
      </c>
      <c r="T4" s="1" t="s">
        <v>142</v>
      </c>
      <c r="U4" s="1" t="s">
        <v>142</v>
      </c>
      <c r="V4" s="1" t="s">
        <v>142</v>
      </c>
      <c r="W4" s="1" t="s">
        <v>142</v>
      </c>
      <c r="X4" s="1" t="s">
        <v>285</v>
      </c>
      <c r="Y4" s="1" t="s">
        <v>258</v>
      </c>
      <c r="Z4" s="1" t="s">
        <v>45</v>
      </c>
      <c r="AA4" s="1" t="s">
        <v>146</v>
      </c>
      <c r="AB4" s="1" t="s">
        <v>284</v>
      </c>
      <c r="AC4" s="66">
        <v>42983.645833333336</v>
      </c>
      <c r="AD4" s="66">
        <v>43013.645833333336</v>
      </c>
      <c r="AE4" s="1">
        <v>1</v>
      </c>
      <c r="AF4" s="1">
        <v>6570.41</v>
      </c>
      <c r="AG4" s="1">
        <v>1</v>
      </c>
      <c r="AH4" s="1" t="s">
        <v>142</v>
      </c>
      <c r="AI4" s="1" t="s">
        <v>142</v>
      </c>
      <c r="AJ4" s="1" t="s">
        <v>142</v>
      </c>
      <c r="AK4" s="1" t="s">
        <v>142</v>
      </c>
      <c r="AL4" s="1" t="s">
        <v>142</v>
      </c>
      <c r="AM4" s="1" t="s">
        <v>142</v>
      </c>
    </row>
    <row r="5" spans="1:39" s="1" customFormat="1" ht="12" x14ac:dyDescent="0.15">
      <c r="H5" s="65"/>
      <c r="I5" s="65"/>
      <c r="AC5" s="66"/>
      <c r="AD5" s="66"/>
    </row>
    <row r="6" spans="1:39" s="1" customFormat="1" ht="12" x14ac:dyDescent="0.15">
      <c r="H6" s="65"/>
      <c r="I6" s="65"/>
      <c r="AC6" s="66"/>
      <c r="AD6" s="66"/>
    </row>
    <row r="7" spans="1:39" s="1" customFormat="1" ht="12" x14ac:dyDescent="0.15">
      <c r="H7" s="65"/>
      <c r="I7" s="65"/>
      <c r="AC7" s="66"/>
      <c r="AD7" s="66"/>
    </row>
    <row r="8" spans="1:39" s="1" customFormat="1" ht="12" x14ac:dyDescent="0.15">
      <c r="H8" s="65"/>
      <c r="I8" s="65"/>
      <c r="AC8" s="66"/>
      <c r="AD8" s="66"/>
    </row>
    <row r="9" spans="1:39" s="1" customFormat="1" ht="12" x14ac:dyDescent="0.15">
      <c r="H9" s="65"/>
      <c r="I9" s="65"/>
      <c r="AC9" s="66"/>
      <c r="AD9" s="66"/>
    </row>
    <row r="10" spans="1:39" s="1" customFormat="1" ht="12" x14ac:dyDescent="0.15">
      <c r="H10" s="65"/>
      <c r="I10" s="65"/>
      <c r="AC10" s="66"/>
      <c r="AD10" s="66"/>
    </row>
    <row r="11" spans="1:39" s="1" customFormat="1" ht="12" x14ac:dyDescent="0.15">
      <c r="H11" s="65"/>
      <c r="I11" s="65"/>
      <c r="AC11" s="66"/>
      <c r="AD11" s="66"/>
    </row>
    <row r="12" spans="1:39" s="1" customFormat="1" ht="12" x14ac:dyDescent="0.15">
      <c r="H12" s="65"/>
      <c r="I12" s="65"/>
      <c r="AC12" s="66"/>
      <c r="AD12" s="66"/>
    </row>
    <row r="13" spans="1:39" s="1" customFormat="1" ht="12" x14ac:dyDescent="0.15">
      <c r="H13" s="65"/>
      <c r="I13" s="65"/>
      <c r="AC13" s="66"/>
      <c r="AD13" s="66"/>
    </row>
    <row r="14" spans="1:39" s="1" customFormat="1" ht="12" x14ac:dyDescent="0.15">
      <c r="H14" s="65"/>
      <c r="I14" s="65"/>
      <c r="AC14" s="66"/>
      <c r="AD14" s="66"/>
    </row>
    <row r="15" spans="1:39" s="1" customFormat="1" ht="12" x14ac:dyDescent="0.15">
      <c r="H15" s="65"/>
      <c r="I15" s="65"/>
      <c r="AC15" s="66"/>
      <c r="AD15" s="66"/>
    </row>
    <row r="16" spans="1:39" s="1" customFormat="1" ht="12" x14ac:dyDescent="0.15">
      <c r="H16" s="65"/>
      <c r="I16" s="65"/>
      <c r="AC16" s="66"/>
      <c r="AD16" s="66"/>
    </row>
    <row r="17" spans="8:30" s="1" customFormat="1" ht="12" x14ac:dyDescent="0.15">
      <c r="H17" s="65"/>
      <c r="I17" s="65"/>
      <c r="AC17" s="66"/>
      <c r="AD17" s="66"/>
    </row>
    <row r="18" spans="8:30" s="1" customFormat="1" ht="12" x14ac:dyDescent="0.15">
      <c r="H18" s="65"/>
      <c r="I18" s="65"/>
      <c r="AC18" s="66"/>
      <c r="AD18" s="66"/>
    </row>
    <row r="19" spans="8:30" s="1" customFormat="1" ht="12" x14ac:dyDescent="0.15">
      <c r="H19" s="65"/>
      <c r="I19" s="65"/>
      <c r="AC19" s="66"/>
      <c r="AD19" s="66"/>
    </row>
    <row r="20" spans="8:30" s="1" customFormat="1" ht="12" x14ac:dyDescent="0.15">
      <c r="H20" s="65"/>
      <c r="I20" s="65"/>
      <c r="AC20" s="66"/>
      <c r="AD20" s="66"/>
    </row>
    <row r="21" spans="8:30" s="1" customFormat="1" ht="12" x14ac:dyDescent="0.15">
      <c r="H21" s="65"/>
      <c r="I21" s="65"/>
      <c r="AC21" s="66"/>
      <c r="AD21" s="66"/>
    </row>
    <row r="22" spans="8:30" s="1" customFormat="1" ht="12" x14ac:dyDescent="0.15">
      <c r="H22" s="65"/>
      <c r="I22" s="65"/>
      <c r="AC22" s="66"/>
      <c r="AD22" s="66"/>
    </row>
    <row r="23" spans="8:30" s="1" customFormat="1" ht="12" x14ac:dyDescent="0.15">
      <c r="H23" s="65"/>
      <c r="I23" s="65"/>
      <c r="AC23" s="66"/>
      <c r="AD23" s="66"/>
    </row>
    <row r="24" spans="8:30" s="1" customFormat="1" ht="12" x14ac:dyDescent="0.15">
      <c r="H24" s="65"/>
      <c r="I24" s="65"/>
      <c r="AC24" s="66"/>
      <c r="AD24" s="66"/>
    </row>
    <row r="25" spans="8:30" s="1" customFormat="1" ht="12" x14ac:dyDescent="0.15">
      <c r="H25" s="65"/>
      <c r="I25" s="65"/>
      <c r="AC25" s="66"/>
      <c r="AD25" s="66"/>
    </row>
    <row r="26" spans="8:30" s="1" customFormat="1" ht="12" x14ac:dyDescent="0.15">
      <c r="H26" s="65"/>
      <c r="I26" s="65"/>
      <c r="AC26" s="66"/>
      <c r="AD26" s="66"/>
    </row>
    <row r="27" spans="8:30" s="1" customFormat="1" ht="12" x14ac:dyDescent="0.15">
      <c r="H27" s="65"/>
      <c r="I27" s="65"/>
      <c r="AC27" s="66"/>
      <c r="AD27" s="66"/>
    </row>
    <row r="28" spans="8:30" s="1" customFormat="1" ht="12" x14ac:dyDescent="0.15">
      <c r="H28" s="65"/>
      <c r="I28" s="65"/>
      <c r="AC28" s="66"/>
      <c r="AD28" s="66"/>
    </row>
    <row r="29" spans="8:30" s="1" customFormat="1" ht="12" x14ac:dyDescent="0.15">
      <c r="H29" s="65"/>
      <c r="I29" s="65"/>
      <c r="AC29" s="66"/>
      <c r="AD29" s="66"/>
    </row>
    <row r="30" spans="8:30" s="1" customFormat="1" ht="12" x14ac:dyDescent="0.15">
      <c r="H30" s="65"/>
      <c r="I30" s="65"/>
      <c r="AC30" s="66"/>
      <c r="AD30" s="66"/>
    </row>
    <row r="31" spans="8:30" s="1" customFormat="1" ht="12" x14ac:dyDescent="0.15">
      <c r="H31" s="65"/>
      <c r="I31" s="65"/>
      <c r="AC31" s="66"/>
      <c r="AD31" s="66"/>
    </row>
    <row r="32" spans="8:30" s="1" customFormat="1" ht="12" x14ac:dyDescent="0.15">
      <c r="H32" s="65"/>
      <c r="I32" s="65"/>
      <c r="AC32" s="66"/>
      <c r="AD32" s="66"/>
    </row>
    <row r="33" spans="8:30" s="1" customFormat="1" ht="12" x14ac:dyDescent="0.15">
      <c r="H33" s="65"/>
      <c r="I33" s="65"/>
      <c r="AC33" s="66"/>
      <c r="AD33" s="66"/>
    </row>
    <row r="34" spans="8:30" s="1" customFormat="1" ht="12" x14ac:dyDescent="0.15">
      <c r="H34" s="65"/>
      <c r="I34" s="65"/>
      <c r="AC34" s="66"/>
      <c r="AD34" s="66"/>
    </row>
    <row r="35" spans="8:30" s="1" customFormat="1" ht="12" x14ac:dyDescent="0.15">
      <c r="H35" s="65"/>
      <c r="I35" s="65"/>
      <c r="AC35" s="66"/>
      <c r="AD35" s="66"/>
    </row>
    <row r="36" spans="8:30" s="1" customFormat="1" ht="12" x14ac:dyDescent="0.15">
      <c r="H36" s="65"/>
      <c r="I36" s="65"/>
      <c r="AC36" s="66"/>
      <c r="AD36" s="66"/>
    </row>
    <row r="37" spans="8:30" s="1" customFormat="1" ht="12" x14ac:dyDescent="0.15">
      <c r="H37" s="65"/>
      <c r="I37" s="65"/>
      <c r="AC37" s="66"/>
      <c r="AD37" s="66"/>
    </row>
    <row r="38" spans="8:30" s="1" customFormat="1" ht="12" x14ac:dyDescent="0.15">
      <c r="H38" s="65"/>
      <c r="I38" s="65"/>
      <c r="AC38" s="66"/>
      <c r="AD38" s="66"/>
    </row>
    <row r="39" spans="8:30" s="1" customFormat="1" ht="12" x14ac:dyDescent="0.15">
      <c r="H39" s="65"/>
      <c r="I39" s="65"/>
      <c r="AC39" s="66"/>
      <c r="AD39" s="66"/>
    </row>
    <row r="40" spans="8:30" s="1" customFormat="1" ht="12" x14ac:dyDescent="0.15">
      <c r="H40" s="65"/>
      <c r="I40" s="65"/>
      <c r="AC40" s="66"/>
      <c r="AD40" s="66"/>
    </row>
    <row r="41" spans="8:30" s="1" customFormat="1" ht="12" x14ac:dyDescent="0.15">
      <c r="H41" s="65"/>
      <c r="I41" s="65"/>
      <c r="AC41" s="66"/>
      <c r="AD41" s="66"/>
    </row>
    <row r="42" spans="8:30" s="1" customFormat="1" ht="12" x14ac:dyDescent="0.15">
      <c r="H42" s="65"/>
      <c r="I42" s="65"/>
      <c r="AC42" s="66"/>
      <c r="AD42" s="66"/>
    </row>
    <row r="43" spans="8:30" s="1" customFormat="1" ht="12" x14ac:dyDescent="0.15">
      <c r="H43" s="65"/>
      <c r="I43" s="65"/>
      <c r="AC43" s="66"/>
      <c r="AD43" s="66"/>
    </row>
    <row r="44" spans="8:30" s="1" customFormat="1" ht="12" x14ac:dyDescent="0.15">
      <c r="H44" s="65"/>
      <c r="I44" s="65"/>
      <c r="AC44" s="66"/>
      <c r="AD44" s="66"/>
    </row>
    <row r="45" spans="8:30" s="1" customFormat="1" ht="12" x14ac:dyDescent="0.15">
      <c r="H45" s="65"/>
      <c r="I45" s="65"/>
      <c r="AC45" s="66"/>
      <c r="AD45" s="66"/>
    </row>
    <row r="46" spans="8:30" s="1" customFormat="1" ht="12" x14ac:dyDescent="0.15">
      <c r="H46" s="65"/>
      <c r="I46" s="65"/>
      <c r="AC46" s="66"/>
      <c r="AD46" s="66"/>
    </row>
    <row r="47" spans="8:30" s="1" customFormat="1" ht="12" x14ac:dyDescent="0.15">
      <c r="H47" s="65"/>
      <c r="I47" s="65"/>
      <c r="AC47" s="66"/>
      <c r="AD47" s="66"/>
    </row>
    <row r="48" spans="8:30" s="1" customFormat="1" ht="12" x14ac:dyDescent="0.15">
      <c r="H48" s="65"/>
      <c r="I48" s="65"/>
      <c r="AC48" s="66"/>
      <c r="AD48" s="66"/>
    </row>
    <row r="49" spans="8:30" s="1" customFormat="1" ht="12" x14ac:dyDescent="0.15">
      <c r="H49" s="65"/>
      <c r="I49" s="65"/>
      <c r="AC49" s="66"/>
      <c r="AD49" s="66"/>
    </row>
    <row r="50" spans="8:30" s="1" customFormat="1" ht="12" x14ac:dyDescent="0.15">
      <c r="H50" s="65"/>
      <c r="I50" s="65"/>
      <c r="AC50" s="66"/>
      <c r="AD50" s="66"/>
    </row>
    <row r="51" spans="8:30" s="1" customFormat="1" ht="12" x14ac:dyDescent="0.15">
      <c r="H51" s="65"/>
      <c r="I51" s="65"/>
      <c r="AC51" s="66"/>
      <c r="AD51" s="66"/>
    </row>
    <row r="52" spans="8:30" s="1" customFormat="1" ht="12" x14ac:dyDescent="0.15">
      <c r="H52" s="65"/>
      <c r="I52" s="65"/>
      <c r="AC52" s="66"/>
      <c r="AD52" s="66"/>
    </row>
    <row r="53" spans="8:30" s="1" customFormat="1" ht="12" x14ac:dyDescent="0.15">
      <c r="H53" s="65"/>
      <c r="I53" s="65"/>
      <c r="AC53" s="66"/>
      <c r="AD53" s="66"/>
    </row>
    <row r="54" spans="8:30" s="1" customFormat="1" ht="12" x14ac:dyDescent="0.15">
      <c r="H54" s="65"/>
      <c r="I54" s="65"/>
      <c r="AC54" s="66"/>
      <c r="AD54" s="66"/>
    </row>
    <row r="55" spans="8:30" s="1" customFormat="1" ht="12" x14ac:dyDescent="0.15">
      <c r="H55" s="65"/>
      <c r="I55" s="65"/>
      <c r="AC55" s="66"/>
      <c r="AD55" s="66"/>
    </row>
    <row r="56" spans="8:30" s="1" customFormat="1" ht="12" x14ac:dyDescent="0.15">
      <c r="H56" s="65"/>
      <c r="I56" s="65"/>
      <c r="AC56" s="66"/>
      <c r="AD56" s="66"/>
    </row>
    <row r="57" spans="8:30" s="1" customFormat="1" ht="12" x14ac:dyDescent="0.15">
      <c r="H57" s="65"/>
      <c r="I57" s="65"/>
      <c r="AC57" s="66"/>
      <c r="AD57" s="66"/>
    </row>
    <row r="58" spans="8:30" s="1" customFormat="1" ht="12" x14ac:dyDescent="0.15">
      <c r="H58" s="65"/>
      <c r="I58" s="65"/>
      <c r="AC58" s="66"/>
      <c r="AD58" s="66"/>
    </row>
    <row r="59" spans="8:30" s="1" customFormat="1" ht="12" x14ac:dyDescent="0.15">
      <c r="H59" s="65"/>
      <c r="I59" s="65"/>
      <c r="AC59" s="66"/>
      <c r="AD59" s="66"/>
    </row>
    <row r="60" spans="8:30" s="1" customFormat="1" ht="12" x14ac:dyDescent="0.15">
      <c r="H60" s="65"/>
      <c r="I60" s="65"/>
      <c r="AC60" s="66"/>
      <c r="AD60" s="66"/>
    </row>
    <row r="61" spans="8:30" s="1" customFormat="1" ht="12" x14ac:dyDescent="0.15">
      <c r="H61" s="65"/>
      <c r="I61" s="65"/>
      <c r="AC61" s="66"/>
      <c r="AD61" s="66"/>
    </row>
    <row r="62" spans="8:30" s="1" customFormat="1" ht="12" x14ac:dyDescent="0.15">
      <c r="H62" s="65"/>
      <c r="I62" s="65"/>
      <c r="AC62" s="66"/>
      <c r="AD62" s="66"/>
    </row>
    <row r="63" spans="8:30" s="1" customFormat="1" ht="12" x14ac:dyDescent="0.15">
      <c r="H63" s="65"/>
      <c r="I63" s="65"/>
      <c r="AC63" s="66"/>
      <c r="AD63" s="66"/>
    </row>
    <row r="64" spans="8:30" s="1" customFormat="1" ht="12" x14ac:dyDescent="0.15">
      <c r="H64" s="65"/>
      <c r="I64" s="65"/>
      <c r="AC64" s="66"/>
      <c r="AD64" s="66"/>
    </row>
    <row r="65" spans="8:30" s="1" customFormat="1" ht="12" x14ac:dyDescent="0.15">
      <c r="H65" s="65"/>
      <c r="I65" s="65"/>
      <c r="AC65" s="66"/>
      <c r="AD65" s="66"/>
    </row>
    <row r="66" spans="8:30" s="1" customFormat="1" ht="12" x14ac:dyDescent="0.15">
      <c r="H66" s="65"/>
      <c r="I66" s="65"/>
      <c r="AC66" s="66"/>
      <c r="AD66" s="66"/>
    </row>
    <row r="67" spans="8:30" s="1" customFormat="1" ht="12" x14ac:dyDescent="0.15">
      <c r="H67" s="65"/>
      <c r="I67" s="65"/>
      <c r="AC67" s="66"/>
      <c r="AD67" s="66"/>
    </row>
    <row r="68" spans="8:30" s="1" customFormat="1" ht="12" x14ac:dyDescent="0.15">
      <c r="H68" s="65"/>
      <c r="I68" s="65"/>
      <c r="AC68" s="66"/>
      <c r="AD68" s="66"/>
    </row>
    <row r="69" spans="8:30" s="1" customFormat="1" ht="12" x14ac:dyDescent="0.15">
      <c r="H69" s="65"/>
      <c r="I69" s="65"/>
      <c r="AC69" s="66"/>
      <c r="AD69" s="66"/>
    </row>
    <row r="70" spans="8:30" s="1" customFormat="1" ht="12" x14ac:dyDescent="0.15">
      <c r="H70" s="65"/>
      <c r="I70" s="65"/>
      <c r="AC70" s="66"/>
      <c r="AD70" s="66"/>
    </row>
    <row r="71" spans="8:30" s="1" customFormat="1" ht="12" x14ac:dyDescent="0.15">
      <c r="H71" s="65"/>
      <c r="I71" s="65"/>
      <c r="AC71" s="66"/>
      <c r="AD71" s="66"/>
    </row>
    <row r="72" spans="8:30" s="1" customFormat="1" ht="12" x14ac:dyDescent="0.15">
      <c r="H72" s="65"/>
      <c r="I72" s="65"/>
      <c r="AC72" s="66"/>
      <c r="AD72" s="66"/>
    </row>
    <row r="73" spans="8:30" s="1" customFormat="1" ht="12" x14ac:dyDescent="0.15">
      <c r="H73" s="65"/>
      <c r="I73" s="65"/>
      <c r="AC73" s="66"/>
      <c r="AD73" s="66"/>
    </row>
    <row r="74" spans="8:30" s="1" customFormat="1" ht="12" x14ac:dyDescent="0.15">
      <c r="H74" s="65"/>
      <c r="I74" s="65"/>
      <c r="AC74" s="66"/>
      <c r="AD74" s="66"/>
    </row>
    <row r="75" spans="8:30" s="1" customFormat="1" ht="12" x14ac:dyDescent="0.15">
      <c r="H75" s="65"/>
      <c r="I75" s="65"/>
      <c r="AC75" s="66"/>
      <c r="AD75" s="66"/>
    </row>
    <row r="76" spans="8:30" s="1" customFormat="1" ht="12" x14ac:dyDescent="0.15">
      <c r="H76" s="65"/>
      <c r="I76" s="65"/>
      <c r="AC76" s="66"/>
      <c r="AD76" s="66"/>
    </row>
    <row r="77" spans="8:30" s="1" customFormat="1" ht="12" x14ac:dyDescent="0.15">
      <c r="H77" s="65"/>
      <c r="I77" s="65"/>
      <c r="AC77" s="66"/>
      <c r="AD77" s="66"/>
    </row>
    <row r="78" spans="8:30" s="1" customFormat="1" ht="12" x14ac:dyDescent="0.15">
      <c r="H78" s="65"/>
      <c r="I78" s="65"/>
      <c r="AC78" s="66"/>
      <c r="AD78" s="66"/>
    </row>
    <row r="79" spans="8:30" s="1" customFormat="1" ht="12" x14ac:dyDescent="0.15">
      <c r="H79" s="65"/>
      <c r="I79" s="65"/>
      <c r="AC79" s="66"/>
      <c r="AD79" s="66"/>
    </row>
    <row r="80" spans="8:30" s="1" customFormat="1" ht="12" x14ac:dyDescent="0.15">
      <c r="H80" s="65"/>
      <c r="I80" s="65"/>
      <c r="AC80" s="66"/>
      <c r="AD80" s="66"/>
    </row>
    <row r="81" spans="8:30" s="1" customFormat="1" ht="12" x14ac:dyDescent="0.15">
      <c r="H81" s="65"/>
      <c r="I81" s="65"/>
      <c r="AC81" s="66"/>
      <c r="AD81" s="66"/>
    </row>
    <row r="82" spans="8:30" s="1" customFormat="1" ht="12" x14ac:dyDescent="0.15">
      <c r="H82" s="65"/>
      <c r="I82" s="65"/>
      <c r="AC82" s="66"/>
      <c r="AD82" s="66"/>
    </row>
    <row r="83" spans="8:30" s="1" customFormat="1" ht="12" x14ac:dyDescent="0.15">
      <c r="H83" s="65"/>
      <c r="I83" s="65"/>
      <c r="AC83" s="66"/>
      <c r="AD83" s="66"/>
    </row>
    <row r="84" spans="8:30" s="1" customFormat="1" ht="12" x14ac:dyDescent="0.15">
      <c r="H84" s="65"/>
      <c r="I84" s="65"/>
      <c r="AC84" s="66"/>
      <c r="AD84" s="66"/>
    </row>
    <row r="85" spans="8:30" s="1" customFormat="1" ht="12" x14ac:dyDescent="0.15">
      <c r="H85" s="65"/>
      <c r="I85" s="65"/>
      <c r="AC85" s="66"/>
      <c r="AD85" s="66"/>
    </row>
    <row r="86" spans="8:30" s="1" customFormat="1" ht="12" x14ac:dyDescent="0.15">
      <c r="H86" s="65"/>
      <c r="I86" s="65"/>
      <c r="AC86" s="66"/>
      <c r="AD86" s="66"/>
    </row>
    <row r="87" spans="8:30" s="1" customFormat="1" ht="12" x14ac:dyDescent="0.15">
      <c r="H87" s="65"/>
      <c r="I87" s="65"/>
      <c r="AC87" s="66"/>
      <c r="AD87" s="66"/>
    </row>
    <row r="88" spans="8:30" s="1" customFormat="1" ht="12" x14ac:dyDescent="0.15">
      <c r="H88" s="65"/>
      <c r="I88" s="65"/>
      <c r="AC88" s="66"/>
      <c r="AD88" s="66"/>
    </row>
    <row r="89" spans="8:30" s="1" customFormat="1" ht="12" x14ac:dyDescent="0.15">
      <c r="H89" s="65"/>
      <c r="I89" s="65"/>
      <c r="AC89" s="66"/>
      <c r="AD89" s="66"/>
    </row>
    <row r="90" spans="8:30" s="1" customFormat="1" ht="12" x14ac:dyDescent="0.15">
      <c r="H90" s="65"/>
      <c r="I90" s="65"/>
      <c r="AC90" s="66"/>
      <c r="AD90" s="66"/>
    </row>
    <row r="91" spans="8:30" s="1" customFormat="1" ht="12" x14ac:dyDescent="0.15">
      <c r="H91" s="65"/>
      <c r="I91" s="65"/>
      <c r="AC91" s="66"/>
      <c r="AD91" s="66"/>
    </row>
    <row r="92" spans="8:30" s="1" customFormat="1" ht="12" x14ac:dyDescent="0.15">
      <c r="H92" s="65"/>
      <c r="I92" s="65"/>
      <c r="AC92" s="66"/>
      <c r="AD92" s="66"/>
    </row>
    <row r="93" spans="8:30" s="1" customFormat="1" ht="12" x14ac:dyDescent="0.15">
      <c r="H93" s="65"/>
      <c r="I93" s="65"/>
      <c r="AC93" s="66"/>
      <c r="AD93" s="66"/>
    </row>
    <row r="94" spans="8:30" s="1" customFormat="1" ht="12" x14ac:dyDescent="0.15">
      <c r="H94" s="65"/>
      <c r="I94" s="65"/>
      <c r="AC94" s="66"/>
      <c r="AD94" s="66"/>
    </row>
    <row r="95" spans="8:30" s="1" customFormat="1" ht="12" x14ac:dyDescent="0.15">
      <c r="H95" s="65"/>
      <c r="I95" s="65"/>
      <c r="AC95" s="66"/>
      <c r="AD95" s="66"/>
    </row>
    <row r="96" spans="8:30" s="1" customFormat="1" ht="12" x14ac:dyDescent="0.15">
      <c r="H96" s="65"/>
      <c r="I96" s="65"/>
      <c r="AC96" s="66"/>
      <c r="AD96" s="66"/>
    </row>
    <row r="97" spans="8:30" s="1" customFormat="1" ht="12" x14ac:dyDescent="0.15">
      <c r="H97" s="65"/>
      <c r="I97" s="65"/>
      <c r="AC97" s="66"/>
      <c r="AD97" s="66"/>
    </row>
    <row r="98" spans="8:30" s="1" customFormat="1" ht="12" x14ac:dyDescent="0.15">
      <c r="H98" s="65"/>
      <c r="I98" s="65"/>
      <c r="AC98" s="66"/>
      <c r="AD98" s="66"/>
    </row>
    <row r="99" spans="8:30" s="1" customFormat="1" ht="12" x14ac:dyDescent="0.15">
      <c r="H99" s="65"/>
      <c r="I99" s="65"/>
      <c r="AC99" s="66"/>
      <c r="AD99" s="66"/>
    </row>
    <row r="100" spans="8:30" s="1" customFormat="1" ht="12" x14ac:dyDescent="0.15">
      <c r="H100" s="65"/>
      <c r="I100" s="65"/>
      <c r="AC100" s="66"/>
      <c r="AD100" s="66"/>
    </row>
    <row r="101" spans="8:30" s="1" customFormat="1" ht="12" x14ac:dyDescent="0.15">
      <c r="H101" s="65"/>
      <c r="I101" s="65"/>
      <c r="AC101" s="66"/>
      <c r="AD101" s="66"/>
    </row>
    <row r="102" spans="8:30" s="1" customFormat="1" ht="12" x14ac:dyDescent="0.15">
      <c r="H102" s="65"/>
      <c r="I102" s="65"/>
      <c r="AC102" s="66"/>
      <c r="AD102" s="66"/>
    </row>
    <row r="103" spans="8:30" s="1" customFormat="1" ht="12" x14ac:dyDescent="0.15">
      <c r="H103" s="65"/>
      <c r="I103" s="65"/>
      <c r="AC103" s="66"/>
      <c r="AD103" s="66"/>
    </row>
    <row r="104" spans="8:30" s="1" customFormat="1" ht="12" x14ac:dyDescent="0.15">
      <c r="H104" s="65"/>
      <c r="I104" s="65"/>
      <c r="AC104" s="66"/>
      <c r="AD104" s="66"/>
    </row>
    <row r="105" spans="8:30" s="1" customFormat="1" ht="12" x14ac:dyDescent="0.15">
      <c r="H105" s="65"/>
      <c r="I105" s="65"/>
      <c r="AC105" s="66"/>
      <c r="AD105" s="66"/>
    </row>
    <row r="106" spans="8:30" s="1" customFormat="1" ht="12" x14ac:dyDescent="0.15">
      <c r="H106" s="65"/>
      <c r="I106" s="65"/>
      <c r="AC106" s="66"/>
      <c r="AD106" s="66"/>
    </row>
    <row r="107" spans="8:30" s="1" customFormat="1" ht="12" x14ac:dyDescent="0.15">
      <c r="H107" s="65"/>
      <c r="I107" s="65"/>
      <c r="AC107" s="66"/>
      <c r="AD107" s="66"/>
    </row>
    <row r="108" spans="8:30" s="1" customFormat="1" ht="12" x14ac:dyDescent="0.15">
      <c r="H108" s="65"/>
      <c r="I108" s="65"/>
      <c r="AC108" s="66"/>
      <c r="AD108" s="66"/>
    </row>
    <row r="109" spans="8:30" s="1" customFormat="1" ht="12" x14ac:dyDescent="0.15">
      <c r="H109" s="65"/>
      <c r="I109" s="65"/>
      <c r="AC109" s="66"/>
      <c r="AD109" s="66"/>
    </row>
    <row r="110" spans="8:30" s="1" customFormat="1" ht="12" x14ac:dyDescent="0.15">
      <c r="H110" s="65"/>
      <c r="I110" s="65"/>
      <c r="AC110" s="66"/>
      <c r="AD110" s="66"/>
    </row>
    <row r="111" spans="8:30" s="1" customFormat="1" ht="12" x14ac:dyDescent="0.15">
      <c r="H111" s="65"/>
      <c r="I111" s="65"/>
      <c r="AC111" s="66"/>
      <c r="AD111" s="66"/>
    </row>
    <row r="112" spans="8:30" s="1" customFormat="1" ht="12" x14ac:dyDescent="0.15">
      <c r="H112" s="65"/>
      <c r="I112" s="65"/>
      <c r="AC112" s="66"/>
      <c r="AD112" s="66"/>
    </row>
    <row r="113" spans="8:30" s="1" customFormat="1" ht="12" x14ac:dyDescent="0.15">
      <c r="H113" s="65"/>
      <c r="I113" s="65"/>
      <c r="AC113" s="66"/>
      <c r="AD113" s="66"/>
    </row>
    <row r="114" spans="8:30" s="1" customFormat="1" ht="12" x14ac:dyDescent="0.15">
      <c r="H114" s="65"/>
      <c r="I114" s="65"/>
      <c r="AC114" s="66"/>
      <c r="AD114" s="66"/>
    </row>
    <row r="115" spans="8:30" s="1" customFormat="1" ht="12" x14ac:dyDescent="0.15">
      <c r="H115" s="65"/>
      <c r="I115" s="65"/>
      <c r="AC115" s="66"/>
      <c r="AD115" s="66"/>
    </row>
    <row r="116" spans="8:30" s="1" customFormat="1" ht="12" x14ac:dyDescent="0.15">
      <c r="H116" s="65"/>
      <c r="I116" s="65"/>
      <c r="AC116" s="66"/>
      <c r="AD116" s="66"/>
    </row>
    <row r="117" spans="8:30" s="1" customFormat="1" ht="12" x14ac:dyDescent="0.15">
      <c r="H117" s="65"/>
      <c r="I117" s="65"/>
      <c r="AC117" s="66"/>
      <c r="AD117" s="66"/>
    </row>
    <row r="118" spans="8:30" s="1" customFormat="1" ht="12" x14ac:dyDescent="0.15">
      <c r="H118" s="65"/>
      <c r="I118" s="65"/>
      <c r="AC118" s="66"/>
      <c r="AD118" s="66"/>
    </row>
    <row r="119" spans="8:30" s="1" customFormat="1" ht="12" x14ac:dyDescent="0.15">
      <c r="H119" s="65"/>
      <c r="I119" s="65"/>
      <c r="AC119" s="66"/>
      <c r="AD119" s="66"/>
    </row>
    <row r="120" spans="8:30" s="1" customFormat="1" ht="12" x14ac:dyDescent="0.15">
      <c r="H120" s="65"/>
      <c r="I120" s="65"/>
      <c r="AC120" s="66"/>
      <c r="AD120" s="66"/>
    </row>
    <row r="121" spans="8:30" s="1" customFormat="1" ht="12" x14ac:dyDescent="0.15">
      <c r="H121" s="65"/>
      <c r="I121" s="65"/>
      <c r="AC121" s="66"/>
      <c r="AD121" s="66"/>
    </row>
    <row r="122" spans="8:30" s="1" customFormat="1" ht="12" x14ac:dyDescent="0.15">
      <c r="H122" s="65"/>
      <c r="I122" s="65"/>
      <c r="AC122" s="66"/>
      <c r="AD122" s="66"/>
    </row>
    <row r="123" spans="8:30" s="1" customFormat="1" ht="12" x14ac:dyDescent="0.15">
      <c r="H123" s="65"/>
      <c r="I123" s="65"/>
      <c r="AC123" s="66"/>
      <c r="AD123" s="66"/>
    </row>
    <row r="124" spans="8:30" s="1" customFormat="1" ht="12" x14ac:dyDescent="0.15">
      <c r="H124" s="65"/>
      <c r="I124" s="65"/>
      <c r="AC124" s="66"/>
      <c r="AD124" s="66"/>
    </row>
    <row r="125" spans="8:30" s="1" customFormat="1" ht="12" x14ac:dyDescent="0.15">
      <c r="H125" s="65"/>
      <c r="I125" s="65"/>
      <c r="AC125" s="66"/>
      <c r="AD125" s="66"/>
    </row>
    <row r="126" spans="8:30" s="1" customFormat="1" ht="12" x14ac:dyDescent="0.15">
      <c r="H126" s="65"/>
      <c r="I126" s="65"/>
      <c r="AC126" s="66"/>
      <c r="AD126" s="66"/>
    </row>
    <row r="127" spans="8:30" s="1" customFormat="1" ht="12" x14ac:dyDescent="0.15">
      <c r="H127" s="65"/>
      <c r="I127" s="65"/>
      <c r="AC127" s="66"/>
      <c r="AD127" s="66"/>
    </row>
    <row r="128" spans="8:30" s="1" customFormat="1" ht="12" x14ac:dyDescent="0.15">
      <c r="H128" s="65"/>
      <c r="I128" s="65"/>
      <c r="AC128" s="66"/>
      <c r="AD128" s="66"/>
    </row>
    <row r="129" spans="8:30" s="1" customFormat="1" ht="12" x14ac:dyDescent="0.15">
      <c r="H129" s="65"/>
      <c r="I129" s="65"/>
      <c r="AC129" s="66"/>
      <c r="AD129" s="66"/>
    </row>
    <row r="130" spans="8:30" s="1" customFormat="1" ht="12" x14ac:dyDescent="0.15">
      <c r="H130" s="65"/>
      <c r="I130" s="65"/>
      <c r="AC130" s="66"/>
      <c r="AD130" s="66"/>
    </row>
    <row r="131" spans="8:30" s="1" customFormat="1" ht="12" x14ac:dyDescent="0.15">
      <c r="H131" s="65"/>
      <c r="I131" s="65"/>
      <c r="AC131" s="66"/>
      <c r="AD131" s="66"/>
    </row>
    <row r="132" spans="8:30" s="1" customFormat="1" ht="12" x14ac:dyDescent="0.15">
      <c r="H132" s="65"/>
      <c r="I132" s="65"/>
      <c r="AC132" s="66"/>
      <c r="AD132" s="66"/>
    </row>
    <row r="133" spans="8:30" s="1" customFormat="1" ht="12" x14ac:dyDescent="0.15">
      <c r="H133" s="65"/>
      <c r="I133" s="65"/>
      <c r="AC133" s="66"/>
      <c r="AD133" s="66"/>
    </row>
    <row r="134" spans="8:30" s="1" customFormat="1" ht="12" x14ac:dyDescent="0.15">
      <c r="H134" s="65"/>
      <c r="I134" s="65"/>
      <c r="AC134" s="66"/>
      <c r="AD134" s="66"/>
    </row>
    <row r="135" spans="8:30" s="1" customFormat="1" ht="12" x14ac:dyDescent="0.15">
      <c r="H135" s="65"/>
      <c r="I135" s="65"/>
      <c r="AC135" s="66"/>
      <c r="AD135" s="66"/>
    </row>
    <row r="136" spans="8:30" s="1" customFormat="1" ht="12" x14ac:dyDescent="0.15">
      <c r="H136" s="65"/>
      <c r="I136" s="65"/>
      <c r="AC136" s="66"/>
      <c r="AD136" s="66"/>
    </row>
    <row r="137" spans="8:30" s="1" customFormat="1" ht="12" x14ac:dyDescent="0.15">
      <c r="H137" s="65"/>
      <c r="I137" s="65"/>
      <c r="AC137" s="66"/>
      <c r="AD137" s="66"/>
    </row>
    <row r="138" spans="8:30" s="1" customFormat="1" ht="12" x14ac:dyDescent="0.15">
      <c r="H138" s="65"/>
      <c r="I138" s="65"/>
      <c r="AC138" s="66"/>
      <c r="AD138" s="66"/>
    </row>
    <row r="139" spans="8:30" s="1" customFormat="1" ht="12" x14ac:dyDescent="0.15">
      <c r="H139" s="65"/>
      <c r="I139" s="65"/>
      <c r="AC139" s="66"/>
      <c r="AD139" s="66"/>
    </row>
    <row r="140" spans="8:30" s="1" customFormat="1" ht="12" x14ac:dyDescent="0.15">
      <c r="H140" s="65"/>
      <c r="I140" s="65"/>
      <c r="AC140" s="66"/>
      <c r="AD140" s="66"/>
    </row>
    <row r="141" spans="8:30" s="1" customFormat="1" ht="12" x14ac:dyDescent="0.15">
      <c r="H141" s="65"/>
      <c r="I141" s="65"/>
      <c r="AC141" s="66"/>
      <c r="AD141" s="66"/>
    </row>
    <row r="142" spans="8:30" s="1" customFormat="1" ht="12" x14ac:dyDescent="0.15">
      <c r="H142" s="65"/>
      <c r="I142" s="65"/>
      <c r="AC142" s="66"/>
      <c r="AD142" s="66"/>
    </row>
    <row r="143" spans="8:30" s="1" customFormat="1" ht="12" x14ac:dyDescent="0.15">
      <c r="H143" s="65"/>
      <c r="I143" s="65"/>
      <c r="AC143" s="66"/>
      <c r="AD143" s="66"/>
    </row>
    <row r="144" spans="8:30" s="1" customFormat="1" ht="12" x14ac:dyDescent="0.15">
      <c r="H144" s="65"/>
      <c r="I144" s="65"/>
      <c r="AC144" s="66"/>
      <c r="AD144" s="66"/>
    </row>
    <row r="145" spans="8:30" s="1" customFormat="1" ht="12" x14ac:dyDescent="0.15">
      <c r="H145" s="65"/>
      <c r="I145" s="65"/>
      <c r="AC145" s="66"/>
      <c r="AD145" s="66"/>
    </row>
    <row r="146" spans="8:30" s="1" customFormat="1" ht="12" x14ac:dyDescent="0.15">
      <c r="H146" s="65"/>
      <c r="I146" s="65"/>
      <c r="AC146" s="66"/>
      <c r="AD146" s="66"/>
    </row>
    <row r="147" spans="8:30" s="1" customFormat="1" ht="12" x14ac:dyDescent="0.15">
      <c r="H147" s="65"/>
      <c r="I147" s="65"/>
      <c r="AC147" s="66"/>
      <c r="AD147" s="66"/>
    </row>
    <row r="148" spans="8:30" s="1" customFormat="1" ht="12" x14ac:dyDescent="0.15">
      <c r="H148" s="65"/>
      <c r="I148" s="65"/>
      <c r="AC148" s="66"/>
      <c r="AD148" s="66"/>
    </row>
    <row r="149" spans="8:30" s="1" customFormat="1" ht="12" x14ac:dyDescent="0.15">
      <c r="H149" s="65"/>
      <c r="I149" s="65"/>
      <c r="AC149" s="66"/>
      <c r="AD149" s="66"/>
    </row>
    <row r="150" spans="8:30" s="1" customFormat="1" ht="12" x14ac:dyDescent="0.15">
      <c r="H150" s="65"/>
      <c r="I150" s="65"/>
      <c r="AC150" s="66"/>
      <c r="AD150" s="66"/>
    </row>
    <row r="151" spans="8:30" s="1" customFormat="1" ht="12" x14ac:dyDescent="0.15">
      <c r="H151" s="65"/>
      <c r="I151" s="65"/>
      <c r="AC151" s="66"/>
      <c r="AD151" s="66"/>
    </row>
    <row r="152" spans="8:30" s="1" customFormat="1" ht="12" x14ac:dyDescent="0.15">
      <c r="H152" s="65"/>
      <c r="I152" s="65"/>
      <c r="AC152" s="66"/>
      <c r="AD152" s="66"/>
    </row>
    <row r="153" spans="8:30" s="1" customFormat="1" ht="12" x14ac:dyDescent="0.15">
      <c r="H153" s="65"/>
      <c r="I153" s="65"/>
      <c r="AC153" s="66"/>
      <c r="AD153" s="66"/>
    </row>
    <row r="154" spans="8:30" s="1" customFormat="1" ht="12" x14ac:dyDescent="0.15">
      <c r="H154" s="65"/>
      <c r="I154" s="65"/>
      <c r="AC154" s="66"/>
      <c r="AD154" s="66"/>
    </row>
    <row r="155" spans="8:30" s="1" customFormat="1" ht="12" x14ac:dyDescent="0.15">
      <c r="H155" s="65"/>
      <c r="I155" s="65"/>
      <c r="AC155" s="66"/>
      <c r="AD155" s="66"/>
    </row>
    <row r="156" spans="8:30" s="1" customFormat="1" ht="12" x14ac:dyDescent="0.15">
      <c r="H156" s="65"/>
      <c r="I156" s="65"/>
      <c r="AC156" s="66"/>
      <c r="AD156" s="66"/>
    </row>
    <row r="157" spans="8:30" s="1" customFormat="1" ht="12" x14ac:dyDescent="0.15">
      <c r="H157" s="65"/>
      <c r="I157" s="65"/>
      <c r="AC157" s="66"/>
      <c r="AD157" s="66"/>
    </row>
    <row r="158" spans="8:30" s="1" customFormat="1" ht="12" x14ac:dyDescent="0.15">
      <c r="H158" s="65"/>
      <c r="I158" s="65"/>
      <c r="AC158" s="66"/>
      <c r="AD158" s="66"/>
    </row>
    <row r="159" spans="8:30" s="1" customFormat="1" ht="12" x14ac:dyDescent="0.15">
      <c r="H159" s="65"/>
      <c r="I159" s="65"/>
      <c r="AC159" s="66"/>
      <c r="AD159" s="66"/>
    </row>
    <row r="160" spans="8:30" s="1" customFormat="1" ht="12" x14ac:dyDescent="0.15">
      <c r="H160" s="65"/>
      <c r="I160" s="65"/>
      <c r="AC160" s="66"/>
      <c r="AD160" s="66"/>
    </row>
    <row r="161" spans="8:30" s="1" customFormat="1" ht="12" x14ac:dyDescent="0.15">
      <c r="H161" s="65"/>
      <c r="I161" s="65"/>
      <c r="AC161" s="66"/>
      <c r="AD161" s="66"/>
    </row>
    <row r="162" spans="8:30" s="1" customFormat="1" ht="12" x14ac:dyDescent="0.15">
      <c r="H162" s="65"/>
      <c r="I162" s="65"/>
      <c r="AC162" s="66"/>
      <c r="AD162" s="66"/>
    </row>
    <row r="163" spans="8:30" s="1" customFormat="1" ht="12" x14ac:dyDescent="0.15">
      <c r="H163" s="65"/>
      <c r="I163" s="65"/>
      <c r="AC163" s="66"/>
      <c r="AD163" s="66"/>
    </row>
    <row r="164" spans="8:30" s="1" customFormat="1" ht="12" x14ac:dyDescent="0.15">
      <c r="H164" s="65"/>
      <c r="I164" s="65"/>
      <c r="AC164" s="66"/>
      <c r="AD164" s="66"/>
    </row>
    <row r="165" spans="8:30" s="1" customFormat="1" ht="12" x14ac:dyDescent="0.15">
      <c r="H165" s="65"/>
      <c r="I165" s="65"/>
      <c r="AC165" s="66"/>
      <c r="AD165" s="66"/>
    </row>
    <row r="166" spans="8:30" s="1" customFormat="1" ht="12" x14ac:dyDescent="0.15">
      <c r="H166" s="65"/>
      <c r="I166" s="65"/>
      <c r="AC166" s="66"/>
      <c r="AD166" s="66"/>
    </row>
    <row r="167" spans="8:30" s="1" customFormat="1" ht="12" x14ac:dyDescent="0.15">
      <c r="H167" s="65"/>
      <c r="I167" s="65"/>
      <c r="AC167" s="66"/>
      <c r="AD167" s="66"/>
    </row>
    <row r="168" spans="8:30" s="1" customFormat="1" ht="12" x14ac:dyDescent="0.15">
      <c r="H168" s="65"/>
      <c r="I168" s="65"/>
      <c r="AC168" s="66"/>
      <c r="AD168" s="66"/>
    </row>
    <row r="169" spans="8:30" s="1" customFormat="1" ht="12" x14ac:dyDescent="0.15">
      <c r="H169" s="65"/>
      <c r="I169" s="65"/>
      <c r="AC169" s="66"/>
      <c r="AD169" s="66"/>
    </row>
    <row r="170" spans="8:30" s="1" customFormat="1" ht="12" x14ac:dyDescent="0.15">
      <c r="H170" s="65"/>
      <c r="I170" s="65"/>
      <c r="AC170" s="66"/>
      <c r="AD170" s="66"/>
    </row>
    <row r="171" spans="8:30" s="1" customFormat="1" ht="12" x14ac:dyDescent="0.15">
      <c r="H171" s="65"/>
      <c r="I171" s="65"/>
      <c r="AC171" s="66"/>
      <c r="AD171" s="66"/>
    </row>
    <row r="172" spans="8:30" s="1" customFormat="1" ht="12" x14ac:dyDescent="0.15">
      <c r="H172" s="65"/>
      <c r="I172" s="65"/>
      <c r="AC172" s="66"/>
      <c r="AD172" s="66"/>
    </row>
    <row r="173" spans="8:30" s="1" customFormat="1" ht="12" x14ac:dyDescent="0.15">
      <c r="H173" s="65"/>
      <c r="I173" s="65"/>
      <c r="AC173" s="66"/>
      <c r="AD173" s="66"/>
    </row>
    <row r="174" spans="8:30" s="1" customFormat="1" ht="12" x14ac:dyDescent="0.15">
      <c r="H174" s="65"/>
      <c r="I174" s="65"/>
      <c r="AC174" s="66"/>
      <c r="AD174" s="66"/>
    </row>
    <row r="175" spans="8:30" s="1" customFormat="1" ht="12" x14ac:dyDescent="0.15">
      <c r="H175" s="65"/>
      <c r="I175" s="65"/>
      <c r="AC175" s="66"/>
      <c r="AD175" s="66"/>
    </row>
    <row r="176" spans="8:30" s="1" customFormat="1" ht="12" x14ac:dyDescent="0.15">
      <c r="H176" s="65"/>
      <c r="I176" s="65"/>
      <c r="AC176" s="66"/>
      <c r="AD176" s="66"/>
    </row>
    <row r="177" spans="8:30" s="1" customFormat="1" ht="12" x14ac:dyDescent="0.15">
      <c r="H177" s="65"/>
      <c r="I177" s="65"/>
      <c r="AC177" s="66"/>
      <c r="AD177" s="66"/>
    </row>
    <row r="178" spans="8:30" s="1" customFormat="1" ht="12" x14ac:dyDescent="0.15">
      <c r="H178" s="65"/>
      <c r="I178" s="65"/>
      <c r="AC178" s="66"/>
      <c r="AD178" s="66"/>
    </row>
    <row r="179" spans="8:30" s="1" customFormat="1" ht="12" x14ac:dyDescent="0.15">
      <c r="H179" s="65"/>
      <c r="I179" s="65"/>
      <c r="AC179" s="66"/>
      <c r="AD179" s="66"/>
    </row>
    <row r="180" spans="8:30" s="1" customFormat="1" ht="12" x14ac:dyDescent="0.15">
      <c r="H180" s="65"/>
      <c r="I180" s="65"/>
      <c r="AC180" s="66"/>
      <c r="AD180" s="66"/>
    </row>
    <row r="181" spans="8:30" s="1" customFormat="1" ht="12" x14ac:dyDescent="0.15">
      <c r="H181" s="65"/>
      <c r="I181" s="65"/>
      <c r="AC181" s="66"/>
      <c r="AD181" s="66"/>
    </row>
    <row r="182" spans="8:30" s="1" customFormat="1" ht="12" x14ac:dyDescent="0.15">
      <c r="H182" s="65"/>
      <c r="I182" s="65"/>
      <c r="AC182" s="66"/>
      <c r="AD182" s="66"/>
    </row>
    <row r="183" spans="8:30" s="1" customFormat="1" ht="12" x14ac:dyDescent="0.15">
      <c r="H183" s="65"/>
      <c r="I183" s="65"/>
      <c r="AC183" s="66"/>
      <c r="AD183" s="66"/>
    </row>
    <row r="184" spans="8:30" s="1" customFormat="1" ht="12" x14ac:dyDescent="0.15">
      <c r="H184" s="65"/>
      <c r="I184" s="65"/>
      <c r="AC184" s="66"/>
      <c r="AD184" s="66"/>
    </row>
    <row r="185" spans="8:30" s="1" customFormat="1" ht="12" x14ac:dyDescent="0.15">
      <c r="H185" s="65"/>
      <c r="I185" s="65"/>
      <c r="AC185" s="66"/>
      <c r="AD185" s="66"/>
    </row>
    <row r="186" spans="8:30" s="1" customFormat="1" ht="12" x14ac:dyDescent="0.15">
      <c r="H186" s="65"/>
      <c r="I186" s="65"/>
      <c r="AC186" s="66"/>
      <c r="AD186" s="66"/>
    </row>
    <row r="187" spans="8:30" s="1" customFormat="1" ht="12" x14ac:dyDescent="0.15">
      <c r="H187" s="65"/>
      <c r="I187" s="65"/>
      <c r="AC187" s="66"/>
      <c r="AD187" s="66"/>
    </row>
    <row r="188" spans="8:30" s="1" customFormat="1" ht="12" x14ac:dyDescent="0.15">
      <c r="H188" s="65"/>
      <c r="I188" s="65"/>
      <c r="AC188" s="66"/>
      <c r="AD188" s="66"/>
    </row>
    <row r="189" spans="8:30" s="1" customFormat="1" ht="12" x14ac:dyDescent="0.15">
      <c r="H189" s="65"/>
      <c r="I189" s="65"/>
      <c r="AC189" s="66"/>
      <c r="AD189" s="66"/>
    </row>
    <row r="190" spans="8:30" s="1" customFormat="1" ht="12" x14ac:dyDescent="0.15">
      <c r="H190" s="65"/>
      <c r="I190" s="65"/>
      <c r="AC190" s="66"/>
      <c r="AD190" s="66"/>
    </row>
    <row r="191" spans="8:30" s="1" customFormat="1" ht="12" x14ac:dyDescent="0.15">
      <c r="H191" s="65"/>
      <c r="I191" s="65"/>
      <c r="AC191" s="66"/>
      <c r="AD191" s="66"/>
    </row>
    <row r="192" spans="8:30" s="1" customFormat="1" ht="12" x14ac:dyDescent="0.15">
      <c r="H192" s="65"/>
      <c r="I192" s="65"/>
      <c r="AC192" s="66"/>
      <c r="AD192" s="66"/>
    </row>
    <row r="193" spans="8:30" s="1" customFormat="1" ht="12" x14ac:dyDescent="0.15">
      <c r="H193" s="65"/>
      <c r="I193" s="65"/>
      <c r="AC193" s="66"/>
      <c r="AD193" s="66"/>
    </row>
    <row r="194" spans="8:30" s="1" customFormat="1" ht="12" x14ac:dyDescent="0.15">
      <c r="H194" s="65"/>
      <c r="I194" s="65"/>
      <c r="AC194" s="66"/>
      <c r="AD194" s="66"/>
    </row>
    <row r="195" spans="8:30" s="1" customFormat="1" ht="12" x14ac:dyDescent="0.15">
      <c r="H195" s="65"/>
      <c r="I195" s="65"/>
      <c r="AC195" s="66"/>
      <c r="AD195" s="66"/>
    </row>
    <row r="196" spans="8:30" s="1" customFormat="1" ht="12" x14ac:dyDescent="0.15">
      <c r="H196" s="65"/>
      <c r="I196" s="65"/>
      <c r="AC196" s="66"/>
      <c r="AD196" s="66"/>
    </row>
    <row r="197" spans="8:30" s="1" customFormat="1" ht="12" x14ac:dyDescent="0.15">
      <c r="H197" s="65"/>
      <c r="I197" s="65"/>
      <c r="AC197" s="66"/>
      <c r="AD197" s="66"/>
    </row>
    <row r="198" spans="8:30" s="1" customFormat="1" ht="12" x14ac:dyDescent="0.15">
      <c r="H198" s="65"/>
      <c r="I198" s="65"/>
      <c r="AC198" s="66"/>
      <c r="AD198" s="66"/>
    </row>
    <row r="199" spans="8:30" s="1" customFormat="1" ht="12" x14ac:dyDescent="0.15">
      <c r="H199" s="65"/>
      <c r="I199" s="65"/>
      <c r="AC199" s="66"/>
      <c r="AD199" s="66"/>
    </row>
    <row r="200" spans="8:30" s="1" customFormat="1" ht="12" x14ac:dyDescent="0.15">
      <c r="H200" s="65"/>
      <c r="I200" s="65"/>
      <c r="AC200" s="66"/>
      <c r="AD200" s="66"/>
    </row>
    <row r="201" spans="8:30" s="1" customFormat="1" ht="12" x14ac:dyDescent="0.15">
      <c r="H201" s="65"/>
      <c r="I201" s="65"/>
      <c r="AC201" s="66"/>
      <c r="AD201" s="66"/>
    </row>
    <row r="202" spans="8:30" s="1" customFormat="1" ht="12" x14ac:dyDescent="0.15">
      <c r="H202" s="65"/>
      <c r="I202" s="65"/>
      <c r="AC202" s="66"/>
      <c r="AD202" s="66"/>
    </row>
    <row r="203" spans="8:30" s="1" customFormat="1" ht="12" x14ac:dyDescent="0.15">
      <c r="H203" s="65"/>
      <c r="I203" s="65"/>
      <c r="AC203" s="66"/>
      <c r="AD203" s="66"/>
    </row>
    <row r="204" spans="8:30" s="1" customFormat="1" ht="12" x14ac:dyDescent="0.15">
      <c r="H204" s="65"/>
      <c r="I204" s="65"/>
      <c r="AC204" s="66"/>
      <c r="AD204" s="66"/>
    </row>
    <row r="205" spans="8:30" s="1" customFormat="1" ht="12" x14ac:dyDescent="0.15">
      <c r="H205" s="65"/>
      <c r="I205" s="65"/>
      <c r="AC205" s="66"/>
      <c r="AD205" s="66"/>
    </row>
    <row r="206" spans="8:30" s="1" customFormat="1" ht="12" x14ac:dyDescent="0.15">
      <c r="H206" s="65"/>
      <c r="I206" s="65"/>
      <c r="AC206" s="66"/>
      <c r="AD206" s="66"/>
    </row>
    <row r="207" spans="8:30" s="1" customFormat="1" ht="12" x14ac:dyDescent="0.15">
      <c r="H207" s="65"/>
      <c r="I207" s="65"/>
      <c r="AC207" s="66"/>
      <c r="AD207" s="66"/>
    </row>
    <row r="208" spans="8:30" s="1" customFormat="1" ht="12" x14ac:dyDescent="0.15">
      <c r="H208" s="65"/>
      <c r="I208" s="65"/>
      <c r="AC208" s="66"/>
      <c r="AD208" s="66"/>
    </row>
    <row r="209" spans="8:30" s="1" customFormat="1" ht="12" x14ac:dyDescent="0.15">
      <c r="H209" s="65"/>
      <c r="I209" s="65"/>
      <c r="AC209" s="66"/>
      <c r="AD209" s="66"/>
    </row>
    <row r="210" spans="8:30" s="1" customFormat="1" ht="12" x14ac:dyDescent="0.15">
      <c r="H210" s="65"/>
      <c r="I210" s="65"/>
      <c r="AC210" s="66"/>
      <c r="AD210" s="66"/>
    </row>
    <row r="211" spans="8:30" s="1" customFormat="1" ht="12" x14ac:dyDescent="0.15">
      <c r="H211" s="65"/>
      <c r="I211" s="65"/>
      <c r="AC211" s="66"/>
      <c r="AD211" s="66"/>
    </row>
    <row r="212" spans="8:30" s="1" customFormat="1" ht="12" x14ac:dyDescent="0.15">
      <c r="H212" s="65"/>
      <c r="I212" s="65"/>
      <c r="AC212" s="66"/>
      <c r="AD212" s="66"/>
    </row>
    <row r="213" spans="8:30" s="1" customFormat="1" ht="12" x14ac:dyDescent="0.15">
      <c r="H213" s="65"/>
      <c r="I213" s="65"/>
      <c r="AC213" s="66"/>
      <c r="AD213" s="66"/>
    </row>
    <row r="214" spans="8:30" s="1" customFormat="1" ht="12" x14ac:dyDescent="0.15">
      <c r="H214" s="65"/>
      <c r="I214" s="65"/>
      <c r="AC214" s="66"/>
      <c r="AD214" s="66"/>
    </row>
    <row r="215" spans="8:30" s="1" customFormat="1" ht="12" x14ac:dyDescent="0.15">
      <c r="H215" s="65"/>
      <c r="I215" s="65"/>
      <c r="AC215" s="66"/>
      <c r="AD215" s="66"/>
    </row>
    <row r="216" spans="8:30" s="1" customFormat="1" ht="12" x14ac:dyDescent="0.15">
      <c r="H216" s="65"/>
      <c r="I216" s="65"/>
      <c r="AC216" s="66"/>
      <c r="AD216" s="66"/>
    </row>
    <row r="217" spans="8:30" s="1" customFormat="1" ht="12" x14ac:dyDescent="0.15">
      <c r="H217" s="65"/>
      <c r="I217" s="65"/>
      <c r="AC217" s="66"/>
      <c r="AD217" s="66"/>
    </row>
    <row r="218" spans="8:30" s="1" customFormat="1" ht="12" x14ac:dyDescent="0.15">
      <c r="H218" s="65"/>
      <c r="I218" s="65"/>
      <c r="AC218" s="66"/>
      <c r="AD218" s="66"/>
    </row>
    <row r="219" spans="8:30" s="1" customFormat="1" ht="12" x14ac:dyDescent="0.15">
      <c r="H219" s="65"/>
      <c r="I219" s="65"/>
      <c r="AC219" s="66"/>
      <c r="AD219" s="66"/>
    </row>
    <row r="220" spans="8:30" s="1" customFormat="1" ht="12" x14ac:dyDescent="0.15">
      <c r="H220" s="65"/>
      <c r="I220" s="65"/>
      <c r="AC220" s="66"/>
      <c r="AD220" s="66"/>
    </row>
    <row r="221" spans="8:30" s="1" customFormat="1" ht="12" x14ac:dyDescent="0.15">
      <c r="H221" s="65"/>
      <c r="I221" s="65"/>
      <c r="AC221" s="66"/>
      <c r="AD221" s="66"/>
    </row>
    <row r="222" spans="8:30" s="1" customFormat="1" ht="12" x14ac:dyDescent="0.15">
      <c r="H222" s="65"/>
      <c r="I222" s="65"/>
      <c r="AC222" s="66"/>
      <c r="AD222" s="66"/>
    </row>
    <row r="223" spans="8:30" s="1" customFormat="1" ht="12" x14ac:dyDescent="0.15">
      <c r="H223" s="65"/>
      <c r="I223" s="65"/>
      <c r="AC223" s="66"/>
      <c r="AD223" s="66"/>
    </row>
    <row r="224" spans="8:30" s="1" customFormat="1" ht="12" x14ac:dyDescent="0.15">
      <c r="H224" s="65"/>
      <c r="I224" s="65"/>
      <c r="AC224" s="66"/>
      <c r="AD224" s="66"/>
    </row>
    <row r="225" spans="8:30" s="1" customFormat="1" ht="12" x14ac:dyDescent="0.15">
      <c r="H225" s="65"/>
      <c r="I225" s="65"/>
      <c r="AC225" s="66"/>
      <c r="AD225" s="66"/>
    </row>
    <row r="226" spans="8:30" s="1" customFormat="1" ht="12" x14ac:dyDescent="0.15">
      <c r="H226" s="65"/>
      <c r="I226" s="65"/>
      <c r="AC226" s="66"/>
      <c r="AD226" s="66"/>
    </row>
    <row r="227" spans="8:30" s="1" customFormat="1" ht="12" x14ac:dyDescent="0.15">
      <c r="H227" s="65"/>
      <c r="I227" s="65"/>
      <c r="AC227" s="66"/>
      <c r="AD227" s="66"/>
    </row>
    <row r="228" spans="8:30" s="1" customFormat="1" ht="12" x14ac:dyDescent="0.15">
      <c r="H228" s="65"/>
      <c r="I228" s="65"/>
      <c r="AC228" s="66"/>
      <c r="AD228" s="66"/>
    </row>
    <row r="229" spans="8:30" s="1" customFormat="1" ht="12" x14ac:dyDescent="0.15">
      <c r="H229" s="65"/>
      <c r="I229" s="65"/>
      <c r="AC229" s="66"/>
      <c r="AD229" s="66"/>
    </row>
    <row r="230" spans="8:30" s="1" customFormat="1" ht="12" x14ac:dyDescent="0.15">
      <c r="H230" s="65"/>
      <c r="I230" s="65"/>
      <c r="AC230" s="66"/>
      <c r="AD230" s="66"/>
    </row>
    <row r="231" spans="8:30" s="1" customFormat="1" ht="12" x14ac:dyDescent="0.15">
      <c r="H231" s="65"/>
      <c r="I231" s="65"/>
      <c r="AC231" s="66"/>
      <c r="AD231" s="66"/>
    </row>
    <row r="232" spans="8:30" s="1" customFormat="1" ht="12" x14ac:dyDescent="0.15">
      <c r="H232" s="65"/>
      <c r="I232" s="65"/>
      <c r="AC232" s="66"/>
      <c r="AD232" s="66"/>
    </row>
    <row r="233" spans="8:30" s="1" customFormat="1" ht="12" x14ac:dyDescent="0.15">
      <c r="H233" s="65"/>
      <c r="I233" s="65"/>
      <c r="AC233" s="66"/>
      <c r="AD233" s="66"/>
    </row>
    <row r="234" spans="8:30" s="1" customFormat="1" ht="12" x14ac:dyDescent="0.15">
      <c r="H234" s="65"/>
      <c r="I234" s="65"/>
      <c r="AC234" s="66"/>
      <c r="AD234" s="66"/>
    </row>
    <row r="235" spans="8:30" s="1" customFormat="1" ht="12" x14ac:dyDescent="0.15">
      <c r="H235" s="65"/>
      <c r="I235" s="65"/>
      <c r="AC235" s="66"/>
      <c r="AD235" s="66"/>
    </row>
    <row r="236" spans="8:30" s="1" customFormat="1" ht="12" x14ac:dyDescent="0.15">
      <c r="H236" s="65"/>
      <c r="I236" s="65"/>
      <c r="AC236" s="66"/>
      <c r="AD236" s="66"/>
    </row>
    <row r="237" spans="8:30" s="1" customFormat="1" ht="12" x14ac:dyDescent="0.15">
      <c r="H237" s="65"/>
      <c r="I237" s="65"/>
      <c r="AC237" s="66"/>
      <c r="AD237" s="66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15" sqref="C15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38"/>
  <sheetViews>
    <sheetView topLeftCell="A10" workbookViewId="0">
      <selection activeCell="O61" sqref="O61"/>
    </sheetView>
  </sheetViews>
  <sheetFormatPr defaultColWidth="9" defaultRowHeight="12" x14ac:dyDescent="0.15"/>
  <cols>
    <col min="1" max="1" width="3.5" style="1" customWidth="1"/>
    <col min="2" max="2" width="13" style="1" customWidth="1"/>
    <col min="3" max="5" width="9" style="1"/>
    <col min="6" max="6" width="11.25" style="1" bestFit="1" customWidth="1"/>
    <col min="7" max="16384" width="9" style="1"/>
  </cols>
  <sheetData>
    <row r="1" spans="1:3" x14ac:dyDescent="0.15">
      <c r="A1" s="1" t="s">
        <v>111</v>
      </c>
      <c r="B1" s="3" t="s">
        <v>207</v>
      </c>
    </row>
    <row r="2" spans="1:3" x14ac:dyDescent="0.15">
      <c r="A2" s="1" t="s">
        <v>112</v>
      </c>
      <c r="B2" s="3" t="s">
        <v>32</v>
      </c>
      <c r="C2" s="1" t="s">
        <v>116</v>
      </c>
    </row>
    <row r="3" spans="1:3" x14ac:dyDescent="0.15">
      <c r="B3" s="3" t="s">
        <v>7</v>
      </c>
      <c r="C3" s="1">
        <v>1</v>
      </c>
    </row>
    <row r="4" spans="1:3" x14ac:dyDescent="0.15">
      <c r="B4" s="3" t="s">
        <v>33</v>
      </c>
      <c r="C4" s="1">
        <v>2</v>
      </c>
    </row>
    <row r="5" spans="1:3" x14ac:dyDescent="0.15">
      <c r="A5" s="1" t="s">
        <v>107</v>
      </c>
      <c r="B5" s="3" t="s">
        <v>34</v>
      </c>
      <c r="C5" s="1">
        <v>3</v>
      </c>
    </row>
    <row r="6" spans="1:3" x14ac:dyDescent="0.15">
      <c r="A6" s="1" t="s">
        <v>108</v>
      </c>
      <c r="B6" s="3" t="s">
        <v>206</v>
      </c>
    </row>
    <row r="9" spans="1:3" x14ac:dyDescent="0.15">
      <c r="A9" s="1" t="s">
        <v>111</v>
      </c>
      <c r="B9" s="3" t="s">
        <v>121</v>
      </c>
    </row>
    <row r="10" spans="1:3" x14ac:dyDescent="0.15">
      <c r="A10" s="1" t="s">
        <v>112</v>
      </c>
      <c r="B10" s="3" t="s">
        <v>114</v>
      </c>
      <c r="C10" s="1" t="s">
        <v>116</v>
      </c>
    </row>
    <row r="11" spans="1:3" x14ac:dyDescent="0.15">
      <c r="B11" s="3" t="s">
        <v>43</v>
      </c>
      <c r="C11" s="1">
        <v>1</v>
      </c>
    </row>
    <row r="12" spans="1:3" x14ac:dyDescent="0.15">
      <c r="A12" s="1" t="s">
        <v>107</v>
      </c>
      <c r="B12" s="3" t="s">
        <v>40</v>
      </c>
      <c r="C12" s="1">
        <v>2</v>
      </c>
    </row>
    <row r="13" spans="1:3" x14ac:dyDescent="0.15">
      <c r="A13" s="1" t="s">
        <v>115</v>
      </c>
      <c r="B13" s="3" t="s">
        <v>113</v>
      </c>
    </row>
    <row r="14" spans="1:3" x14ac:dyDescent="0.15">
      <c r="B14" s="3"/>
    </row>
    <row r="15" spans="1:3" x14ac:dyDescent="0.15">
      <c r="A15" s="1" t="s">
        <v>111</v>
      </c>
      <c r="B15" s="3" t="s">
        <v>190</v>
      </c>
    </row>
    <row r="16" spans="1:3" x14ac:dyDescent="0.15">
      <c r="A16" s="1" t="s">
        <v>112</v>
      </c>
      <c r="B16" s="3" t="s">
        <v>114</v>
      </c>
      <c r="C16" s="1" t="s">
        <v>116</v>
      </c>
    </row>
    <row r="17" spans="1:3" x14ac:dyDescent="0.15">
      <c r="B17" s="3" t="s">
        <v>192</v>
      </c>
      <c r="C17" s="1">
        <v>1</v>
      </c>
    </row>
    <row r="18" spans="1:3" x14ac:dyDescent="0.15">
      <c r="A18" s="1" t="s">
        <v>107</v>
      </c>
      <c r="B18" s="3" t="s">
        <v>191</v>
      </c>
      <c r="C18" s="1">
        <v>2</v>
      </c>
    </row>
    <row r="19" spans="1:3" x14ac:dyDescent="0.15">
      <c r="A19" s="1" t="s">
        <v>115</v>
      </c>
      <c r="B19" s="3" t="s">
        <v>190</v>
      </c>
    </row>
    <row r="21" spans="1:3" x14ac:dyDescent="0.15">
      <c r="A21" s="1" t="s">
        <v>111</v>
      </c>
      <c r="B21" s="3" t="s">
        <v>118</v>
      </c>
    </row>
    <row r="22" spans="1:3" x14ac:dyDescent="0.15">
      <c r="A22" s="1" t="s">
        <v>112</v>
      </c>
      <c r="B22" s="3" t="s">
        <v>32</v>
      </c>
      <c r="C22" s="1" t="s">
        <v>116</v>
      </c>
    </row>
    <row r="23" spans="1:3" x14ac:dyDescent="0.15">
      <c r="B23" s="3" t="s">
        <v>170</v>
      </c>
      <c r="C23" s="1">
        <v>1</v>
      </c>
    </row>
    <row r="24" spans="1:3" x14ac:dyDescent="0.15">
      <c r="B24" s="3" t="s">
        <v>171</v>
      </c>
      <c r="C24" s="1">
        <v>2</v>
      </c>
    </row>
    <row r="25" spans="1:3" x14ac:dyDescent="0.15">
      <c r="B25" s="3" t="s">
        <v>173</v>
      </c>
      <c r="C25" s="1">
        <v>3</v>
      </c>
    </row>
    <row r="26" spans="1:3" x14ac:dyDescent="0.15">
      <c r="B26" s="3" t="s">
        <v>172</v>
      </c>
      <c r="C26" s="1">
        <v>4</v>
      </c>
    </row>
    <row r="27" spans="1:3" x14ac:dyDescent="0.15">
      <c r="B27" s="3" t="s">
        <v>174</v>
      </c>
      <c r="C27" s="1">
        <v>5</v>
      </c>
    </row>
    <row r="28" spans="1:3" x14ac:dyDescent="0.15">
      <c r="B28" s="3" t="s">
        <v>175</v>
      </c>
      <c r="C28" s="1">
        <v>6</v>
      </c>
    </row>
    <row r="29" spans="1:3" x14ac:dyDescent="0.15">
      <c r="B29" s="3" t="s">
        <v>176</v>
      </c>
      <c r="C29" s="1">
        <v>7</v>
      </c>
    </row>
    <row r="30" spans="1:3" x14ac:dyDescent="0.15">
      <c r="B30" s="3" t="s">
        <v>177</v>
      </c>
      <c r="C30" s="1">
        <v>8</v>
      </c>
    </row>
    <row r="31" spans="1:3" x14ac:dyDescent="0.15">
      <c r="B31" s="3" t="s">
        <v>178</v>
      </c>
      <c r="C31" s="1">
        <v>9</v>
      </c>
    </row>
    <row r="32" spans="1:3" x14ac:dyDescent="0.15">
      <c r="B32" s="3" t="s">
        <v>179</v>
      </c>
      <c r="C32" s="1">
        <v>10</v>
      </c>
    </row>
    <row r="33" spans="1:5" x14ac:dyDescent="0.15">
      <c r="A33" s="1" t="s">
        <v>35</v>
      </c>
      <c r="B33" s="3" t="s">
        <v>119</v>
      </c>
      <c r="C33" s="1">
        <v>11</v>
      </c>
    </row>
    <row r="34" spans="1:5" x14ac:dyDescent="0.15">
      <c r="A34" s="1" t="s">
        <v>120</v>
      </c>
      <c r="B34" s="3" t="s">
        <v>118</v>
      </c>
    </row>
    <row r="35" spans="1:5" x14ac:dyDescent="0.15">
      <c r="B35" s="3"/>
    </row>
    <row r="36" spans="1:5" x14ac:dyDescent="0.15">
      <c r="A36" s="1" t="s">
        <v>111</v>
      </c>
      <c r="B36" s="3" t="s">
        <v>106</v>
      </c>
    </row>
    <row r="37" spans="1:5" x14ac:dyDescent="0.15">
      <c r="A37" s="1" t="s">
        <v>112</v>
      </c>
      <c r="B37" s="3" t="s">
        <v>32</v>
      </c>
      <c r="C37" s="1" t="s">
        <v>116</v>
      </c>
    </row>
    <row r="38" spans="1:5" x14ac:dyDescent="0.15">
      <c r="B38" s="3" t="s">
        <v>144</v>
      </c>
      <c r="C38" s="1">
        <v>0</v>
      </c>
    </row>
    <row r="39" spans="1:5" x14ac:dyDescent="0.15">
      <c r="B39" s="3" t="s">
        <v>122</v>
      </c>
      <c r="C39" s="1">
        <v>1</v>
      </c>
    </row>
    <row r="40" spans="1:5" x14ac:dyDescent="0.15">
      <c r="B40" s="3" t="s">
        <v>123</v>
      </c>
      <c r="C40" s="1">
        <v>2</v>
      </c>
    </row>
    <row r="41" spans="1:5" x14ac:dyDescent="0.15">
      <c r="B41" s="3" t="s">
        <v>124</v>
      </c>
      <c r="C41" s="1">
        <v>3</v>
      </c>
      <c r="E41" s="3"/>
    </row>
    <row r="42" spans="1:5" x14ac:dyDescent="0.15">
      <c r="A42" s="1" t="s">
        <v>35</v>
      </c>
      <c r="B42" s="3" t="s">
        <v>125</v>
      </c>
      <c r="C42" s="1">
        <v>4</v>
      </c>
      <c r="E42" s="3"/>
    </row>
    <row r="43" spans="1:5" x14ac:dyDescent="0.15">
      <c r="A43" s="1" t="s">
        <v>120</v>
      </c>
      <c r="B43" s="3" t="s">
        <v>106</v>
      </c>
      <c r="E43" s="3"/>
    </row>
    <row r="44" spans="1:5" x14ac:dyDescent="0.15">
      <c r="E44" s="3"/>
    </row>
    <row r="45" spans="1:5" x14ac:dyDescent="0.15">
      <c r="A45" s="1" t="s">
        <v>109</v>
      </c>
      <c r="B45" s="3" t="s">
        <v>73</v>
      </c>
      <c r="E45" s="3"/>
    </row>
    <row r="46" spans="1:5" x14ac:dyDescent="0.15">
      <c r="A46" s="1" t="s">
        <v>110</v>
      </c>
      <c r="B46" s="3" t="s">
        <v>32</v>
      </c>
      <c r="C46" s="1" t="s">
        <v>116</v>
      </c>
      <c r="E46" s="3"/>
    </row>
    <row r="47" spans="1:5" x14ac:dyDescent="0.15">
      <c r="B47" s="3" t="s">
        <v>128</v>
      </c>
      <c r="C47" s="1">
        <v>1</v>
      </c>
      <c r="E47" s="3"/>
    </row>
    <row r="48" spans="1:5" x14ac:dyDescent="0.15">
      <c r="B48" s="3" t="s">
        <v>276</v>
      </c>
      <c r="C48" s="1">
        <v>2</v>
      </c>
      <c r="E48" s="3"/>
    </row>
    <row r="49" spans="1:5" x14ac:dyDescent="0.15">
      <c r="B49" s="3" t="s">
        <v>278</v>
      </c>
      <c r="C49" s="1">
        <v>3</v>
      </c>
      <c r="E49" s="3"/>
    </row>
    <row r="50" spans="1:5" x14ac:dyDescent="0.15">
      <c r="B50" s="3" t="s">
        <v>279</v>
      </c>
      <c r="C50" s="1">
        <v>4</v>
      </c>
      <c r="E50" s="3"/>
    </row>
    <row r="51" spans="1:5" x14ac:dyDescent="0.15">
      <c r="B51" s="3" t="s">
        <v>280</v>
      </c>
      <c r="C51" s="1">
        <v>5</v>
      </c>
      <c r="E51" s="3"/>
    </row>
    <row r="52" spans="1:5" x14ac:dyDescent="0.15">
      <c r="B52" s="3" t="s">
        <v>277</v>
      </c>
      <c r="C52" s="1">
        <v>6</v>
      </c>
    </row>
    <row r="53" spans="1:5" x14ac:dyDescent="0.15">
      <c r="B53" s="3" t="s">
        <v>130</v>
      </c>
      <c r="C53" s="1">
        <v>7</v>
      </c>
    </row>
    <row r="54" spans="1:5" x14ac:dyDescent="0.15">
      <c r="B54" s="3" t="s">
        <v>129</v>
      </c>
      <c r="C54" s="1">
        <v>8</v>
      </c>
      <c r="E54" s="3"/>
    </row>
    <row r="55" spans="1:5" x14ac:dyDescent="0.15">
      <c r="A55" s="1" t="s">
        <v>35</v>
      </c>
      <c r="B55" s="3" t="s">
        <v>281</v>
      </c>
      <c r="C55" s="1">
        <v>9</v>
      </c>
      <c r="E55" s="3"/>
    </row>
    <row r="56" spans="1:5" x14ac:dyDescent="0.15">
      <c r="A56" s="1" t="s">
        <v>108</v>
      </c>
      <c r="B56" s="3" t="s">
        <v>73</v>
      </c>
      <c r="E56" s="3"/>
    </row>
    <row r="57" spans="1:5" x14ac:dyDescent="0.15">
      <c r="B57" s="3"/>
      <c r="E57" s="3"/>
    </row>
    <row r="58" spans="1:5" x14ac:dyDescent="0.15">
      <c r="A58" s="1" t="s">
        <v>109</v>
      </c>
      <c r="B58" s="3" t="s">
        <v>131</v>
      </c>
      <c r="E58" s="3"/>
    </row>
    <row r="59" spans="1:5" x14ac:dyDescent="0.15">
      <c r="A59" s="1" t="s">
        <v>110</v>
      </c>
      <c r="B59" s="3" t="s">
        <v>32</v>
      </c>
      <c r="C59" s="1" t="s">
        <v>116</v>
      </c>
      <c r="E59" s="3"/>
    </row>
    <row r="60" spans="1:5" x14ac:dyDescent="0.15">
      <c r="B60" s="3" t="s">
        <v>133</v>
      </c>
      <c r="C60" s="1">
        <v>1</v>
      </c>
    </row>
    <row r="61" spans="1:5" x14ac:dyDescent="0.15">
      <c r="B61" s="3" t="s">
        <v>134</v>
      </c>
      <c r="C61" s="1">
        <v>2</v>
      </c>
    </row>
    <row r="62" spans="1:5" x14ac:dyDescent="0.15">
      <c r="B62" s="3" t="s">
        <v>135</v>
      </c>
      <c r="C62" s="1">
        <v>3</v>
      </c>
    </row>
    <row r="63" spans="1:5" x14ac:dyDescent="0.15">
      <c r="A63" s="1" t="s">
        <v>35</v>
      </c>
      <c r="B63" s="3" t="s">
        <v>136</v>
      </c>
      <c r="C63" s="1">
        <v>4</v>
      </c>
    </row>
    <row r="64" spans="1:5" x14ac:dyDescent="0.15">
      <c r="A64" s="1" t="s">
        <v>108</v>
      </c>
      <c r="B64" s="3" t="s">
        <v>131</v>
      </c>
    </row>
    <row r="65" spans="1:3" x14ac:dyDescent="0.15">
      <c r="B65" s="3"/>
    </row>
    <row r="66" spans="1:3" x14ac:dyDescent="0.15">
      <c r="A66" s="1" t="s">
        <v>109</v>
      </c>
      <c r="B66" s="3" t="s">
        <v>85</v>
      </c>
    </row>
    <row r="67" spans="1:3" x14ac:dyDescent="0.15">
      <c r="A67" s="1" t="s">
        <v>110</v>
      </c>
      <c r="B67" s="3" t="s">
        <v>32</v>
      </c>
      <c r="C67" s="1" t="s">
        <v>116</v>
      </c>
    </row>
    <row r="68" spans="1:3" x14ac:dyDescent="0.15">
      <c r="B68" s="3" t="s">
        <v>132</v>
      </c>
      <c r="C68" s="1">
        <v>1</v>
      </c>
    </row>
    <row r="69" spans="1:3" x14ac:dyDescent="0.15">
      <c r="B69" s="3" t="s">
        <v>44</v>
      </c>
      <c r="C69" s="1">
        <v>2</v>
      </c>
    </row>
    <row r="70" spans="1:3" x14ac:dyDescent="0.15">
      <c r="B70" s="3" t="s">
        <v>137</v>
      </c>
      <c r="C70" s="1">
        <v>3</v>
      </c>
    </row>
    <row r="71" spans="1:3" x14ac:dyDescent="0.15">
      <c r="B71" s="3" t="s">
        <v>138</v>
      </c>
      <c r="C71" s="1">
        <v>4</v>
      </c>
    </row>
    <row r="72" spans="1:3" x14ac:dyDescent="0.15">
      <c r="B72" s="3" t="s">
        <v>139</v>
      </c>
      <c r="C72" s="1">
        <v>5</v>
      </c>
    </row>
    <row r="73" spans="1:3" x14ac:dyDescent="0.15">
      <c r="B73" s="3" t="s">
        <v>141</v>
      </c>
      <c r="C73" s="1">
        <v>6</v>
      </c>
    </row>
    <row r="74" spans="1:3" x14ac:dyDescent="0.15">
      <c r="B74" s="3" t="s">
        <v>140</v>
      </c>
      <c r="C74" s="1">
        <v>7</v>
      </c>
    </row>
    <row r="75" spans="1:3" x14ac:dyDescent="0.15">
      <c r="B75" s="3" t="s">
        <v>193</v>
      </c>
      <c r="C75" s="1">
        <v>8</v>
      </c>
    </row>
    <row r="76" spans="1:3" x14ac:dyDescent="0.15">
      <c r="B76" s="3" t="s">
        <v>194</v>
      </c>
      <c r="C76" s="1">
        <v>9</v>
      </c>
    </row>
    <row r="77" spans="1:3" x14ac:dyDescent="0.15">
      <c r="B77" s="3" t="s">
        <v>195</v>
      </c>
      <c r="C77" s="1">
        <v>10</v>
      </c>
    </row>
    <row r="78" spans="1:3" x14ac:dyDescent="0.15">
      <c r="B78" s="3" t="s">
        <v>196</v>
      </c>
      <c r="C78" s="1">
        <v>11</v>
      </c>
    </row>
    <row r="79" spans="1:3" x14ac:dyDescent="0.15">
      <c r="B79" s="3" t="s">
        <v>197</v>
      </c>
      <c r="C79" s="1">
        <v>12</v>
      </c>
    </row>
    <row r="80" spans="1:3" x14ac:dyDescent="0.15">
      <c r="A80" s="1" t="s">
        <v>35</v>
      </c>
      <c r="B80" s="3" t="s">
        <v>198</v>
      </c>
      <c r="C80" s="1">
        <v>13</v>
      </c>
    </row>
    <row r="81" spans="1:3" x14ac:dyDescent="0.15">
      <c r="A81" s="1" t="s">
        <v>108</v>
      </c>
      <c r="B81" s="3" t="s">
        <v>85</v>
      </c>
    </row>
    <row r="83" spans="1:3" x14ac:dyDescent="0.15">
      <c r="A83" s="1" t="s">
        <v>109</v>
      </c>
      <c r="B83" s="3" t="s">
        <v>58</v>
      </c>
    </row>
    <row r="84" spans="1:3" x14ac:dyDescent="0.15">
      <c r="A84" s="1" t="s">
        <v>110</v>
      </c>
      <c r="B84" s="3" t="s">
        <v>32</v>
      </c>
      <c r="C84" s="1" t="s">
        <v>116</v>
      </c>
    </row>
    <row r="85" spans="1:3" x14ac:dyDescent="0.15">
      <c r="B85" s="3" t="s">
        <v>314</v>
      </c>
      <c r="C85" s="1">
        <v>1</v>
      </c>
    </row>
    <row r="86" spans="1:3" x14ac:dyDescent="0.15">
      <c r="B86" s="3" t="s">
        <v>312</v>
      </c>
      <c r="C86" s="1">
        <v>2</v>
      </c>
    </row>
    <row r="87" spans="1:3" x14ac:dyDescent="0.15">
      <c r="A87" s="1" t="s">
        <v>35</v>
      </c>
      <c r="B87" s="3" t="s">
        <v>313</v>
      </c>
      <c r="C87" s="1">
        <v>3</v>
      </c>
    </row>
    <row r="88" spans="1:3" x14ac:dyDescent="0.15">
      <c r="A88" s="1" t="s">
        <v>108</v>
      </c>
      <c r="B88" s="3" t="s">
        <v>145</v>
      </c>
    </row>
    <row r="89" spans="1:3" x14ac:dyDescent="0.15">
      <c r="B89" s="3"/>
    </row>
    <row r="90" spans="1:3" x14ac:dyDescent="0.15">
      <c r="A90" s="1" t="s">
        <v>109</v>
      </c>
      <c r="B90" s="3" t="s">
        <v>147</v>
      </c>
    </row>
    <row r="91" spans="1:3" x14ac:dyDescent="0.15">
      <c r="A91" s="1" t="s">
        <v>110</v>
      </c>
      <c r="B91" s="3" t="s">
        <v>32</v>
      </c>
      <c r="C91" s="1" t="s">
        <v>116</v>
      </c>
    </row>
    <row r="92" spans="1:3" x14ac:dyDescent="0.15">
      <c r="B92" s="3" t="s">
        <v>227</v>
      </c>
      <c r="C92" s="1">
        <v>0</v>
      </c>
    </row>
    <row r="93" spans="1:3" x14ac:dyDescent="0.15">
      <c r="B93" s="3" t="s">
        <v>148</v>
      </c>
      <c r="C93" s="1">
        <v>1</v>
      </c>
    </row>
    <row r="94" spans="1:3" x14ac:dyDescent="0.15">
      <c r="B94" s="3" t="s">
        <v>149</v>
      </c>
      <c r="C94" s="1">
        <v>2</v>
      </c>
    </row>
    <row r="95" spans="1:3" x14ac:dyDescent="0.15">
      <c r="B95" s="3" t="s">
        <v>150</v>
      </c>
      <c r="C95" s="1">
        <v>3</v>
      </c>
    </row>
    <row r="96" spans="1:3" x14ac:dyDescent="0.15">
      <c r="A96" s="1" t="s">
        <v>35</v>
      </c>
      <c r="B96" s="3" t="s">
        <v>151</v>
      </c>
      <c r="C96" s="1">
        <v>4</v>
      </c>
    </row>
    <row r="97" spans="1:6" x14ac:dyDescent="0.15">
      <c r="A97" s="1" t="s">
        <v>108</v>
      </c>
      <c r="B97" s="3" t="s">
        <v>147</v>
      </c>
    </row>
    <row r="99" spans="1:6" x14ac:dyDescent="0.15">
      <c r="A99" s="1" t="s">
        <v>109</v>
      </c>
      <c r="B99" s="3" t="s">
        <v>157</v>
      </c>
      <c r="C99" s="3"/>
    </row>
    <row r="100" spans="1:6" x14ac:dyDescent="0.15">
      <c r="A100" s="1" t="s">
        <v>110</v>
      </c>
      <c r="B100" s="3" t="s">
        <v>158</v>
      </c>
    </row>
    <row r="101" spans="1:6" x14ac:dyDescent="0.15">
      <c r="B101" s="1" t="s">
        <v>60</v>
      </c>
      <c r="C101" s="1" t="s">
        <v>65</v>
      </c>
      <c r="F101" s="3"/>
    </row>
    <row r="102" spans="1:6" x14ac:dyDescent="0.15">
      <c r="B102" s="2" t="s">
        <v>161</v>
      </c>
      <c r="C102" s="2" t="s">
        <v>85</v>
      </c>
      <c r="F102" s="3"/>
    </row>
    <row r="103" spans="1:6" x14ac:dyDescent="0.15">
      <c r="B103" s="2" t="s">
        <v>73</v>
      </c>
      <c r="C103" s="2" t="s">
        <v>73</v>
      </c>
    </row>
    <row r="104" spans="1:6" x14ac:dyDescent="0.15">
      <c r="B104" s="2" t="s">
        <v>74</v>
      </c>
      <c r="C104" s="2" t="s">
        <v>74</v>
      </c>
    </row>
    <row r="105" spans="1:6" x14ac:dyDescent="0.15">
      <c r="B105" s="2" t="s">
        <v>5</v>
      </c>
      <c r="C105" s="2" t="s">
        <v>75</v>
      </c>
    </row>
    <row r="106" spans="1:6" x14ac:dyDescent="0.15">
      <c r="B106" s="2" t="s">
        <v>6</v>
      </c>
      <c r="C106" s="2" t="s">
        <v>76</v>
      </c>
    </row>
    <row r="107" spans="1:6" x14ac:dyDescent="0.15">
      <c r="B107" s="2" t="s">
        <v>154</v>
      </c>
      <c r="C107" s="2" t="s">
        <v>159</v>
      </c>
    </row>
    <row r="108" spans="1:6" x14ac:dyDescent="0.15">
      <c r="B108" s="2" t="s">
        <v>153</v>
      </c>
      <c r="C108" s="2" t="s">
        <v>159</v>
      </c>
    </row>
    <row r="109" spans="1:6" x14ac:dyDescent="0.15">
      <c r="B109" s="2" t="s">
        <v>63</v>
      </c>
      <c r="C109" s="2" t="s">
        <v>160</v>
      </c>
    </row>
    <row r="110" spans="1:6" x14ac:dyDescent="0.15">
      <c r="B110" s="2" t="s">
        <v>155</v>
      </c>
      <c r="C110" s="2" t="s">
        <v>159</v>
      </c>
    </row>
    <row r="111" spans="1:6" x14ac:dyDescent="0.15">
      <c r="B111" s="2" t="s">
        <v>156</v>
      </c>
      <c r="C111" s="2" t="s">
        <v>159</v>
      </c>
    </row>
    <row r="112" spans="1:6" x14ac:dyDescent="0.15">
      <c r="B112" s="2" t="s">
        <v>2</v>
      </c>
      <c r="C112" s="2" t="s">
        <v>72</v>
      </c>
    </row>
    <row r="113" spans="1:3" x14ac:dyDescent="0.15">
      <c r="B113" s="2" t="s">
        <v>62</v>
      </c>
      <c r="C113" s="2" t="s">
        <v>159</v>
      </c>
    </row>
    <row r="114" spans="1:3" x14ac:dyDescent="0.15">
      <c r="B114" s="2" t="s">
        <v>61</v>
      </c>
      <c r="C114" s="2" t="s">
        <v>159</v>
      </c>
    </row>
    <row r="115" spans="1:3" x14ac:dyDescent="0.15">
      <c r="B115" s="2" t="s">
        <v>143</v>
      </c>
      <c r="C115" s="2" t="s">
        <v>143</v>
      </c>
    </row>
    <row r="116" spans="1:3" x14ac:dyDescent="0.15">
      <c r="A116" s="1" t="s">
        <v>35</v>
      </c>
      <c r="B116" s="2" t="s">
        <v>152</v>
      </c>
      <c r="C116" s="2" t="s">
        <v>159</v>
      </c>
    </row>
    <row r="117" spans="1:3" x14ac:dyDescent="0.15">
      <c r="A117" s="1" t="s">
        <v>108</v>
      </c>
      <c r="B117" s="3" t="s">
        <v>157</v>
      </c>
    </row>
    <row r="119" spans="1:3" x14ac:dyDescent="0.15">
      <c r="A119" s="1" t="s">
        <v>109</v>
      </c>
      <c r="B119" s="3" t="s">
        <v>203</v>
      </c>
    </row>
    <row r="120" spans="1:3" x14ac:dyDescent="0.15">
      <c r="A120" s="1" t="s">
        <v>110</v>
      </c>
      <c r="B120" s="3" t="s">
        <v>32</v>
      </c>
      <c r="C120" s="1" t="s">
        <v>116</v>
      </c>
    </row>
    <row r="121" spans="1:3" x14ac:dyDescent="0.15">
      <c r="B121" s="3" t="s">
        <v>204</v>
      </c>
      <c r="C121" s="1">
        <v>1</v>
      </c>
    </row>
    <row r="122" spans="1:3" x14ac:dyDescent="0.15">
      <c r="A122" s="1" t="s">
        <v>35</v>
      </c>
      <c r="B122" s="3" t="s">
        <v>205</v>
      </c>
      <c r="C122" s="1">
        <v>2</v>
      </c>
    </row>
    <row r="123" spans="1:3" x14ac:dyDescent="0.15">
      <c r="A123" s="1" t="s">
        <v>108</v>
      </c>
      <c r="B123" s="3" t="s">
        <v>203</v>
      </c>
    </row>
    <row r="125" spans="1:3" x14ac:dyDescent="0.15">
      <c r="A125" s="1" t="s">
        <v>109</v>
      </c>
      <c r="B125" s="3" t="s">
        <v>213</v>
      </c>
    </row>
    <row r="126" spans="1:3" x14ac:dyDescent="0.15">
      <c r="A126" s="1" t="s">
        <v>110</v>
      </c>
      <c r="B126" s="3" t="s">
        <v>219</v>
      </c>
      <c r="C126" s="1" t="s">
        <v>214</v>
      </c>
    </row>
    <row r="127" spans="1:3" x14ac:dyDescent="0.15">
      <c r="B127" s="34">
        <v>24</v>
      </c>
      <c r="C127" s="34" t="str">
        <f ca="1">CELL("address",B127)</f>
        <v>$B$127</v>
      </c>
    </row>
    <row r="128" spans="1:3" x14ac:dyDescent="0.15">
      <c r="B128" s="6">
        <v>15</v>
      </c>
      <c r="C128" s="34" t="str">
        <f t="shared" ref="C128:C131" ca="1" si="0">CELL("address",B128)</f>
        <v>$B$128</v>
      </c>
    </row>
    <row r="129" spans="1:3" x14ac:dyDescent="0.15">
      <c r="B129" s="35">
        <v>18</v>
      </c>
      <c r="C129" s="34" t="str">
        <f t="shared" ca="1" si="0"/>
        <v>$B$129</v>
      </c>
    </row>
    <row r="130" spans="1:3" x14ac:dyDescent="0.15">
      <c r="B130" s="36">
        <v>49</v>
      </c>
      <c r="C130" s="34" t="str">
        <f t="shared" ca="1" si="0"/>
        <v>$B$130</v>
      </c>
    </row>
    <row r="131" spans="1:3" x14ac:dyDescent="0.15">
      <c r="A131" s="1" t="s">
        <v>35</v>
      </c>
      <c r="B131" s="37">
        <v>37</v>
      </c>
      <c r="C131" s="34" t="str">
        <f t="shared" ca="1" si="0"/>
        <v>$B$131</v>
      </c>
    </row>
    <row r="132" spans="1:3" x14ac:dyDescent="0.15">
      <c r="A132" s="1" t="s">
        <v>108</v>
      </c>
      <c r="B132" s="38" t="s">
        <v>213</v>
      </c>
      <c r="C132" s="39"/>
    </row>
    <row r="133" spans="1:3" x14ac:dyDescent="0.15">
      <c r="B133" s="39"/>
      <c r="C133" s="39"/>
    </row>
    <row r="134" spans="1:3" x14ac:dyDescent="0.15">
      <c r="A134" s="1" t="s">
        <v>109</v>
      </c>
      <c r="B134" s="3" t="s">
        <v>223</v>
      </c>
    </row>
    <row r="135" spans="1:3" x14ac:dyDescent="0.15">
      <c r="A135" s="1" t="s">
        <v>110</v>
      </c>
      <c r="B135" s="3" t="s">
        <v>32</v>
      </c>
      <c r="C135" s="1" t="s">
        <v>116</v>
      </c>
    </row>
    <row r="136" spans="1:3" x14ac:dyDescent="0.15">
      <c r="B136" s="3" t="s">
        <v>224</v>
      </c>
      <c r="C136" s="1">
        <v>1</v>
      </c>
    </row>
    <row r="137" spans="1:3" x14ac:dyDescent="0.15">
      <c r="A137" s="1" t="s">
        <v>35</v>
      </c>
      <c r="B137" s="3" t="s">
        <v>225</v>
      </c>
      <c r="C137" s="1">
        <v>2</v>
      </c>
    </row>
    <row r="138" spans="1:3" x14ac:dyDescent="0.15">
      <c r="A138" s="1" t="s">
        <v>108</v>
      </c>
      <c r="B138" s="3" t="s">
        <v>223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L33" sqref="L33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21"/>
  <sheetViews>
    <sheetView workbookViewId="0">
      <selection activeCell="K25" sqref="K25"/>
    </sheetView>
  </sheetViews>
  <sheetFormatPr defaultRowHeight="13.5" x14ac:dyDescent="0.15"/>
  <sheetData>
    <row r="1" spans="1:7" x14ac:dyDescent="0.15">
      <c r="A1" s="1" t="s">
        <v>109</v>
      </c>
      <c r="B1" s="3" t="s">
        <v>63</v>
      </c>
      <c r="C1" s="3"/>
      <c r="D1" s="3"/>
      <c r="E1" s="3"/>
      <c r="F1" s="3"/>
      <c r="G1" s="1"/>
    </row>
    <row r="2" spans="1:7" x14ac:dyDescent="0.15">
      <c r="A2" s="1" t="s">
        <v>110</v>
      </c>
      <c r="B2" s="3" t="s">
        <v>126</v>
      </c>
      <c r="C2" s="3" t="s">
        <v>127</v>
      </c>
      <c r="D2" s="3" t="s">
        <v>10</v>
      </c>
      <c r="E2" s="3" t="s">
        <v>9</v>
      </c>
      <c r="F2" s="3" t="s">
        <v>24</v>
      </c>
      <c r="G2" s="3" t="s">
        <v>29</v>
      </c>
    </row>
    <row r="3" spans="1:7" x14ac:dyDescent="0.15">
      <c r="A3" s="1"/>
      <c r="B3" s="5" t="s">
        <v>117</v>
      </c>
      <c r="C3" s="3" t="str">
        <f>[2]!s_info_code(B3)&amp;"."&amp;D3</f>
        <v>Fetching....SH</v>
      </c>
      <c r="D3" s="3" t="s">
        <v>19</v>
      </c>
      <c r="E3" s="3" t="s">
        <v>4</v>
      </c>
      <c r="F3" s="14">
        <v>300</v>
      </c>
      <c r="G3" s="5" t="s">
        <v>8</v>
      </c>
    </row>
    <row r="4" spans="1:7" x14ac:dyDescent="0.15">
      <c r="A4" s="1"/>
      <c r="B4" s="5" t="s">
        <v>25</v>
      </c>
      <c r="C4" s="3" t="str">
        <f>[2]!s_info_code(B4)&amp;"."&amp;D4</f>
        <v>Fetching....SH</v>
      </c>
      <c r="D4" s="3" t="s">
        <v>19</v>
      </c>
      <c r="E4" s="3" t="s">
        <v>4</v>
      </c>
      <c r="F4" s="14">
        <v>200</v>
      </c>
      <c r="G4" s="5" t="s">
        <v>25</v>
      </c>
    </row>
    <row r="5" spans="1:7" x14ac:dyDescent="0.15">
      <c r="A5" s="1"/>
      <c r="B5" s="5" t="s">
        <v>26</v>
      </c>
      <c r="C5" s="3" t="str">
        <f>[2]!s_info_code(B5)&amp;"."&amp;D5</f>
        <v>Fetching....SH</v>
      </c>
      <c r="D5" s="3" t="s">
        <v>19</v>
      </c>
      <c r="E5" s="3" t="s">
        <v>4</v>
      </c>
      <c r="F5" s="14">
        <v>300</v>
      </c>
      <c r="G5" s="5" t="s">
        <v>26</v>
      </c>
    </row>
    <row r="6" spans="1:7" x14ac:dyDescent="0.15">
      <c r="A6" s="1"/>
      <c r="B6" s="4" t="s">
        <v>11</v>
      </c>
      <c r="C6" s="3" t="str">
        <f>[2]!s_info_code(B6)&amp;"."&amp;D6</f>
        <v>Fetching....CFE</v>
      </c>
      <c r="D6" s="3" t="s">
        <v>36</v>
      </c>
      <c r="E6" s="3" t="s">
        <v>30</v>
      </c>
      <c r="F6" s="14">
        <v>300</v>
      </c>
      <c r="G6" s="5" t="s">
        <v>8</v>
      </c>
    </row>
    <row r="7" spans="1:7" x14ac:dyDescent="0.15">
      <c r="A7" s="1"/>
      <c r="B7" s="4" t="s">
        <v>12</v>
      </c>
      <c r="C7" s="3" t="str">
        <f>[2]!s_info_code(B7)&amp;"."&amp;D7</f>
        <v>Fetching....CFE</v>
      </c>
      <c r="D7" s="3" t="s">
        <v>36</v>
      </c>
      <c r="E7" s="3" t="s">
        <v>30</v>
      </c>
      <c r="F7" s="14">
        <v>300</v>
      </c>
      <c r="G7" s="5" t="s">
        <v>8</v>
      </c>
    </row>
    <row r="8" spans="1:7" x14ac:dyDescent="0.15">
      <c r="A8" s="1"/>
      <c r="B8" s="4" t="s">
        <v>13</v>
      </c>
      <c r="C8" s="3" t="str">
        <f>[2]!s_info_code(B8)&amp;"."&amp;D8</f>
        <v>Fetching....CFE</v>
      </c>
      <c r="D8" s="3" t="s">
        <v>36</v>
      </c>
      <c r="E8" s="3" t="s">
        <v>30</v>
      </c>
      <c r="F8" s="14">
        <v>300</v>
      </c>
      <c r="G8" s="5" t="s">
        <v>8</v>
      </c>
    </row>
    <row r="9" spans="1:7" x14ac:dyDescent="0.15">
      <c r="A9" s="1"/>
      <c r="B9" s="4" t="s">
        <v>14</v>
      </c>
      <c r="C9" s="3" t="str">
        <f>[2]!s_info_code(B9)&amp;"."&amp;D9</f>
        <v>Fetching....CFE</v>
      </c>
      <c r="D9" s="3" t="s">
        <v>36</v>
      </c>
      <c r="E9" s="3" t="s">
        <v>30</v>
      </c>
      <c r="F9" s="14">
        <v>300</v>
      </c>
      <c r="G9" s="5" t="s">
        <v>8</v>
      </c>
    </row>
    <row r="10" spans="1:7" x14ac:dyDescent="0.15">
      <c r="A10" s="1"/>
      <c r="B10" s="4" t="s">
        <v>15</v>
      </c>
      <c r="C10" s="3" t="str">
        <f>[2]!s_info_code(B10)&amp;"."&amp;D10</f>
        <v>Fetching....CFE</v>
      </c>
      <c r="D10" s="3" t="s">
        <v>36</v>
      </c>
      <c r="E10" s="3" t="s">
        <v>30</v>
      </c>
      <c r="F10" s="14">
        <v>300</v>
      </c>
      <c r="G10" s="5" t="s">
        <v>26</v>
      </c>
    </row>
    <row r="11" spans="1:7" x14ac:dyDescent="0.15">
      <c r="A11" s="1"/>
      <c r="B11" s="4" t="s">
        <v>16</v>
      </c>
      <c r="C11" s="3" t="str">
        <f>[2]!s_info_code(B11)&amp;"."&amp;D11</f>
        <v>Fetching....CFE</v>
      </c>
      <c r="D11" s="3" t="s">
        <v>36</v>
      </c>
      <c r="E11" s="3" t="s">
        <v>30</v>
      </c>
      <c r="F11" s="14">
        <v>300</v>
      </c>
      <c r="G11" s="5" t="s">
        <v>26</v>
      </c>
    </row>
    <row r="12" spans="1:7" x14ac:dyDescent="0.15">
      <c r="A12" s="1"/>
      <c r="B12" s="4" t="s">
        <v>17</v>
      </c>
      <c r="C12" s="3" t="str">
        <f>[2]!s_info_code(B12)&amp;"."&amp;D12</f>
        <v>Fetching....CFE</v>
      </c>
      <c r="D12" s="3" t="s">
        <v>36</v>
      </c>
      <c r="E12" s="3" t="s">
        <v>30</v>
      </c>
      <c r="F12" s="14">
        <v>300</v>
      </c>
      <c r="G12" s="5" t="s">
        <v>26</v>
      </c>
    </row>
    <row r="13" spans="1:7" x14ac:dyDescent="0.15">
      <c r="A13" s="1"/>
      <c r="B13" s="4" t="s">
        <v>18</v>
      </c>
      <c r="C13" s="3" t="str">
        <f>[2]!s_info_code(B13)&amp;"."&amp;D13</f>
        <v>Fetching....CFE</v>
      </c>
      <c r="D13" s="3" t="s">
        <v>36</v>
      </c>
      <c r="E13" s="3" t="s">
        <v>30</v>
      </c>
      <c r="F13" s="14">
        <v>300</v>
      </c>
      <c r="G13" s="5" t="s">
        <v>26</v>
      </c>
    </row>
    <row r="14" spans="1:7" x14ac:dyDescent="0.15">
      <c r="A14" s="1"/>
      <c r="B14" s="4" t="s">
        <v>20</v>
      </c>
      <c r="C14" s="3" t="str">
        <f>[2]!s_info_code(B14)&amp;"."&amp;D14</f>
        <v>Fetching....CFE</v>
      </c>
      <c r="D14" s="3" t="s">
        <v>36</v>
      </c>
      <c r="E14" s="3" t="s">
        <v>30</v>
      </c>
      <c r="F14" s="14">
        <v>200</v>
      </c>
      <c r="G14" s="5" t="s">
        <v>25</v>
      </c>
    </row>
    <row r="15" spans="1:7" x14ac:dyDescent="0.15">
      <c r="A15" s="1"/>
      <c r="B15" s="4" t="s">
        <v>21</v>
      </c>
      <c r="C15" s="3" t="str">
        <f>[2]!s_info_code(B15)&amp;"."&amp;D15</f>
        <v>Fetching....CFE</v>
      </c>
      <c r="D15" s="3" t="s">
        <v>36</v>
      </c>
      <c r="E15" s="3" t="s">
        <v>30</v>
      </c>
      <c r="F15" s="14">
        <v>200</v>
      </c>
      <c r="G15" s="5" t="s">
        <v>25</v>
      </c>
    </row>
    <row r="16" spans="1:7" x14ac:dyDescent="0.15">
      <c r="A16" s="1"/>
      <c r="B16" s="4" t="s">
        <v>22</v>
      </c>
      <c r="C16" s="3" t="str">
        <f>[2]!s_info_code(B16)&amp;"."&amp;D16</f>
        <v>Fetching....CFE</v>
      </c>
      <c r="D16" s="3" t="s">
        <v>36</v>
      </c>
      <c r="E16" s="3" t="s">
        <v>30</v>
      </c>
      <c r="F16" s="14">
        <v>200</v>
      </c>
      <c r="G16" s="5" t="s">
        <v>25</v>
      </c>
    </row>
    <row r="17" spans="1:7" x14ac:dyDescent="0.15">
      <c r="A17" s="1"/>
      <c r="B17" s="4" t="s">
        <v>23</v>
      </c>
      <c r="C17" s="3" t="str">
        <f>[2]!s_info_code(B17)&amp;"."&amp;D17</f>
        <v>Fetching....CFE</v>
      </c>
      <c r="D17" s="3" t="s">
        <v>36</v>
      </c>
      <c r="E17" s="3" t="s">
        <v>30</v>
      </c>
      <c r="F17" s="14">
        <v>200</v>
      </c>
      <c r="G17" s="5" t="s">
        <v>25</v>
      </c>
    </row>
    <row r="18" spans="1:7" x14ac:dyDescent="0.15">
      <c r="A18" s="1"/>
      <c r="B18" s="3" t="s">
        <v>38</v>
      </c>
      <c r="C18" s="3" t="str">
        <f>[2]!s_info_code(B18)&amp;"."&amp;D18</f>
        <v>Fetching....SGE</v>
      </c>
      <c r="D18" s="3" t="s">
        <v>39</v>
      </c>
      <c r="E18" s="3" t="s">
        <v>31</v>
      </c>
      <c r="F18" s="14">
        <v>1000</v>
      </c>
      <c r="G18" s="1" t="s">
        <v>28</v>
      </c>
    </row>
    <row r="19" spans="1:7" x14ac:dyDescent="0.15">
      <c r="A19" s="1"/>
      <c r="B19" s="4" t="s">
        <v>27</v>
      </c>
      <c r="C19" s="3" t="str">
        <f>[2]!s_info_code(B19)&amp;"."&amp;D19</f>
        <v>Fetching....SHF</v>
      </c>
      <c r="D19" s="3" t="s">
        <v>37</v>
      </c>
      <c r="E19" s="3" t="s">
        <v>31</v>
      </c>
      <c r="F19" s="14">
        <v>1000</v>
      </c>
      <c r="G19" s="1" t="s">
        <v>28</v>
      </c>
    </row>
    <row r="20" spans="1:7" x14ac:dyDescent="0.15">
      <c r="A20" s="1" t="s">
        <v>35</v>
      </c>
      <c r="B20" s="4" t="s">
        <v>42</v>
      </c>
      <c r="C20" s="3" t="str">
        <f>[2]!s_info_code(B20)&amp;"."&amp;D20</f>
        <v>Fetching....SHF</v>
      </c>
      <c r="D20" s="3" t="s">
        <v>37</v>
      </c>
      <c r="E20" s="3" t="s">
        <v>31</v>
      </c>
      <c r="F20" s="14">
        <v>1000</v>
      </c>
      <c r="G20" s="1" t="s">
        <v>28</v>
      </c>
    </row>
    <row r="21" spans="1:7" x14ac:dyDescent="0.15">
      <c r="A21" s="1" t="s">
        <v>108</v>
      </c>
      <c r="B21" s="3" t="s">
        <v>63</v>
      </c>
      <c r="C21" s="1"/>
      <c r="D21" s="1"/>
      <c r="E21" s="3"/>
      <c r="F21" s="1"/>
      <c r="G21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Form_NewTrades</vt:lpstr>
      <vt:lpstr>Cfg_Misc</vt:lpstr>
      <vt:lpstr>Cfg_Clients</vt:lpstr>
      <vt:lpstr>Cfg_Underlying</vt:lpstr>
      <vt:lpstr>Event</vt:lpstr>
      <vt:lpstr>DB_DealEvent</vt:lpstr>
      <vt:lpstr>DB_CashFlow</vt:lpstr>
      <vt:lpstr>DB_Account</vt:lpstr>
      <vt:lpstr>DB_PrcTrades</vt:lpstr>
      <vt:lpstr>DB_RawTrades</vt:lpstr>
      <vt:lpstr>Cfg_TrdCalenda</vt:lpstr>
      <vt:lpstr>Cfgs_Misc</vt:lpstr>
      <vt:lpstr>Info_Client</vt:lpstr>
      <vt:lpstr>Info_Underlying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2018-05-15T10:04:54Z</dcterms:modified>
</cp:coreProperties>
</file>